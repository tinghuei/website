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徐惠蘭</t>
        </is>
      </c>
      <c r="C5" s="3">
        <f>COUNTIF(D6:F6,"&lt;&gt;")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7" t="inlineStr">
        <is>
          <t>王柳琦</t>
        </is>
      </c>
      <c r="F6" s="7" t="inlineStr">
        <is>
          <t>沙洋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研發課</t>
        </is>
      </c>
      <c r="B5" t="inlineStr">
        <is>
          <t>徐惠蘭</t>
        </is>
      </c>
      <c r="C5" s="3">
        <f>COUNTIF(D6:Q6,"&lt;&gt;")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周清家</t>
        </is>
      </c>
      <c r="E6" s="7" t="inlineStr">
        <is>
          <t>詹郁瑛</t>
        </is>
      </c>
      <c r="F6" s="7" t="inlineStr">
        <is>
          <t>林依婷</t>
        </is>
      </c>
      <c r="G6" s="7" t="inlineStr">
        <is>
          <t>石容瑄</t>
        </is>
      </c>
      <c r="H6" s="7" t="inlineStr">
        <is>
          <t>陳惠萍</t>
        </is>
      </c>
      <c r="I6" s="7" t="inlineStr">
        <is>
          <t>尤念萍</t>
        </is>
      </c>
      <c r="J6" t="inlineStr">
        <is>
          <t>林德和</t>
        </is>
      </c>
      <c r="K6" t="inlineStr">
        <is>
          <t>羅文彥</t>
        </is>
      </c>
      <c r="L6" t="inlineStr">
        <is>
          <t>楊心恬</t>
        </is>
      </c>
      <c r="M6" t="inlineStr">
        <is>
          <t>陳巧倫</t>
        </is>
      </c>
      <c r="N6" t="inlineStr">
        <is>
          <t>郭惠婷</t>
        </is>
      </c>
      <c r="O6" t="inlineStr">
        <is>
          <t>尤秐棠</t>
        </is>
      </c>
      <c r="P6" t="inlineStr">
        <is>
          <t>陳孟怡</t>
        </is>
      </c>
      <c r="Q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N18" s="50">
        <f>SUM(N8:N17)</f>
        <v/>
      </c>
      <c r="O18" s="50">
        <f>SUM(O8:O17)</f>
        <v/>
      </c>
      <c r="P18" s="50">
        <f>SUM(P8:P17)</f>
        <v/>
      </c>
      <c r="Q18" s="50">
        <f>SUM(Q8:Q17)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  <c r="N19" s="7">
        <f>IF(OR(
  AND(N18&gt;=90, COUNTIF($D$18:$Z$18, "&gt;=90")/COUNTA($D$18:$Z$18)&gt;0.05),
  AND(N18&gt;=80,N18&lt;=89, (COUNTIF($D$18:$Z$18, "&gt;=80")-COUNTIF($D$18:$Z$18, "&gt;=90"))/COUNTA($D$18:$Z$18)&gt;0.2),
  AND(N18&gt;=70,N18&lt;=79, (COUNTIF($D$18:$Z$18, "&gt;=70")-COUNTIF($D$18:$Z$18, "&gt;=80"))/COUNTA($D$18:$Z$18)&gt;0.4),
  AND(N18&gt;=60,N18&lt;=69, (COUNTIF($D$18:$Z$18, "&gt;=60")-COUNTIF($D$18:$Z$18, "&gt;=70"))/COUNTA($D$18:$Z$18)&gt;0.3),
  AND(N18&lt;=59, COUNTIF($D$18:$Z$18, "&lt;=59")/COUNTA($D$18:$Z$18)&gt;0.05)
), "⚠ 超標！", "")</f>
        <v/>
      </c>
      <c r="O19" s="7">
        <f>IF(OR(
  AND(O18&gt;=90, COUNTIF($D$18:$Z$18, "&gt;=90")/COUNTA($D$18:$Z$18)&gt;0.05),
  AND(O18&gt;=80,O18&lt;=89, (COUNTIF($D$18:$Z$18, "&gt;=80")-COUNTIF($D$18:$Z$18, "&gt;=90"))/COUNTA($D$18:$Z$18)&gt;0.2),
  AND(O18&gt;=70,O18&lt;=79, (COUNTIF($D$18:$Z$18, "&gt;=70")-COUNTIF($D$18:$Z$18, "&gt;=80"))/COUNTA($D$18:$Z$18)&gt;0.4),
  AND(O18&gt;=60,O18&lt;=69, (COUNTIF($D$18:$Z$18, "&gt;=60")-COUNTIF($D$18:$Z$18, "&gt;=70"))/COUNTA($D$18:$Z$18)&gt;0.3),
  AND(O18&lt;=59, COUNTIF($D$18:$Z$18, "&lt;=59")/COUNTA($D$18:$Z$18)&gt;0.05)
), "⚠ 超標！", "")</f>
        <v/>
      </c>
      <c r="P19" s="7">
        <f>IF(OR(
  AND(P18&gt;=90, COUNTIF($D$18:$Z$18, "&gt;=90")/COUNTA($D$18:$Z$18)&gt;0.05),
  AND(P18&gt;=80,P18&lt;=89, (COUNTIF($D$18:$Z$18, "&gt;=80")-COUNTIF($D$18:$Z$18, "&gt;=90"))/COUNTA($D$18:$Z$18)&gt;0.2),
  AND(P18&gt;=70,P18&lt;=79, (COUNTIF($D$18:$Z$18, "&gt;=70")-COUNTIF($D$18:$Z$18, "&gt;=80"))/COUNTA($D$18:$Z$18)&gt;0.4),
  AND(P18&gt;=60,P18&lt;=69, (COUNTIF($D$18:$Z$18, "&gt;=60")-COUNTIF($D$18:$Z$18, "&gt;=70"))/COUNTA($D$18:$Z$18)&gt;0.3),
  AND(P18&lt;=59, COUNTIF($D$18:$Z$18, "&lt;=59")/COUNTA($D$18:$Z$18)&gt;0.05)
), "⚠ 超標！", "")</f>
        <v/>
      </c>
      <c r="Q19" s="7">
        <f>IF(OR(
  AND(Q18&gt;=90, COUNTIF($D$18:$Z$18, "&gt;=90")/COUNTA($D$18:$Z$18)&gt;0.05),
  AND(Q18&gt;=80,Q18&lt;=89, (COUNTIF($D$18:$Z$18, "&gt;=80")-COUNTIF($D$18:$Z$18, "&gt;=90"))/COUNTA($D$18:$Z$18)&gt;0.2),
  AND(Q18&gt;=70,Q18&lt;=79, (COUNTIF($D$18:$Z$18, "&gt;=70")-COUNTIF($D$18:$Z$18, "&gt;=80"))/COUNTA($D$18:$Z$18)&gt;0.4),
  AND(Q18&gt;=60,Q18&lt;=69, (COUNTIF($D$18:$Z$18, "&gt;=60")-COUNTIF($D$18:$Z$18, "&gt;=70"))/COUNTA($D$18:$Z$18)&gt;0.3),
  AND(Q18&lt;=59,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