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級共評" sheetId="1" state="visible" r:id="rId1"/>
    <sheet name="主管複評行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2" fillId="4" borderId="0" applyAlignment="1" pivotButton="0" quotePrefix="0" xfId="0">
      <alignment vertical="center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vertical="center"/>
      <protection locked="0" hidden="0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9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47.7265625" customWidth="1" min="2" max="2"/>
    <col width="49.36328125" customWidth="1" min="3" max="3"/>
    <col width="23.36328125" customWidth="1" min="4" max="4"/>
    <col width="8.7265625" customWidth="1" min="5" max="5"/>
    <col width="25.90625" customWidth="1" min="7" max="7"/>
    <col width="32.453125" customWidth="1" min="8" max="8"/>
    <col width="28.08984375" customWidth="1" min="9" max="9"/>
    <col width="8.7265625" customWidth="1" min="10" max="10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製造課</t>
        </is>
      </c>
      <c r="B5" t="inlineStr">
        <is>
          <t>楊玉鳳</t>
        </is>
      </c>
      <c r="C5" s="3">
        <f>COUNTIF(D6:F6,"&lt;&gt;")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6" t="inlineStr">
        <is>
          <t>朱冠瑋</t>
        </is>
      </c>
      <c r="F6" s="6" t="inlineStr">
        <is>
          <t>王秀雯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G7" s="3" t="n"/>
      <c r="H7" s="3" t="n"/>
      <c r="I7" s="3" t="n"/>
      <c r="J7" s="6" t="n"/>
    </row>
    <row r="8" ht="24.5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10" t="inlineStr">
        <is>
          <t>0~10分</t>
        </is>
      </c>
      <c r="D8" s="11" t="n"/>
      <c r="E8" s="11" t="n"/>
      <c r="F8" s="11" t="n"/>
      <c r="G8" s="3" t="n"/>
      <c r="H8" s="9" t="n"/>
      <c r="I8" s="9" t="n"/>
      <c r="J8" s="6" t="n"/>
    </row>
    <row r="9" ht="31" customHeight="1">
      <c r="B9" s="12" t="inlineStr">
        <is>
          <t>公司辦法考核</t>
        </is>
      </c>
      <c r="C9" s="12" t="inlineStr">
        <is>
          <t>根據考核固定成績</t>
        </is>
      </c>
      <c r="D9" s="11" t="n"/>
      <c r="E9" s="11" t="n"/>
      <c r="F9" s="11" t="n"/>
      <c r="H9" s="12" t="n"/>
      <c r="I9" s="12" t="n"/>
      <c r="J9" s="6" t="n"/>
    </row>
    <row r="10" ht="53" customHeight="1">
      <c r="A10" s="8" t="inlineStr">
        <is>
          <t>團隊溝通協調能力20%</t>
        </is>
      </c>
      <c r="B10" s="13" t="inlineStr">
        <is>
          <t>受評者的溝通協調與配合度</t>
        </is>
      </c>
      <c r="C10" s="14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1" t="n"/>
      <c r="E10" s="11" t="n"/>
      <c r="F10" s="11" t="n"/>
      <c r="G10" s="3" t="n"/>
      <c r="H10" s="12" t="n"/>
      <c r="I10" s="9" t="n"/>
      <c r="J10" s="6" t="n"/>
    </row>
    <row r="11" ht="53" customHeight="1">
      <c r="A11" s="8" t="n"/>
      <c r="B11" s="15" t="inlineStr">
        <is>
          <t>※印象中你對受評者在主管交辦的任務完成率</t>
        </is>
      </c>
      <c r="C11" s="16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17" t="n"/>
      <c r="E11" s="11" t="n"/>
      <c r="F11" s="11" t="n"/>
      <c r="G11" s="18" t="n"/>
      <c r="H11" s="9" t="n"/>
      <c r="I11" s="19" t="n"/>
      <c r="J11" s="6" t="n"/>
    </row>
    <row r="12" ht="57" customHeight="1">
      <c r="A12" s="20" t="inlineStr">
        <is>
          <t>工作態度
15%</t>
        </is>
      </c>
      <c r="B12" s="21" t="inlineStr">
        <is>
          <t>*低於等於3分或高於等於13分，請說明原因： ______________________</t>
        </is>
      </c>
      <c r="D12" s="11" t="n"/>
      <c r="E12" s="11" t="n"/>
      <c r="F12" s="11" t="n"/>
      <c r="G12" s="3" t="n"/>
      <c r="H12" s="9" t="n"/>
      <c r="I12" s="9" t="n"/>
      <c r="J12" s="6" t="n"/>
    </row>
    <row r="13">
      <c r="A13" s="20" t="n"/>
      <c r="B13" s="14" t="inlineStr">
        <is>
          <t>是否落實公司 ISO9001 及內部稽核／內控制度之執行</t>
        </is>
      </c>
      <c r="C13" s="14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17" t="n"/>
      <c r="E13" s="11" t="n"/>
      <c r="F13" s="11" t="n"/>
      <c r="H13" s="9" t="n"/>
      <c r="I13" s="19" t="n"/>
      <c r="J13" s="6" t="n"/>
    </row>
    <row r="14" ht="47" customHeight="1">
      <c r="A14" s="22" t="inlineStr">
        <is>
          <t>領導統御25%</t>
        </is>
      </c>
      <c r="B14" s="23" t="inlineStr">
        <is>
          <t>*低於等於3分或最高分，請敘述狀況：_________________________</t>
        </is>
      </c>
      <c r="D14" s="11" t="n"/>
      <c r="E14" s="11" t="n"/>
      <c r="F14" s="11" t="n"/>
      <c r="G14" s="18" t="n"/>
      <c r="H14" s="9" t="n"/>
      <c r="I14" s="19" t="n"/>
      <c r="J14" s="6" t="n"/>
    </row>
    <row r="15" ht="47" customHeight="1">
      <c r="A15" s="22" t="n"/>
      <c r="B15" s="15" t="inlineStr">
        <is>
          <t>※印象中你對受評者在指導與覆核部屬方面，願意給幾分</t>
        </is>
      </c>
      <c r="C15" s="16" t="inlineStr">
        <is>
          <t>✓經常主動指導(領導)部屬 (13-15)
✓需經部屬提出並樂意指導(領導) (9-12)
✓部屬不提出則無指導(領導) (5-8)
✓部屬提出仍不指導(領導) (0~4)</t>
        </is>
      </c>
      <c r="D15" s="17" t="n"/>
      <c r="E15" s="11" t="n"/>
      <c r="F15" s="11" t="n"/>
      <c r="H15" s="9" t="n"/>
      <c r="I15" s="9" t="n"/>
      <c r="J15" s="6" t="n"/>
    </row>
    <row r="16">
      <c r="A16" s="22" t="n"/>
      <c r="B16" s="21" t="inlineStr">
        <is>
          <t>*低於等於6分或高於等於12分，請說明原因：________________</t>
        </is>
      </c>
      <c r="D16" s="11" t="n"/>
      <c r="E16" s="11" t="n"/>
      <c r="F16" s="11" t="n"/>
      <c r="G16" s="6" t="n"/>
      <c r="H16" s="6" t="n"/>
      <c r="I16" s="6" t="n"/>
      <c r="J16" s="6" t="n"/>
    </row>
    <row r="17" ht="61.5" customHeight="1">
      <c r="A17" s="8" t="n"/>
      <c r="B17" s="14" t="inlineStr">
        <is>
          <t xml:space="preserve">你對於受評者在會議追蹤事項之執行、回覆與結案管理上，是否能依規定期限完成並有效追蹤事項進度之表現評價為何？
</t>
        </is>
      </c>
      <c r="C17" s="24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7" s="17" t="n"/>
      <c r="E17" s="11" t="n"/>
      <c r="F17" s="11" t="n"/>
      <c r="G17" s="6" t="n"/>
      <c r="H17" s="6" t="n"/>
      <c r="I17" s="6" t="n"/>
      <c r="J17" s="6" t="n"/>
    </row>
    <row r="18" ht="42.5" customHeight="1">
      <c r="A18" s="20" t="inlineStr">
        <is>
          <t>工作態度20%</t>
        </is>
      </c>
      <c r="B18" s="23" t="inlineStr">
        <is>
          <t>*低於等於4分或高於等於9分，請說明原因：____________________</t>
        </is>
      </c>
      <c r="D18" s="11" t="n"/>
      <c r="E18" s="11" t="n"/>
      <c r="F18" s="11" t="n"/>
      <c r="G18" s="6" t="n"/>
      <c r="H18" s="6" t="n"/>
      <c r="I18" s="6" t="n"/>
      <c r="J18" s="6" t="n"/>
    </row>
    <row r="19" ht="70.5" customHeight="1">
      <c r="B19" s="25" t="inlineStr">
        <is>
          <t>※受評者對於文件審核、流程確認及內容正確性之管理能力評價
共評者可依據平日文件簽核、退件紀錄、流程確認、跨部門溝通及會議執行情況進行評分。</t>
        </is>
      </c>
      <c r="C19" s="26" t="inlineStr">
        <is>
          <t>✓受評者能有效審核文件內容，幾乎無退件或重大錯誤，並能主動發現問題與改善流程(10)
✓受評者大多能正確完成文件審核，僅偶有小幅修正或退件情況(5-9)
✓受評者文件審核經常需補件、修正或發生退件，流程確認能力待加強(1-4)
✓受評者未確實執行文件審核與流程確認，經常造成重工、退件或作業異常(0)</t>
        </is>
      </c>
      <c r="D19" s="17" t="n"/>
      <c r="E19" s="11" t="n"/>
      <c r="F19" s="11" t="n"/>
      <c r="G19" s="6" t="n"/>
      <c r="H19" s="6" t="n"/>
      <c r="I19" s="6" t="n"/>
      <c r="J19" s="6" t="n"/>
    </row>
    <row r="20" ht="52" customHeight="1">
      <c r="D20" s="11" t="n"/>
      <c r="E20" s="11" t="n"/>
      <c r="F20" s="11" t="n"/>
    </row>
    <row r="21" ht="50.5" customHeight="1">
      <c r="B21" s="27" t="n"/>
      <c r="C21" s="28" t="inlineStr">
        <is>
          <t>總分</t>
        </is>
      </c>
      <c r="D21" s="29">
        <f>SUM(D8:D20)</f>
        <v/>
      </c>
      <c r="E21" s="29">
        <f>SUM(E8:E20)</f>
        <v/>
      </c>
      <c r="F21" s="29">
        <f>SUM(F8:F20)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  <c r="E22" s="6">
        <f>IF(OR(
  AND(E21&gt;=90, COUNTIF($D$21:$Z$21, "&gt;=90")/COUNTA($D$21:$Z$21)&gt;0.05),
  AND(E21&gt;=80,E21&lt;=89, (COUNTIF($D$21:$Z$21, "&gt;=80")-COUNTIF($D$21:$Z$21, "&gt;=90"))/COUNTA($D$21:$Z$21)&gt;0.2),
  AND(E21&gt;=70,E21&lt;=79, (COUNTIF($D$21:$Z$21, "&gt;=70")-COUNTIF($D$21:$Z$21, "&gt;=80"))/COUNTA($D$21:$Z$21)&gt;0.4),
  AND(E21&gt;=60,E21&lt;=69, (COUNTIF($D$21:$Z$21, "&gt;=60")-COUNTIF($D$21:$Z$21, "&gt;=70"))/COUNTA($D$21:$Z$21)&gt;0.3),
  AND(E21&lt;=59, COUNTIF($D$21:$Z$21, "&lt;=59")/COUNTA($D$21:$Z$21)&gt;0.05)
), "⚠ 超標！", "")</f>
        <v/>
      </c>
      <c r="F22" s="6">
        <f>IF(OR(
  AND(F21&gt;=90, COUNTIF($D$21:$Z$21, "&gt;=90")/COUNTA($D$21:$Z$21)&gt;0.05),
  AND(F21&gt;=80,F21&lt;=89, (COUNTIF($D$21:$Z$21, "&gt;=80")-COUNTIF($D$21:$Z$21, "&gt;=90"))/COUNTA($D$21:$Z$21)&gt;0.2),
  AND(F21&gt;=70,F21&lt;=79, (COUNTIF($D$21:$Z$21, "&gt;=70")-COUNTIF($D$21:$Z$21, "&gt;=80"))/COUNTA($D$21:$Z$21)&gt;0.4),
  AND(F21&gt;=60,F21&lt;=69, (COUNTIF($D$21:$Z$21, "&gt;=60")-COUNTIF($D$21:$Z$21, "&gt;=70"))/COUNTA($D$21:$Z$21)&gt;0.3),
  AND(F21&lt;=59, COUNTIF($D$21:$Z$21, "&lt;=59")/COUNTA($D$21:$Z$21)&gt;0.05)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G8:G9"/>
    <mergeCell ref="D17:D18"/>
    <mergeCell ref="D11:D12"/>
    <mergeCell ref="A2:I2"/>
    <mergeCell ref="D13:D14"/>
    <mergeCell ref="C11:C12"/>
    <mergeCell ref="B19:B20"/>
    <mergeCell ref="G14:G15"/>
    <mergeCell ref="D15:D16"/>
    <mergeCell ref="A8:A9"/>
    <mergeCell ref="C17:C18"/>
    <mergeCell ref="C13:C14"/>
    <mergeCell ref="C19:C20"/>
    <mergeCell ref="D19:D20"/>
    <mergeCell ref="G12:G13"/>
    <mergeCell ref="A6:C6"/>
    <mergeCell ref="A1:I1"/>
    <mergeCell ref="C15:C16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1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0.54296875" customWidth="1" min="3" max="3"/>
    <col width="11.08984375" customWidth="1" min="4" max="4"/>
    <col width="8.7265625" customWidth="1" min="5" max="5"/>
  </cols>
  <sheetData>
    <row r="1" ht="16" customHeight="1">
      <c r="A1" s="30" t="inlineStr">
        <is>
          <t>樂聯工業股份有限公司</t>
        </is>
      </c>
    </row>
    <row r="2" ht="16" customHeight="1">
      <c r="A2" s="31" t="inlineStr">
        <is>
          <t>2025年度 年終 績效考核主管複評分表(非主管職)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0.5" customHeight="1">
      <c r="A5" t="inlineStr">
        <is>
          <t>製造課</t>
        </is>
      </c>
      <c r="B5" t="inlineStr">
        <is>
          <t>楊玉鳳</t>
        </is>
      </c>
      <c r="C5" s="3">
        <f>COUNTIF(D6:D6,"&lt;&gt;")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6" t="inlineStr">
        <is>
          <t>鍾欣芳</t>
        </is>
      </c>
      <c r="E6" s="6" t="n"/>
      <c r="F6" s="6" t="n"/>
      <c r="G6" s="6" t="n"/>
      <c r="H6" s="6" t="n"/>
      <c r="I6" s="6" t="n"/>
    </row>
    <row r="7">
      <c r="A7" s="32" t="inlineStr">
        <is>
          <t>占比</t>
        </is>
      </c>
      <c r="B7" s="32" t="inlineStr">
        <is>
          <t>題目</t>
        </is>
      </c>
      <c r="C7" s="32" t="inlineStr">
        <is>
          <t>評分方式</t>
        </is>
      </c>
    </row>
    <row r="8" ht="40" customHeight="1">
      <c r="A8" s="33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0-20</t>
        </is>
      </c>
      <c r="D8" s="11" t="n"/>
    </row>
    <row r="9" ht="74" customHeight="1">
      <c r="A9" s="33" t="inlineStr">
        <is>
          <t>團隊溝通協調能力20%</t>
        </is>
      </c>
      <c r="B9" s="34" t="inlineStr">
        <is>
          <t>受評者的溝通協調與配合度</t>
        </is>
      </c>
      <c r="C9" s="35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9" s="11" t="n"/>
    </row>
    <row r="10" ht="74" customHeight="1">
      <c r="A10" s="33" t="n"/>
      <c r="B10" s="9" t="inlineStr">
        <is>
          <t xml:space="preserve">你對於受評者在會議追蹤事項之執行、回覆與結案管理上，是否能依規定期限完成並有效追蹤事項進度之表現評價為何？
</t>
        </is>
      </c>
      <c r="C10" s="3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0" s="37" t="n"/>
      <c r="E10" s="6" t="n"/>
      <c r="F10" s="6" t="n"/>
      <c r="G10" s="6" t="n"/>
    </row>
    <row r="11" ht="50" customHeight="1">
      <c r="A11" s="33" t="inlineStr">
        <is>
          <t>工作表現30%</t>
        </is>
      </c>
      <c r="B11" s="38" t="inlineStr">
        <is>
          <t>*低於等於4分或高於等於9分，請說明原因：____________________</t>
        </is>
      </c>
      <c r="C11" s="39" t="n"/>
      <c r="D11" s="37" t="n"/>
      <c r="E11" s="6" t="n"/>
      <c r="F11" s="6" t="n"/>
      <c r="G11" s="6" t="n"/>
    </row>
    <row r="12" ht="50" customHeight="1">
      <c r="B12" s="35" t="inlineStr">
        <is>
          <t>你對於受評者完成工作之品質與完整性評價為何？</t>
        </is>
      </c>
      <c r="C12" s="35" t="inlineStr">
        <is>
          <t>10分：工作完整且品質穩定，可直接使用
7~9分：大致完整，少量修正即可
5~6分：偶有遺漏，需要補充
4分以下：經常缺漏或品質不佳</t>
        </is>
      </c>
      <c r="D12" s="17" t="n"/>
    </row>
    <row r="13" ht="67.5" customHeight="1">
      <c r="B13" s="40" t="inlineStr">
        <is>
          <t>*低於等於4分或高於等於9分，請說明原因：____________________</t>
        </is>
      </c>
      <c r="D13" s="17" t="n"/>
    </row>
    <row r="14" ht="67.5" customHeight="1">
      <c r="B14" s="9" t="inlineStr">
        <is>
          <t>你對於受評者在工作目標、交辦事項及時程管理上的達成能力評價為何？</t>
        </is>
      </c>
      <c r="C14" s="9" t="inlineStr">
        <is>
          <t>10分：能有效規劃並穩定達成目標
7~9分：大多能如期完成
5~6分：偶有延誤
4分以下：經常未完成或需他人協助追蹤</t>
        </is>
      </c>
      <c r="D14" s="17" t="n"/>
    </row>
    <row r="15" ht="44.5" customHeight="1">
      <c r="B15" s="38" t="inlineStr">
        <is>
          <t>*低於等於4分或高於等於9分，請說明原因：____________________</t>
        </is>
      </c>
      <c r="D15" s="17" t="n"/>
    </row>
    <row r="16" ht="44.5" customHeight="1">
      <c r="A16" s="33" t="n"/>
      <c r="B16" s="35" t="inlineStr">
        <is>
          <t>【行政】工作項目是否能在工時內完成?</t>
        </is>
      </c>
      <c r="C16" s="35" t="inlineStr">
        <is>
          <t xml:space="preserve">✓準時上下班工作均能完成 (17-20)
✓偶爾加班也能完成工作 (13-16)
✓經常加班來完成工作 (8-12)
✓準時上下班但工作延遲完成 (4-7)
✓雖偶爾加班但工作延遲完成 (1-3)
✓雖經常加班但工作還是延遲完成 (0)
</t>
        </is>
      </c>
      <c r="D16" s="17" t="n"/>
    </row>
    <row r="17" ht="47.5" customHeight="1">
      <c r="A17" s="41" t="inlineStr">
        <is>
          <t>工作態度
30%</t>
        </is>
      </c>
      <c r="B17" s="40" t="inlineStr">
        <is>
          <t>*低於等於2分或高於等於16分，請說明原因：_________________________</t>
        </is>
      </c>
      <c r="D17" s="17" t="n"/>
    </row>
    <row r="18" ht="47.5" customHeight="1">
      <c r="B18" s="9" t="inlineStr">
        <is>
          <t>對於主管交辦事項，受評者是否能正確理解需求、依規範執行並有效完成？</t>
        </is>
      </c>
      <c r="C18" s="9" t="inlineStr">
        <is>
          <t>10分：能主動確認需求並高品質完成
7~9分：大多能獨立完成
5~6分：偶需提醒與修正
4分以下：執行品質不穩定或常需重工</t>
        </is>
      </c>
      <c r="D18" s="17" t="n"/>
    </row>
    <row r="19" ht="71.5" customHeight="1">
      <c r="B19" s="38" t="inlineStr">
        <is>
          <t>*低於等於2分或高於等於9分，請說明原因： _________________________</t>
        </is>
      </c>
      <c r="D19" s="17" t="n"/>
    </row>
    <row r="20" ht="23.5" customHeight="1">
      <c r="C20" s="28" t="inlineStr">
        <is>
          <t>總分</t>
        </is>
      </c>
      <c r="D20" s="29">
        <f>SUM(D8:D19)</f>
        <v/>
      </c>
      <c r="BK20" s="42" t="n"/>
    </row>
    <row r="21">
      <c r="D21" s="6">
        <f>IF(OR(
  AND(D20&gt;=90, COUNTIF($D$20:$Z$20, "&gt;=90")/COUNTA($D$20:$Z$20)&gt;0.05),
  AND(D20&gt;=80,D20&lt;=89, (COUNTIF($D$20:$Z$20, "&gt;=80")-COUNTIF($D$20:$Z$20, "&gt;=90"))/COUNTA($D$20:$Z$20)&gt;0.2),
  AND(D20&gt;=70,D20&lt;=79, (COUNTIF($D$20:$Z$20, "&gt;=70")-COUNTIF($D$20:$Z$20, "&gt;=80"))/COUNTA($D$20:$Z$20)&gt;0.4),
  AND(D20&gt;=60,D20&lt;=69, (COUNTIF($D$20:$Z$20, "&gt;=60")-COUNTIF($D$20:$Z$20, "&gt;=70"))/COUNTA($D$20:$Z$20)&gt;0.3),
  AND(D20&lt;=59, COUNTIF($D$20:$Z$20, "&lt;=59")/COUNTA($D$20:$Z$20)&gt;0.05)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">
    <mergeCell ref="A2:I2"/>
    <mergeCell ref="A17:A19"/>
    <mergeCell ref="C12:C13"/>
    <mergeCell ref="A6:C6"/>
    <mergeCell ref="A1:I1"/>
    <mergeCell ref="A11:A15"/>
    <mergeCell ref="C10:C11"/>
    <mergeCell ref="C16:C17"/>
    <mergeCell ref="C18:C19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2026-06-05T07:49:49Z</dcterms:created>
  <dcterms:modified xsi:type="dcterms:W3CDTF">2026-06-05T07:49:49Z</dcterms:modified>
</cp:coreProperties>
</file>