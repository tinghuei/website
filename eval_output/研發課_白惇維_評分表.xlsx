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課級共評" sheetId="1" state="visible" r:id="rId1"/>
    <sheet name="主管複評行政" sheetId="2" state="visible" r:id="rId2"/>
    <sheet name="組長初評班長" sheetId="3" state="visible" r:id="rId3"/>
    <sheet name="現場組長初評&amp;主管複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color rgb="FFFF0000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2" fillId="4" borderId="0" applyAlignment="1" pivotButton="0" quotePrefix="0" xfId="0">
      <alignment vertical="center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6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4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vertical="center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0" fillId="0" borderId="3" pivotButton="0" quotePrefix="0" xfId="0"/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9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2" customWidth="1" min="1" max="1"/>
    <col width="47.7265625" customWidth="1" min="2" max="2"/>
    <col width="49.36328125" customWidth="1" min="3" max="3"/>
    <col width="23.36328125" customWidth="1" min="4" max="4"/>
    <col width="8.7265625" customWidth="1" min="5" max="5"/>
    <col width="25.90625" customWidth="1" min="7" max="7"/>
    <col width="32.453125" customWidth="1" min="8" max="8"/>
    <col width="28.08984375" customWidth="1" min="9" max="9"/>
    <col width="8.7265625" customWidth="1" min="10" max="10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績效考核課級共同評分表(主管職)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研發課</t>
        </is>
      </c>
      <c r="B5" t="inlineStr">
        <is>
          <t>白惇維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朱冠瑋</t>
        </is>
      </c>
      <c r="E6" s="6" t="inlineStr">
        <is>
          <t>王秀雯</t>
        </is>
      </c>
      <c r="F6" s="6" t="n"/>
      <c r="G6" s="6" t="n"/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  <c r="G7" s="3" t="n"/>
      <c r="H7" s="3" t="n"/>
      <c r="I7" s="3" t="n"/>
      <c r="J7" s="6" t="n"/>
    </row>
    <row r="8" ht="24.5" customHeight="1">
      <c r="A8" s="8" t="inlineStr">
        <is>
          <t>工作知識20%</t>
        </is>
      </c>
      <c r="B8" s="9" t="inlineStr">
        <is>
          <t>專業技能的熟悉程度與對在職訓練（如外訓、參訪）之投入積極度</t>
        </is>
      </c>
      <c r="C8" s="10" t="inlineStr">
        <is>
          <t>0~10分</t>
        </is>
      </c>
      <c r="G8" s="3" t="n"/>
      <c r="H8" s="9" t="n"/>
      <c r="I8" s="9" t="n"/>
      <c r="J8" s="6" t="n"/>
    </row>
    <row r="9" ht="31" customHeight="1">
      <c r="B9" s="11" t="inlineStr">
        <is>
          <t>公司辦法考核</t>
        </is>
      </c>
      <c r="C9" s="11" t="inlineStr">
        <is>
          <t>根據考核固定成績</t>
        </is>
      </c>
      <c r="H9" s="11" t="n"/>
      <c r="I9" s="11" t="n"/>
      <c r="J9" s="6" t="n"/>
    </row>
    <row r="10" ht="53" customHeight="1">
      <c r="A10" s="8" t="inlineStr">
        <is>
          <t>團隊溝通協調能力20%</t>
        </is>
      </c>
      <c r="B10" s="12" t="inlineStr">
        <is>
          <t>受評者的溝通協調與配合度</t>
        </is>
      </c>
      <c r="C10" s="13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G10" s="3" t="n"/>
      <c r="H10" s="11" t="n"/>
      <c r="I10" s="9" t="n"/>
      <c r="J10" s="6" t="n"/>
    </row>
    <row r="11" ht="53" customHeight="1">
      <c r="A11" s="8" t="n"/>
      <c r="B11" s="14" t="inlineStr">
        <is>
          <t>※印象中你對受評者在主管交辦的任務完成率</t>
        </is>
      </c>
      <c r="C11" s="15" t="inlineStr">
        <is>
          <t>✓對於主管交辦的任務均能完成 (15)
✓對於主管交辦的任務均能完成90%以上 (13-14)
✓對於主管交辦的任務均能完成80%以上 (10-12)
✓對於主管交辦的任務均能完成70%以上 (7-9)
✓對於主管交辦的任務均能完成60%以上 (4-6)
✓對於主管交辦的任務僅達成59%以下 (2-3)
✓對於主管交辦的任務常說”我不會、我不要、不是我”(0~1)</t>
        </is>
      </c>
      <c r="D11" s="6" t="n"/>
      <c r="G11" s="16" t="n"/>
      <c r="H11" s="9" t="n"/>
      <c r="I11" s="17" t="n"/>
      <c r="J11" s="6" t="n"/>
    </row>
    <row r="12" ht="57" customHeight="1">
      <c r="A12" s="18" t="inlineStr">
        <is>
          <t>工作態度
15%</t>
        </is>
      </c>
      <c r="B12" s="19" t="inlineStr">
        <is>
          <t>*低於等於3分或高於等於13分，請說明原因： ______________________</t>
        </is>
      </c>
      <c r="G12" s="3" t="n"/>
      <c r="H12" s="9" t="n"/>
      <c r="I12" s="9" t="n"/>
      <c r="J12" s="6" t="n"/>
    </row>
    <row r="13">
      <c r="A13" s="18" t="n"/>
      <c r="B13" s="13" t="inlineStr">
        <is>
          <t>是否落實公司 ISO9001 及內部稽核／內控制度之執行</t>
        </is>
      </c>
      <c r="C13" s="13" t="inlineStr">
        <is>
          <t>✓完整落實ISO9001與內稽內控機制，文件、流程、紀錄皆符合規範，並主動優化制度或提出改善措施(10)
✓大致落實制度要求，稽核資料齊全，偶有小缺失但能即時改善(8-9)
✓基本符合規範，但執行不夠確實（如文件不完整、紀錄延遲），需督導改善(6-7)
✓執行落差明顯，內稽或制度要求常未落實，需外部提醒或稽核指正(4-5)
✓未依ISO或內控制度執行，缺乏基本管理意識(1-3)
✓無執行相關制度或嚴重違反規範(0)</t>
        </is>
      </c>
      <c r="D13" s="6" t="n"/>
      <c r="H13" s="9" t="n"/>
      <c r="I13" s="17" t="n"/>
      <c r="J13" s="6" t="n"/>
    </row>
    <row r="14" ht="47" customHeight="1">
      <c r="A14" s="20" t="inlineStr">
        <is>
          <t>領導統御25%</t>
        </is>
      </c>
      <c r="B14" s="21" t="inlineStr">
        <is>
          <t>*低於等於3分或最高分，請敘述狀況：_________________________</t>
        </is>
      </c>
      <c r="G14" s="16" t="n"/>
      <c r="H14" s="9" t="n"/>
      <c r="I14" s="17" t="n"/>
      <c r="J14" s="6" t="n"/>
    </row>
    <row r="15" ht="47" customHeight="1">
      <c r="A15" s="20" t="n"/>
      <c r="B15" s="14" t="inlineStr">
        <is>
          <t>※印象中你對受評者在指導與覆核部屬方面，願意給幾分</t>
        </is>
      </c>
      <c r="C15" s="15" t="inlineStr">
        <is>
          <t>✓經常主動指導(領導)部屬 (13-15)
✓需經部屬提出並樂意指導(領導) (9-12)
✓部屬不提出則無指導(領導) (5-8)
✓部屬提出仍不指導(領導) (0~4)</t>
        </is>
      </c>
      <c r="D15" s="6" t="n"/>
      <c r="H15" s="9" t="n"/>
      <c r="I15" s="9" t="n"/>
      <c r="J15" s="6" t="n"/>
    </row>
    <row r="16">
      <c r="A16" s="20" t="n"/>
      <c r="B16" s="19" t="inlineStr">
        <is>
          <t>*低於等於6分或高於等於12分，請說明原因：________________</t>
        </is>
      </c>
      <c r="G16" s="6" t="n"/>
      <c r="H16" s="6" t="n"/>
      <c r="I16" s="6" t="n"/>
      <c r="J16" s="6" t="n"/>
    </row>
    <row r="17" ht="61.5" customHeight="1">
      <c r="A17" s="8" t="n"/>
      <c r="B17" s="13" t="inlineStr">
        <is>
          <t xml:space="preserve">你對於受評者在會議追蹤事項之執行、回覆與結案管理上，是否能依規定期限完成並有效追蹤事項進度之表現評價為何？
</t>
        </is>
      </c>
      <c r="C17" s="22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7" s="6" t="n"/>
      <c r="G17" s="6" t="n"/>
      <c r="H17" s="6" t="n"/>
      <c r="I17" s="6" t="n"/>
      <c r="J17" s="6" t="n"/>
    </row>
    <row r="18" ht="42.5" customHeight="1">
      <c r="A18" s="18" t="inlineStr">
        <is>
          <t>工作態度20%</t>
        </is>
      </c>
      <c r="B18" s="21" t="inlineStr">
        <is>
          <t>*低於等於4分或高於等於9分，請說明原因：____________________</t>
        </is>
      </c>
      <c r="G18" s="6" t="n"/>
      <c r="H18" s="6" t="n"/>
      <c r="I18" s="6" t="n"/>
      <c r="J18" s="6" t="n"/>
    </row>
    <row r="19" ht="70.5" customHeight="1">
      <c r="B19" s="23" t="inlineStr">
        <is>
          <t>※受評者對於文件審核、流程確認及內容正確性之管理能力評價
共評者可依據平日文件簽核、退件紀錄、流程確認、跨部門溝通及會議執行情況進行評分。</t>
        </is>
      </c>
      <c r="C19" s="24" t="inlineStr">
        <is>
          <t>✓受評者能有效審核文件內容，幾乎無退件或重大錯誤，並能主動發現問題與改善流程(10)
✓受評者大多能正確完成文件審核，僅偶有小幅修正或退件情況(5-9)
✓受評者文件審核經常需補件、修正或發生退件，流程確認能力待加強(1-4)
✓受評者未確實執行文件審核與流程確認，經常造成重工、退件或作業異常(0)</t>
        </is>
      </c>
      <c r="D19" s="6" t="n"/>
      <c r="G19" s="6" t="n"/>
      <c r="H19" s="6" t="n"/>
      <c r="I19" s="6" t="n"/>
      <c r="J19" s="6" t="n"/>
    </row>
    <row r="20" ht="52" customHeight="1"/>
    <row r="21" ht="50.5" customHeight="1">
      <c r="B21" s="25" t="n"/>
      <c r="C21" s="26" t="inlineStr">
        <is>
          <t>總分</t>
        </is>
      </c>
      <c r="D21" s="27">
        <f>SUM(D8:D20)</f>
        <v/>
      </c>
    </row>
    <row r="22">
      <c r="D22" s="6">
        <f>IF(OR(
  AND(D21&gt;=90, COUNTIF($D$21:$Z$21, "&gt;=90")/COUNTA($D$21:$Z$21)&gt;0.05),
  AND(D21&gt;=80,D21&lt;=89, (COUNTIF($D$21:$Z$21, "&gt;=80")-COUNTIF($D$21:$Z$21, "&gt;=90"))/COUNTA($D$21:$Z$21)&gt;0.2),
  AND(D21&gt;=70,D21&lt;=79, (COUNTIF($D$21:$Z$21, "&gt;=70")-COUNTIF($D$21:$Z$21, "&gt;=80"))/COUNTA($D$21:$Z$21)&gt;0.4),
  AND(D21&gt;=60,D21&lt;=69, (COUNTIF($D$21:$Z$21, "&gt;=60")-COUNTIF($D$21:$Z$21, "&gt;=70"))/COUNTA($D$21:$Z$21)&gt;0.3),
  AND(D21&lt;=59, COUNTIF($D$21:$Z$21, "&lt;=59")/COUNTA($D$21:$Z$21)&gt;0.05)
), "⚠ 超標！", "")</f>
        <v/>
      </c>
    </row>
  </sheetData>
  <mergeCells count="19">
    <mergeCell ref="G8:G9"/>
    <mergeCell ref="D17:D18"/>
    <mergeCell ref="D11:D12"/>
    <mergeCell ref="A2:I2"/>
    <mergeCell ref="D13:D14"/>
    <mergeCell ref="C11:C12"/>
    <mergeCell ref="B19:B20"/>
    <mergeCell ref="G14:G15"/>
    <mergeCell ref="D15:D16"/>
    <mergeCell ref="A8:A9"/>
    <mergeCell ref="C17:C18"/>
    <mergeCell ref="C13:C14"/>
    <mergeCell ref="C19:C20"/>
    <mergeCell ref="D19:D20"/>
    <mergeCell ref="G12:G13"/>
    <mergeCell ref="A6:C6"/>
    <mergeCell ref="A1:I1"/>
    <mergeCell ref="C15:C16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0.54296875" customWidth="1" min="3" max="3"/>
    <col width="11.08984375" customWidth="1" min="4" max="4"/>
    <col width="8.7265625" customWidth="1" min="5" max="5"/>
  </cols>
  <sheetData>
    <row r="1" ht="16" customHeight="1">
      <c r="A1" s="28" t="inlineStr">
        <is>
          <t>樂聯工業股份有限公司</t>
        </is>
      </c>
    </row>
    <row r="2" ht="16" customHeight="1">
      <c r="A2" s="29" t="inlineStr">
        <is>
          <t>2025年度 年終 績效考核主管複評分表(非主管職)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0.5" customHeight="1">
      <c r="A5" t="inlineStr">
        <is>
          <t>研發課</t>
        </is>
      </c>
      <c r="B5" t="inlineStr">
        <is>
          <t>白惇維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6" t="inlineStr">
        <is>
          <t>王柳琦</t>
        </is>
      </c>
      <c r="E6" s="6" t="inlineStr">
        <is>
          <t>徐惠蘭</t>
        </is>
      </c>
      <c r="F6" s="6" t="inlineStr">
        <is>
          <t>沙洋</t>
        </is>
      </c>
      <c r="G6" s="6" t="n"/>
      <c r="H6" s="6" t="n"/>
      <c r="I6" s="6" t="n"/>
    </row>
    <row r="7">
      <c r="A7" s="30" t="inlineStr">
        <is>
          <t>占比</t>
        </is>
      </c>
      <c r="B7" s="30" t="inlineStr">
        <is>
          <t>題目</t>
        </is>
      </c>
      <c r="C7" s="30" t="inlineStr">
        <is>
          <t>評分方式</t>
        </is>
      </c>
    </row>
    <row r="8" ht="40" customHeight="1">
      <c r="A8" s="31" t="inlineStr">
        <is>
          <t>工作知識20%</t>
        </is>
      </c>
      <c r="B8" s="11" t="inlineStr">
        <is>
          <t xml:space="preserve">對受評者在該單位的專業知識給分 </t>
        </is>
      </c>
      <c r="C8" s="11" t="inlineStr">
        <is>
          <t>0-20</t>
        </is>
      </c>
    </row>
    <row r="9" ht="74" customHeight="1">
      <c r="A9" s="31" t="inlineStr">
        <is>
          <t>團隊溝通協調能力20%</t>
        </is>
      </c>
      <c r="B9" s="32" t="inlineStr">
        <is>
          <t>受評者的溝通協調與配合度</t>
        </is>
      </c>
      <c r="C9" s="33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0" ht="74" customHeight="1">
      <c r="A10" s="31" t="n"/>
      <c r="B10" s="9" t="inlineStr">
        <is>
          <t xml:space="preserve">你對於受評者在會議追蹤事項之執行、回覆與結案管理上，是否能依規定期限完成並有效追蹤事項進度之表現評價為何？
</t>
        </is>
      </c>
      <c r="C10" s="34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0" s="35" t="n"/>
      <c r="E10" s="6" t="n"/>
      <c r="F10" s="6" t="n"/>
      <c r="G10" s="6" t="n"/>
    </row>
    <row r="11" ht="50" customHeight="1">
      <c r="A11" s="31" t="inlineStr">
        <is>
          <t>工作表現30%</t>
        </is>
      </c>
      <c r="B11" s="36" t="inlineStr">
        <is>
          <t>*低於等於4分或高於等於9分，請說明原因：____________________</t>
        </is>
      </c>
      <c r="C11" s="37" t="n"/>
      <c r="D11" s="35" t="n"/>
      <c r="E11" s="6" t="n"/>
      <c r="F11" s="6" t="n"/>
      <c r="G11" s="6" t="n"/>
    </row>
    <row r="12" ht="50" customHeight="1">
      <c r="B12" s="33" t="inlineStr">
        <is>
          <t>你對於受評者完成工作之品質與完整性評價為何？</t>
        </is>
      </c>
      <c r="C12" s="33" t="inlineStr">
        <is>
          <t>10分：工作完整且品質穩定，可直接使用
7~9分：大致完整，少量修正即可
5~6分：偶有遺漏，需要補充
4分以下：經常缺漏或品質不佳</t>
        </is>
      </c>
      <c r="D12" s="6" t="n"/>
    </row>
    <row r="13" ht="67.5" customHeight="1">
      <c r="B13" s="38" t="inlineStr">
        <is>
          <t>*低於等於4分或高於等於9分，請說明原因：____________________</t>
        </is>
      </c>
      <c r="D13" s="6" t="n"/>
    </row>
    <row r="14" ht="67.5" customHeight="1">
      <c r="B14" s="9" t="inlineStr">
        <is>
          <t>你對於受評者在工作目標、交辦事項及時程管理上的達成能力評價為何？</t>
        </is>
      </c>
      <c r="C14" s="9" t="inlineStr">
        <is>
          <t>10分：能有效規劃並穩定達成目標
7~9分：大多能如期完成
5~6分：偶有延誤
4分以下：經常未完成或需他人協助追蹤</t>
        </is>
      </c>
      <c r="D14" s="6" t="n"/>
    </row>
    <row r="15" ht="44.5" customHeight="1">
      <c r="B15" s="36" t="inlineStr">
        <is>
          <t>*低於等於4分或高於等於9分，請說明原因：____________________</t>
        </is>
      </c>
      <c r="D15" s="6" t="n"/>
    </row>
    <row r="16" ht="44.5" customHeight="1">
      <c r="A16" s="31" t="n"/>
      <c r="B16" s="33" t="inlineStr">
        <is>
          <t>【行政】工作項目是否能在工時內完成?</t>
        </is>
      </c>
      <c r="C16" s="33" t="inlineStr">
        <is>
          <t xml:space="preserve">✓準時上下班工作均能完成 (17-20)
✓偶爾加班也能完成工作 (13-16)
✓經常加班來完成工作 (8-12)
✓準時上下班但工作延遲完成 (4-7)
✓雖偶爾加班但工作延遲完成 (1-3)
✓雖經常加班但工作還是延遲完成 (0)
</t>
        </is>
      </c>
      <c r="D16" s="6" t="n"/>
    </row>
    <row r="17" ht="47.5" customHeight="1">
      <c r="A17" s="39" t="inlineStr">
        <is>
          <t>工作態度
30%</t>
        </is>
      </c>
      <c r="B17" s="38" t="inlineStr">
        <is>
          <t>*低於等於2分或高於等於16分，請說明原因：_________________________</t>
        </is>
      </c>
      <c r="D17" s="6" t="n"/>
    </row>
    <row r="18" ht="47.5" customHeight="1">
      <c r="B18" s="9" t="inlineStr">
        <is>
          <t>對於主管交辦事項，受評者是否能正確理解需求、依規範執行並有效完成？</t>
        </is>
      </c>
      <c r="C18" s="9" t="inlineStr">
        <is>
          <t>10分：能主動確認需求並高品質完成
7~9分：大多能獨立完成
5~6分：偶需提醒與修正
4分以下：執行品質不穩定或常需重工</t>
        </is>
      </c>
      <c r="D18" s="6" t="n"/>
    </row>
    <row r="19" ht="71.5" customHeight="1">
      <c r="B19" s="36" t="inlineStr">
        <is>
          <t>*低於等於2分或高於等於9分，請說明原因： _________________________</t>
        </is>
      </c>
      <c r="D19" s="6" t="n"/>
    </row>
    <row r="20" ht="23.5" customHeight="1">
      <c r="C20" s="26" t="inlineStr">
        <is>
          <t>總分</t>
        </is>
      </c>
      <c r="D20" s="27">
        <f>SUM(D8:D19)</f>
        <v/>
      </c>
      <c r="BK20" s="40" t="n"/>
    </row>
    <row r="21">
      <c r="D21" s="6">
        <f>IF(OR(
  AND(D20&gt;=90, COUNTIF($D$20:$Z$20, "&gt;=90")/COUNTA($D$20:$Z$20)&gt;0.05),
  AND(D20&gt;=80,D20&lt;=89, (COUNTIF($D$20:$Z$20, "&gt;=80")-COUNTIF($D$20:$Z$20, "&gt;=90"))/COUNTA($D$20:$Z$20)&gt;0.2),
  AND(D20&gt;=70,D20&lt;=79, (COUNTIF($D$20:$Z$20, "&gt;=70")-COUNTIF($D$20:$Z$20, "&gt;=80"))/COUNTA($D$20:$Z$20)&gt;0.4),
  AND(D20&gt;=60,D20&lt;=69, (COUNTIF($D$20:$Z$20, "&gt;=60")-COUNTIF($D$20:$Z$20, "&gt;=70"))/COUNTA($D$20:$Z$20)&gt;0.3),
  AND(D20&lt;=59, COUNTIF($D$20:$Z$20, "&lt;=59")/COUNTA($D$20:$Z$20)&gt;0.05)
), "⚠ 超標！", "")</f>
        <v/>
      </c>
    </row>
  </sheetData>
  <mergeCells count="10">
    <mergeCell ref="A2:I2"/>
    <mergeCell ref="A17:A19"/>
    <mergeCell ref="C12:C13"/>
    <mergeCell ref="A6:C6"/>
    <mergeCell ref="A1:I1"/>
    <mergeCell ref="A11:A15"/>
    <mergeCell ref="C10:C11"/>
    <mergeCell ref="C16:C17"/>
    <mergeCell ref="C18:C19"/>
    <mergeCell ref="C14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42.72656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績效考組長初評班長評分表(主管職)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研發課</t>
        </is>
      </c>
      <c r="B5" t="inlineStr">
        <is>
          <t>白惇維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張舒涵</t>
        </is>
      </c>
      <c r="E6" s="6" t="inlineStr">
        <is>
          <t>阮祝玲</t>
        </is>
      </c>
      <c r="F6" s="6" t="n"/>
      <c r="G6" s="6" t="n"/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6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76.5" customHeight="1">
      <c r="B9" s="14" t="inlineStr">
        <is>
          <t>產品知識與設備保養管理（10 分）</t>
        </is>
      </c>
      <c r="C9" s="14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61" customHeight="1">
      <c r="A10" s="8" t="inlineStr">
        <is>
          <t>團隊溝通協調能力20%</t>
        </is>
      </c>
      <c r="B10" s="12" t="inlineStr">
        <is>
          <t>受評者的溝通協調與配合度</t>
        </is>
      </c>
      <c r="C10" s="13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61" customHeight="1">
      <c r="A11" s="8" t="n"/>
      <c r="B11" s="14" t="inlineStr">
        <is>
          <t>【現場】「只限評分現場人員專用」</t>
        </is>
      </c>
      <c r="C11" s="15" t="inlineStr">
        <is>
          <t xml:space="preserve">✓積極配合排班與加班，並能準時高品質完成工作 (18-20)
✓配合加班完成工作，偶有延遲但能解釋清楚且態度積極(14-17)
✓須經常加班完成工作，但完成度尚可(10-13)
✓工作常延遲完成，即便有加班，需他人提醒(7-9)
✓加班時間長，但工作成效差或效率低落(4-6)
✓工作經常延誤交付、配合度低、態度消極(0-3)
</t>
        </is>
      </c>
      <c r="D11" s="6" t="n"/>
    </row>
    <row r="12">
      <c r="A12" s="18" t="inlineStr">
        <is>
          <t>工作態度
30%</t>
        </is>
      </c>
      <c r="B12" s="19" t="inlineStr">
        <is>
          <t>*低於等於3分或高於等於18分，請說明原因：___________________________</t>
        </is>
      </c>
    </row>
    <row r="13" ht="110" customHeight="1">
      <c r="B13" s="13" t="inlineStr">
        <is>
          <t>受評者在本次受評區間，對於協辦的工作，『完成度』達</t>
        </is>
      </c>
      <c r="C13" s="13" t="inlineStr">
        <is>
          <t>10分100%
9分  90%
8分  80%
7分  70%
6分  60%
5分  50%
4分  40%
3分  30%
2分  20%
1分  10%</t>
        </is>
      </c>
    </row>
    <row r="14" ht="71.5" customHeight="1">
      <c r="A14" s="8" t="n"/>
      <c r="B14" s="14" t="inlineStr">
        <is>
          <t>※印象中你對受評者在指導與覆核部屬方面，願意給幾分</t>
        </is>
      </c>
      <c r="C14" s="15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4" s="6" t="n"/>
    </row>
    <row r="15" ht="27.5" customHeight="1">
      <c r="A15" s="18" t="inlineStr">
        <is>
          <t>領導統御
30%</t>
        </is>
      </c>
      <c r="B15" s="19" t="inlineStr">
        <is>
          <t>*低於等於6分或高於等於16分，請說明原因：________________</t>
        </is>
      </c>
    </row>
    <row r="16" ht="27.5" customHeight="1">
      <c r="B16" s="13" t="inlineStr">
        <is>
          <t>是否願意和受評者一起工作?</t>
        </is>
      </c>
      <c r="C16" s="13" t="inlineStr">
        <is>
          <t>✓我很願意跟受評者一起工作(8~10)
✓我還算願意跟受評者一起工作(5~7)
✓我盡可能不跟受評者一起工作(2~4)
✓我不願意跟受評者一起工作(0-1)</t>
        </is>
      </c>
      <c r="D16" s="6" t="n"/>
    </row>
    <row r="17">
      <c r="B17" s="21" t="inlineStr">
        <is>
          <t>*低於等於3分或最高分，請敘述狀況：_________________________</t>
        </is>
      </c>
    </row>
    <row r="18" ht="50.5" customHeight="1">
      <c r="B18" s="25" t="n"/>
      <c r="C18" s="26" t="inlineStr">
        <is>
          <t>總分</t>
        </is>
      </c>
      <c r="D18" s="27">
        <f>SUM(D8:D17)</f>
        <v/>
      </c>
    </row>
    <row r="19">
      <c r="D19" s="6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12">
    <mergeCell ref="A8:A9"/>
    <mergeCell ref="A2:I2"/>
    <mergeCell ref="A12:A13"/>
    <mergeCell ref="A6:C6"/>
    <mergeCell ref="A1:I1"/>
    <mergeCell ref="C14:C15"/>
    <mergeCell ref="A15:A17"/>
    <mergeCell ref="D16:D17"/>
    <mergeCell ref="D11:D12"/>
    <mergeCell ref="C11:C12"/>
    <mergeCell ref="C16:C17"/>
    <mergeCell ref="D14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45.0898437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研發課</t>
        </is>
      </c>
      <c r="B5" t="inlineStr">
        <is>
          <t>白惇維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沙空</t>
        </is>
      </c>
      <c r="E6" s="6" t="inlineStr">
        <is>
          <t>孫培娜</t>
        </is>
      </c>
      <c r="F6" s="6" t="inlineStr">
        <is>
          <t>潘其龍</t>
        </is>
      </c>
      <c r="G6" s="6" t="inlineStr">
        <is>
          <t>俗吉</t>
        </is>
      </c>
      <c r="H6" s="6" t="inlineStr">
        <is>
          <t>宋善蓬</t>
        </is>
      </c>
      <c r="I6" s="6" t="inlineStr">
        <is>
          <t>趙秋賢</t>
        </is>
      </c>
      <c r="J6" t="inlineStr">
        <is>
          <t>蘇華姑</t>
        </is>
      </c>
      <c r="K6" t="inlineStr">
        <is>
          <t>張政芳</t>
        </is>
      </c>
      <c r="L6" t="inlineStr">
        <is>
          <t>瓦山</t>
        </is>
      </c>
      <c r="M6" t="inlineStr">
        <is>
          <t>蘇拉碟</t>
        </is>
      </c>
      <c r="N6" t="inlineStr">
        <is>
          <t>楊瑪莉</t>
        </is>
      </c>
      <c r="O6" t="inlineStr">
        <is>
          <t>蔡麗花</t>
        </is>
      </c>
      <c r="P6" t="inlineStr">
        <is>
          <t>戴全柏</t>
        </is>
      </c>
      <c r="Q6" t="inlineStr">
        <is>
          <t>班文</t>
        </is>
      </c>
      <c r="R6" t="inlineStr">
        <is>
          <t>傅文成</t>
        </is>
      </c>
      <c r="S6" t="inlineStr">
        <is>
          <t>沈怡婷</t>
        </is>
      </c>
      <c r="T6" t="inlineStr">
        <is>
          <t>他那空</t>
        </is>
      </c>
      <c r="U6" t="inlineStr">
        <is>
          <t>央南</t>
        </is>
      </c>
      <c r="V6" t="inlineStr">
        <is>
          <t>匹拉</t>
        </is>
      </c>
      <c r="W6" t="inlineStr">
        <is>
          <t>斯立查</t>
        </is>
      </c>
      <c r="X6" t="inlineStr">
        <is>
          <t>林氏美</t>
        </is>
      </c>
      <c r="Y6" t="inlineStr">
        <is>
          <t>巴查</t>
        </is>
      </c>
      <c r="Z6" t="inlineStr">
        <is>
          <t>偉昌</t>
        </is>
      </c>
      <c r="AA6" t="inlineStr">
        <is>
          <t>努瓦</t>
        </is>
      </c>
      <c r="AB6" t="inlineStr">
        <is>
          <t>潘嵐狄</t>
        </is>
      </c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41" customHeight="1">
      <c r="A8" s="8" t="inlineStr">
        <is>
          <t>工作知識30%</t>
        </is>
      </c>
      <c r="B8" s="9" t="inlineStr">
        <is>
          <t>請就同仁的專業技能熟悉程度、依據標準作業執行產品生產的能力，以及確保產品完整性的品質意識進行綜合評量（總分 30 分）：______</t>
        </is>
      </c>
      <c r="C8" s="9" t="inlineStr">
        <is>
          <t>0~30</t>
        </is>
      </c>
    </row>
    <row r="9" ht="41" customHeight="1">
      <c r="A9" s="8" t="n"/>
      <c r="B9" s="13" t="inlineStr">
        <is>
          <t>你對於受評者在日常表現上或各種會議中，對於受評者工作的『正確率』，達成百分比</t>
        </is>
      </c>
      <c r="C9" s="22" t="inlineStr">
        <is>
          <t>10分100%
9分  90%
8分  80%
7分  70%
6分  60%
5分  50%
4分  40%
3分  30%
2分  20%
1分  10%</t>
        </is>
      </c>
      <c r="D9" s="6" t="n"/>
    </row>
    <row r="10" ht="77" customHeight="1">
      <c r="A10" s="8" t="inlineStr">
        <is>
          <t>工作表現40%</t>
        </is>
      </c>
      <c r="B10" s="21" t="inlineStr">
        <is>
          <t>*低於等於4分或高於等於9分，請說明原因：____________________</t>
        </is>
      </c>
    </row>
    <row r="11" ht="77" customHeight="1">
      <c r="B11" s="14" t="inlineStr">
        <is>
          <t>你對於受評者在日常表現上或各種會議中，對於受評者工作的『完成度』，達成百分比</t>
        </is>
      </c>
      <c r="C11" s="14" t="inlineStr">
        <is>
          <t>10分100%
9分  90%
8分  80%
7分  70%
6分  60%
5分  50%
4分  40%
3分  30%
2分  20%
1分  10%</t>
        </is>
      </c>
      <c r="D11" s="6" t="n"/>
    </row>
    <row r="12" ht="38.5" customHeight="1">
      <c r="B12" s="19" t="inlineStr">
        <is>
          <t>*低於等於4分或高於等於9分，請說明原因：____________________</t>
        </is>
      </c>
    </row>
    <row r="13" ht="38.5" customHeight="1">
      <c r="B13" s="13" t="inlineStr">
        <is>
          <t>受評者的工作品質</t>
        </is>
      </c>
      <c r="C13" s="13" t="inlineStr">
        <is>
          <t>✓工作品質穩定準確無誤且高度可靠，能自我修正改善 (17-20)
✓工作品質持續保持高水準且幾乎無需他人協助或修正 (13-16)
✓工作品質普通偶爾出錯，需告知修正改善 (8-12)
✓工作品質品質不穩錯誤頻繁，願意修正改善，需持續督導 (5-7)
✓工作品質粗糙低落不穩定，影響進度並需主管協助修正改善 (2-4)
✓工作品質極差，無法達到基本要求，缺乏改善能力與責任感 (0-1)</t>
        </is>
      </c>
      <c r="D13" s="6" t="n"/>
    </row>
    <row r="14" ht="30.5" customHeight="1">
      <c r="B14" s="21" t="inlineStr">
        <is>
          <t>*低於等於4分或高於等於17分，請說明原因：___________________________</t>
        </is>
      </c>
    </row>
    <row r="15" ht="30.5" customHeight="1">
      <c r="B15" s="14" t="inlineStr">
        <is>
          <t>【現場】「只限評分現場人員專用」</t>
        </is>
      </c>
      <c r="C15" s="15" t="inlineStr">
        <is>
          <t xml:space="preserve">✓積極配合排班與加班，並能準時高品質完成工作 (10)
✓配合加班完成工作，偶有延遲但能解釋清楚且態度積極(8-9)
✓須經常加班完成工作，但完成度尚可(6-7)
✓工作常延遲完成，即便有加班，需他人提醒(4-5)
✓加班時間長，但工作成效差或效率低落(2-3)
✓工作經常延誤交付、配合度低、態度消極(0-1)
</t>
        </is>
      </c>
      <c r="D15" s="6" t="n"/>
    </row>
    <row r="16" ht="42" customHeight="1">
      <c r="B16" s="19" t="inlineStr">
        <is>
          <t>*低於等於3分或高於等於8分，請說明原因：___________________________</t>
        </is>
      </c>
    </row>
    <row r="17" ht="56.5" customHeight="1">
      <c r="A17" s="8" t="n"/>
      <c r="B17" s="13" t="inlineStr">
        <is>
          <t>你對於受評者在日常任務完成表現</t>
        </is>
      </c>
      <c r="C17" s="22" t="inlineStr">
        <is>
          <t>✓主動完成分內工作並協助同仁完成共同任務 (10)
✓始終保持高度積極性，主動尋找改進方法 (9)
✓任勞任怨，竭盡所能完成任務 (6-7)
✓工作努力，份內工作完善 (4-5)
✓對所交付工作不積極，需主管常督促 (2-3)
✓工作常敷衍了事，做事粗心大意 (1)
✓缺乏熱情，無責任感，需不斷督促 (0)</t>
        </is>
      </c>
      <c r="D17" s="6" t="n"/>
    </row>
    <row r="18">
      <c r="A18" s="18" t="inlineStr">
        <is>
          <t>工作態度30%</t>
        </is>
      </c>
      <c r="B18" s="21" t="inlineStr">
        <is>
          <t>*低於等於1分或高於等於9分，請說明原因：___________________</t>
        </is>
      </c>
    </row>
    <row r="19" ht="45.5" customHeight="1">
      <c r="B19" s="14" t="inlineStr">
        <is>
          <t>是否願意和受評者一起工作?</t>
        </is>
      </c>
      <c r="C19" s="14" t="inlineStr">
        <is>
          <t>✓我很願意跟受評者一起工作(8-10)
✓我還算願意跟受評者一起工作(5-7)
✓我盡可能不跟受評者一起工作(2-4)
✓我不願意跟受評者一起工作(0-1)</t>
        </is>
      </c>
      <c r="D19" s="6" t="n"/>
    </row>
    <row r="20">
      <c r="B20" s="19" t="inlineStr">
        <is>
          <t>*低於等於1分或高於等於9分，請說明原因：__________________</t>
        </is>
      </c>
    </row>
    <row r="21" ht="50.5" customHeight="1">
      <c r="B21" s="25" t="n"/>
      <c r="C21" s="26" t="inlineStr">
        <is>
          <t>總分</t>
        </is>
      </c>
      <c r="D21" s="27">
        <f>SUM(D8:D20)</f>
        <v/>
      </c>
    </row>
    <row r="22">
      <c r="D22" s="6">
        <f>IF(OR(
  AND(D21&gt;=90, COUNTIF($D$21:$Z$21, "&gt;=90")/COUNTA($D$21:$Z$21)&gt;0.05),
  AND(D21&gt;=80,D21&lt;=89, (COUNTIF($D$21:$Z$21, "&gt;=80")-COUNTIF($D$21:$Z$21, "&gt;=90"))/COUNTA($D$21:$Z$21)&gt;0.2),
  AND(D21&gt;=70,D21&lt;=79, (COUNTIF($D$21:$Z$21, "&gt;=70")-COUNTIF($D$21:$Z$21, "&gt;=80"))/COUNTA($D$21:$Z$21)&gt;0.4),
  AND(D21&gt;=60,D21&lt;=69, (COUNTIF($D$21:$Z$21, "&gt;=60")-COUNTIF($D$21:$Z$21, "&gt;=70"))/COUNTA($D$21:$Z$21)&gt;0.3),
  AND(D21&lt;=59, COUNTIF($D$21:$Z$21, "&lt;=59")/COUNTA($D$21:$Z$21)&gt;0.05)
), "⚠ 超標！", "")</f>
        <v/>
      </c>
    </row>
  </sheetData>
  <mergeCells count="17">
    <mergeCell ref="D15:D16"/>
    <mergeCell ref="D19:D20"/>
    <mergeCell ref="C9:C10"/>
    <mergeCell ref="D9:D10"/>
    <mergeCell ref="A2:I2"/>
    <mergeCell ref="C17:C18"/>
    <mergeCell ref="D13:D14"/>
    <mergeCell ref="A6:C6"/>
    <mergeCell ref="A1:I1"/>
    <mergeCell ref="D17:D18"/>
    <mergeCell ref="C15:C16"/>
    <mergeCell ref="D11:D12"/>
    <mergeCell ref="C11:C12"/>
    <mergeCell ref="A10:A16"/>
    <mergeCell ref="C13:C14"/>
    <mergeCell ref="A18:A20"/>
    <mergeCell ref="C19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2026-05-28T01:34:20Z</dcterms:created>
  <dcterms:modified xsi:type="dcterms:W3CDTF">2026-05-28T01:34:20Z</dcterms:modified>
</cp:coreProperties>
</file>