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現場組長初評&amp;主管複評" sheetId="1" state="visible" r:id="rId1"/>
    <sheet name="組長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45.0898437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成倉組</t>
        </is>
      </c>
      <c r="B5" t="inlineStr">
        <is>
          <t>曾泓霖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戴曜瑋</t>
        </is>
      </c>
      <c r="E6" s="6" t="inlineStr">
        <is>
          <t>清馬拉</t>
        </is>
      </c>
      <c r="F6" s="6" t="inlineStr">
        <is>
          <t>沙達</t>
        </is>
      </c>
      <c r="G6" s="6" t="n"/>
      <c r="H6" s="6" t="n"/>
      <c r="I6" s="6" t="n"/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</row>
    <row r="8" ht="41" customHeight="1">
      <c r="A8" s="8" t="inlineStr">
        <is>
          <t>工作知識30%</t>
        </is>
      </c>
      <c r="B8" s="9" t="inlineStr">
        <is>
          <t>請就同仁的專業技能熟悉程度、依據標準作業執行產品生產的能力，以及確保產品完整性的品質意識進行綜合評量（總分 30 分）：______</t>
        </is>
      </c>
      <c r="C8" s="9" t="inlineStr">
        <is>
          <t>0~30</t>
        </is>
      </c>
    </row>
    <row r="9" ht="41" customHeight="1">
      <c r="A9" s="8" t="n"/>
      <c r="B9" s="10" t="inlineStr">
        <is>
          <t>你對於受評者在日常表現上或各種會議中，對於受評者工作的『正確率』，達成百分比</t>
        </is>
      </c>
      <c r="C9" s="11" t="inlineStr">
        <is>
          <t>10分100%
9分  90%
8分  80%
7分  70%
6分  60%
5分  50%
4分  40%
3分  30%
2分  20%
1分  10%</t>
        </is>
      </c>
      <c r="D9" s="6" t="n"/>
    </row>
    <row r="10" ht="77" customHeight="1">
      <c r="A10" s="8" t="inlineStr">
        <is>
          <t>工作表現40%</t>
        </is>
      </c>
      <c r="B10" s="12" t="inlineStr">
        <is>
          <t>*低於等於4分或高於等於9分，請說明原因：____________________</t>
        </is>
      </c>
    </row>
    <row r="11" ht="77" customHeight="1">
      <c r="B11" s="13" t="inlineStr">
        <is>
          <t>你對於受評者在日常表現上或各種會議中，對於受評者工作的『完成度』，達成百分比</t>
        </is>
      </c>
      <c r="C11" s="13" t="inlineStr">
        <is>
          <t>10分100%
9分  90%
8分  80%
7分  70%
6分  60%
5分  50%
4分  40%
3分  30%
2分  20%
1分  10%</t>
        </is>
      </c>
      <c r="D11" s="6" t="n"/>
    </row>
    <row r="12" ht="38.5" customHeight="1">
      <c r="B12" s="14" t="inlineStr">
        <is>
          <t>*低於等於4分或高於等於9分，請說明原因：____________________</t>
        </is>
      </c>
    </row>
    <row r="13" ht="38.5" customHeight="1">
      <c r="B13" s="10" t="inlineStr">
        <is>
          <t>受評者的工作品質</t>
        </is>
      </c>
      <c r="C13" s="10" t="inlineStr">
        <is>
          <t>✓工作品質穩定準確無誤且高度可靠，能自我修正改善 (17-20)
✓工作品質持續保持高水準且幾乎無需他人協助或修正 (13-16)
✓工作品質普通偶爾出錯，需告知修正改善 (8-12)
✓工作品質品質不穩錯誤頻繁，願意修正改善，需持續督導 (5-7)
✓工作品質粗糙低落不穩定，影響進度並需主管協助修正改善 (2-4)
✓工作品質極差，無法達到基本要求，缺乏改善能力與責任感 (0-1)</t>
        </is>
      </c>
      <c r="D13" s="6" t="n"/>
    </row>
    <row r="14" ht="30.5" customHeight="1">
      <c r="B14" s="12" t="inlineStr">
        <is>
          <t>*低於等於4分或高於等於17分，請說明原因：___________________________</t>
        </is>
      </c>
    </row>
    <row r="15" ht="30.5" customHeight="1">
      <c r="B15" s="13" t="inlineStr">
        <is>
          <t>【現場】「只限評分現場人員專用」</t>
        </is>
      </c>
      <c r="C15" s="15" t="inlineStr">
        <is>
          <t xml:space="preserve">✓積極配合排班與加班，並能準時高品質完成工作 (10)
✓配合加班完成工作，偶有延遲但能解釋清楚且態度積極(8-9)
✓須經常加班完成工作，但完成度尚可(6-7)
✓工作常延遲完成，即便有加班，需他人提醒(4-5)
✓加班時間長，但工作成效差或效率低落(2-3)
✓工作經常延誤交付、配合度低、態度消極(0-1)
</t>
        </is>
      </c>
      <c r="D15" s="6" t="n"/>
    </row>
    <row r="16" ht="42" customHeight="1">
      <c r="B16" s="14" t="inlineStr">
        <is>
          <t>*低於等於3分或高於等於8分，請說明原因：___________________________</t>
        </is>
      </c>
    </row>
    <row r="17" ht="56.5" customHeight="1">
      <c r="A17" s="8" t="n"/>
      <c r="B17" s="10" t="inlineStr">
        <is>
          <t>你對於受評者在日常任務完成表現</t>
        </is>
      </c>
      <c r="C17" s="11" t="inlineStr">
        <is>
          <t>✓主動完成分內工作並協助同仁完成共同任務 (10)
✓始終保持高度積極性，主動尋找改進方法 (9)
✓任勞任怨，竭盡所能完成任務 (6-7)
✓工作努力，份內工作完善 (4-5)
✓對所交付工作不積極，需主管常督促 (2-3)
✓工作常敷衍了事，做事粗心大意 (1)
✓缺乏熱情，無責任感，需不斷督促 (0)</t>
        </is>
      </c>
      <c r="D17" s="6" t="n"/>
    </row>
    <row r="18">
      <c r="A18" s="16" t="inlineStr">
        <is>
          <t>工作態度30%</t>
        </is>
      </c>
      <c r="B18" s="12" t="inlineStr">
        <is>
          <t>*低於等於1分或高於等於9分，請說明原因：___________________</t>
        </is>
      </c>
    </row>
    <row r="19" ht="45.5" customHeight="1">
      <c r="B19" s="13" t="inlineStr">
        <is>
          <t>是否願意和受評者一起工作?</t>
        </is>
      </c>
      <c r="C19" s="13" t="inlineStr">
        <is>
          <t>✓我很願意跟受評者一起工作(8-10)
✓我還算願意跟受評者一起工作(5-7)
✓我盡可能不跟受評者一起工作(2-4)
✓我不願意跟受評者一起工作(0-1)</t>
        </is>
      </c>
      <c r="D19" s="6" t="n"/>
    </row>
    <row r="20">
      <c r="B20" s="14" t="inlineStr">
        <is>
          <t>*低於等於1分或高於等於9分，請說明原因：__________________</t>
        </is>
      </c>
    </row>
    <row r="21" ht="50.5" customHeight="1">
      <c r="B21" s="17" t="n"/>
      <c r="C21" s="18" t="inlineStr">
        <is>
          <t>總分</t>
        </is>
      </c>
      <c r="D21" s="19">
        <f>SUM(D8:D20)</f>
        <v/>
      </c>
    </row>
    <row r="22">
      <c r="D22" s="6">
        <f>IF(OR(
  AND(D21&gt;=90, COUNTIF($D$21:$Z$21, "&gt;=90")/COUNTA($D$21:$Z$21)&gt;0.05),
  AND(D21&gt;=80,D21&lt;=89, (COUNTIF($D$21:$Z$21, "&gt;=80")-COUNTIF($D$21:$Z$21, "&gt;=90"))/COUNTA($D$21:$Z$21)&gt;0.2),
  AND(D21&gt;=70,D21&lt;=79, (COUNTIF($D$21:$Z$21, "&gt;=70")-COUNTIF($D$21:$Z$21, "&gt;=80"))/COUNTA($D$21:$Z$21)&gt;0.4),
  AND(D21&gt;=60,D21&lt;=69, (COUNTIF($D$21:$Z$21, "&gt;=60")-COUNTIF($D$21:$Z$21, "&gt;=70"))/COUNTA($D$21:$Z$21)&gt;0.3),
  AND(D21&lt;=59, COUNTIF($D$21:$Z$21, "&lt;=59")/COUNTA($D$21:$Z$21)&gt;0.05)
), "⚠ 超標！", "")</f>
        <v/>
      </c>
    </row>
  </sheetData>
  <mergeCells count="17">
    <mergeCell ref="D15:D16"/>
    <mergeCell ref="D19:D20"/>
    <mergeCell ref="C9:C10"/>
    <mergeCell ref="D9:D10"/>
    <mergeCell ref="A2:I2"/>
    <mergeCell ref="C17:C18"/>
    <mergeCell ref="D13:D14"/>
    <mergeCell ref="A6:C6"/>
    <mergeCell ref="A1:I1"/>
    <mergeCell ref="D17:D18"/>
    <mergeCell ref="C15:C16"/>
    <mergeCell ref="D11:D12"/>
    <mergeCell ref="C11:C12"/>
    <mergeCell ref="A10:A16"/>
    <mergeCell ref="C13:C14"/>
    <mergeCell ref="A18:A20"/>
    <mergeCell ref="C19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6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績效考核組長共同評分表(主管職)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成倉組</t>
        </is>
      </c>
      <c r="B5" t="inlineStr">
        <is>
          <t>曾泓霖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郭惠燕</t>
        </is>
      </c>
      <c r="E6" s="6" t="inlineStr">
        <is>
          <t>陳怡珊</t>
        </is>
      </c>
      <c r="F6" s="6" t="inlineStr">
        <is>
          <t>吉實達</t>
        </is>
      </c>
      <c r="G6" s="6" t="inlineStr">
        <is>
          <t>紀佩欣</t>
        </is>
      </c>
      <c r="H6" s="6" t="inlineStr">
        <is>
          <t>覃麗嬋</t>
        </is>
      </c>
      <c r="I6" s="6" t="n"/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</row>
    <row r="8" ht="84" customHeight="1">
      <c r="A8" s="8" t="inlineStr">
        <is>
          <t>工作知識20%</t>
        </is>
      </c>
      <c r="B8" s="9" t="inlineStr">
        <is>
          <t>製程技術與操作技能熟悉度（10 分）</t>
        </is>
      </c>
      <c r="C8" s="9" t="inlineStr">
        <is>
          <t xml:space="preserve">✓熟悉完整製程，能獨立操作並教導新人；能判斷常見異常並立即處理。 (9-10) 
✓熟悉大部分製程；偶須協助但可自主完成作業。 (7-8) 
✓對製程理解普通；不易判斷異常；需提醒才能正確操作。(5-6)  
✓技術掌握度不足；經常操作錯誤；需大量指導。(3-4)  
✓不熟悉製程；錯誤率高；無法獨立作業或教導他人。(0-2) </t>
        </is>
      </c>
    </row>
    <row r="9" ht="84" customHeight="1">
      <c r="B9" s="13" t="inlineStr">
        <is>
          <t>產品知識與設備保養管理（10 分）</t>
        </is>
      </c>
      <c r="C9" s="13" t="inlineStr">
        <is>
          <t xml:space="preserve">✓熟知產品規格、品質要求、主要不良模式；保養確實、設備狀況佳。 (9-10) 
✓了解基本產品要求；保養紀錄完整；偶需提醒。 (7-8) 
✓產品知識不足；偶常漏做保養；需指導才能完成。(5-6)  
✓無法判別不良；保養不確實；設備異常頻繁。(3-4)  
✓不不懂產品、不做保養；設備狀況差，影響產線運作。(0-2) </t>
        </is>
      </c>
    </row>
    <row r="10" ht="53" customHeight="1">
      <c r="A10" s="8" t="inlineStr">
        <is>
          <t>團隊溝通協調能力20%</t>
        </is>
      </c>
      <c r="B10" s="20" t="inlineStr">
        <is>
          <t>受評者的溝通協調與配合度</t>
        </is>
      </c>
      <c r="C10" s="10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</row>
    <row r="11" ht="53" customHeight="1">
      <c r="A11" s="8" t="n"/>
      <c r="B11" s="13" t="inlineStr">
        <is>
          <t>對於主管交辦的任務</t>
        </is>
      </c>
      <c r="C11" s="15" t="inlineStr">
        <is>
          <t>✓對於主管交辦的任務均能完成 (15)
✓對於主管交辦的任務均能完成90%以上 (13-14)
✓對於主管交辦的任務均能完成80%以上 (10-12)
✓對於主管交辦的任務均能完成70%以上 (7-9)
✓對於主管交辦的任務均能完成60%以上 (4-6)
✓對於主管交辦的任務僅達成59%以下 (2-3)
✓對於主管交辦的任務常說”我不會、我不要、不是我”(0~1)</t>
        </is>
      </c>
      <c r="D11" s="6" t="n"/>
    </row>
    <row r="12" ht="57.5" customHeight="1">
      <c r="A12" s="16" t="inlineStr">
        <is>
          <t>工作態度
30%</t>
        </is>
      </c>
      <c r="B12" s="14" t="inlineStr">
        <is>
          <t>*低於等於3分或高於等於13分，請說明原因： __________________________</t>
        </is>
      </c>
    </row>
    <row r="13" ht="46" customHeight="1">
      <c r="B13" s="10" t="inlineStr">
        <is>
          <t>對於工作任務完成度</t>
        </is>
      </c>
      <c r="C13" s="10" t="inlineStr">
        <is>
          <t>✓準時上下班工作均能完成 (14-15)
✓偶爾加班也能完成工作 (11-13)
✓經常加班來完成工作 (8-10)
✓準時上下班但工作延遲完成 (5-7)
✓雖偶爾加班但工作延遲完成 (2-4)
✓雖經常加班但工作還是延遲完成 (0-1)</t>
        </is>
      </c>
      <c r="D13" s="6" t="n"/>
    </row>
    <row r="14" ht="22" customHeight="1">
      <c r="B14" s="12" t="inlineStr">
        <is>
          <t>*低於等於1或高於等於14分，請說明原因：___________________________</t>
        </is>
      </c>
    </row>
    <row r="15" ht="22" customHeight="1">
      <c r="A15" s="8" t="n"/>
      <c r="B15" s="13" t="inlineStr">
        <is>
          <t>※印象中你對受評者在指導與覆核部屬方面，願意給幾分</t>
        </is>
      </c>
      <c r="C15" s="15" t="inlineStr">
        <is>
          <t xml:space="preserve">✓經常主動指導(領導)部屬 (16-20)
✓需經部屬提出並樂意指導(領導) (11-15)
✓部屬不提出則無指導(領導) (6-10)
✓部屬提出仍不指導(領導) (0~5)
</t>
        </is>
      </c>
      <c r="D15" s="6" t="n"/>
    </row>
    <row r="16" ht="50" customHeight="1">
      <c r="A16" s="16" t="inlineStr">
        <is>
          <t>領導統御
30%</t>
        </is>
      </c>
      <c r="B16" s="14" t="inlineStr">
        <is>
          <t>*低於等於6分或高於等於16分，請說明原因：________________</t>
        </is>
      </c>
    </row>
    <row r="17" ht="50" customHeight="1">
      <c r="B17" s="10" t="inlineStr">
        <is>
          <t>是否願意和受評者一起工作?</t>
        </is>
      </c>
      <c r="C17" s="10" t="inlineStr">
        <is>
          <t>✓我很願意跟受評者一起工作(8~10)
✓我還算願意跟受評者一起工作(5~7)
✓我盡可能不跟受評者一起工作(2~4)
✓我不願意跟受評者一起工作(0-1)</t>
        </is>
      </c>
      <c r="D17" s="6" t="n"/>
    </row>
    <row r="18">
      <c r="B18" s="12" t="inlineStr">
        <is>
          <t>*低於等於3分或最高分，請敘述狀況：_________________________</t>
        </is>
      </c>
    </row>
    <row r="19" ht="50.5" customHeight="1">
      <c r="B19" s="17" t="n"/>
      <c r="C19" s="18" t="inlineStr">
        <is>
          <t>總分</t>
        </is>
      </c>
      <c r="D19" s="19">
        <f>SUM(D8:D18)</f>
        <v/>
      </c>
    </row>
    <row r="20">
      <c r="D20" s="6">
        <f>IF(OR(
  AND(D19&gt;=90, COUNTIF($D$19:$Z$19, "&gt;=90")/COUNTA($D$19:$Z$19)&gt;0.05),
  AND(D19&gt;=80,D19&lt;=89, (COUNTIF($D$19:$Z$19, "&gt;=80")-COUNTIF($D$19:$Z$19, "&gt;=90"))/COUNTA($D$19:$Z$19)&gt;0.2),
  AND(D19&gt;=70,D19&lt;=79, (COUNTIF($D$19:$Z$19, "&gt;=70")-COUNTIF($D$19:$Z$19, "&gt;=80"))/COUNTA($D$19:$Z$19)&gt;0.4),
  AND(D19&gt;=60,D19&lt;=69, (COUNTIF($D$19:$Z$19, "&gt;=60")-COUNTIF($D$19:$Z$19, "&gt;=70"))/COUNTA($D$19:$Z$19)&gt;0.3),
  AND(D19&lt;=59, COUNTIF($D$19:$Z$19, "&lt;=59")/COUNTA($D$19:$Z$19)&gt;0.05)
), "⚠ 超標！", "")</f>
        <v/>
      </c>
    </row>
  </sheetData>
  <mergeCells count="14">
    <mergeCell ref="D15:D16"/>
    <mergeCell ref="A12:A14"/>
    <mergeCell ref="A8:A9"/>
    <mergeCell ref="A2:I2"/>
    <mergeCell ref="A16:A18"/>
    <mergeCell ref="C17:C18"/>
    <mergeCell ref="D13:D14"/>
    <mergeCell ref="A6:C6"/>
    <mergeCell ref="A1:I1"/>
    <mergeCell ref="D17:D18"/>
    <mergeCell ref="C15:C16"/>
    <mergeCell ref="D11:D12"/>
    <mergeCell ref="C11:C12"/>
    <mergeCell ref="C13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2026-06-05T07:12:40Z</dcterms:created>
  <dcterms:modified xsi:type="dcterms:W3CDTF">2026-06-05T07:12:41Z</dcterms:modified>
</cp:coreProperties>
</file>