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品保課</t>
        </is>
      </c>
      <c r="B5" t="inlineStr">
        <is>
          <t>詹郁瑛</t>
        </is>
      </c>
      <c r="C5" s="3">
        <f>COUNTIF(D6:F6,"&lt;&gt;")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朱冠瑋</t>
        </is>
      </c>
      <c r="E6" s="7" t="inlineStr">
        <is>
          <t>周清家</t>
        </is>
      </c>
      <c r="F6" s="7" t="inlineStr">
        <is>
          <t>林依婷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品保課</t>
        </is>
      </c>
      <c r="B5" t="inlineStr">
        <is>
          <t>詹郁瑛</t>
        </is>
      </c>
      <c r="C5" s="3">
        <f>COUNTIF(D6:Q6,"&lt;&gt;")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石容瑄</t>
        </is>
      </c>
      <c r="H6" s="7" t="inlineStr">
        <is>
          <t>陳惠萍</t>
        </is>
      </c>
      <c r="I6" s="7" t="inlineStr">
        <is>
          <t>尤念萍</t>
        </is>
      </c>
      <c r="J6" t="inlineStr">
        <is>
          <t>林德和</t>
        </is>
      </c>
      <c r="K6" t="inlineStr">
        <is>
          <t>羅文彥</t>
        </is>
      </c>
      <c r="L6" t="inlineStr">
        <is>
          <t>楊心恬</t>
        </is>
      </c>
      <c r="M6" t="inlineStr">
        <is>
          <t>陳巧倫</t>
        </is>
      </c>
      <c r="N6" t="inlineStr">
        <is>
          <t>郭惠婷</t>
        </is>
      </c>
      <c r="O6" t="inlineStr">
        <is>
          <t>尤秐棠</t>
        </is>
      </c>
      <c r="P6" t="inlineStr">
        <is>
          <t>陳孟怡</t>
        </is>
      </c>
      <c r="Q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</row>
    <row r="9" ht="123" customHeight="1">
      <c r="A9" s="37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</row>
    <row r="11" ht="52" customHeight="1">
      <c r="A11" s="42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14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</row>
    <row r="14" ht="70" customHeight="1">
      <c r="A14" s="37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</row>
    <row r="17" ht="55" customHeight="1">
      <c r="B17" s="28" t="inlineStr">
        <is>
          <t>*低於等於8分或高於等於16分，請說明原因： _________________________</t>
        </is>
      </c>
      <c r="D17" s="14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</row>
    <row r="18" ht="23.5" customHeight="1">
      <c r="C18" s="32" t="inlineStr">
        <is>
          <t>總分</t>
        </is>
      </c>
      <c r="D18" s="50">
        <f>SUM(D8:D17)</f>
        <v/>
      </c>
      <c r="E18" s="50">
        <f>SUM(E8:E17)</f>
        <v/>
      </c>
      <c r="F18" s="50">
        <f>SUM(F8:F17)</f>
        <v/>
      </c>
      <c r="G18" s="50">
        <f>SUM(G8:G17)</f>
        <v/>
      </c>
      <c r="H18" s="50">
        <f>SUM(H8:H17)</f>
        <v/>
      </c>
      <c r="I18" s="50">
        <f>SUM(I8:I17)</f>
        <v/>
      </c>
      <c r="J18" s="50">
        <f>SUM(J8:J17)</f>
        <v/>
      </c>
      <c r="K18" s="50">
        <f>SUM(K8:K17)</f>
        <v/>
      </c>
      <c r="L18" s="50">
        <f>SUM(L8:L17)</f>
        <v/>
      </c>
      <c r="M18" s="50">
        <f>SUM(M8:M17)</f>
        <v/>
      </c>
      <c r="N18" s="50">
        <f>SUM(N8:N17)</f>
        <v/>
      </c>
      <c r="O18" s="50">
        <f>SUM(O8:O17)</f>
        <v/>
      </c>
      <c r="P18" s="50">
        <f>SUM(P8:P17)</f>
        <v/>
      </c>
      <c r="Q18" s="50">
        <f>SUM(Q8:Q17)</f>
        <v/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  <c r="K19" s="7">
        <f>IF(OR(
  AND(K18&gt;=90, COUNTIF($D$18:$Z$18, "&gt;=90")/COUNTA($D$18:$Z$18)&gt;0.05),
  AND(K18&gt;=80,K18&lt;=89, (COUNTIF($D$18:$Z$18, "&gt;=80")-COUNTIF($D$18:$Z$18, "&gt;=90"))/COUNTA($D$18:$Z$18)&gt;0.2),
  AND(K18&gt;=70,K18&lt;=79, (COUNTIF($D$18:$Z$18, "&gt;=70")-COUNTIF($D$18:$Z$18, "&gt;=80"))/COUNTA($D$18:$Z$18)&gt;0.4),
  AND(K18&gt;=60,K18&lt;=69, (COUNTIF($D$18:$Z$18, "&gt;=60")-COUNTIF($D$18:$Z$18, "&gt;=70"))/COUNTA($D$18:$Z$18)&gt;0.3),
  AND(K18&lt;=59, COUNTIF($D$18:$Z$18, "&lt;=59")/COUNTA($D$18:$Z$18)&gt;0.05)
), "⚠ 超標！", "")</f>
        <v/>
      </c>
      <c r="L19" s="7">
        <f>IF(OR(
  AND(L18&gt;=90, COUNTIF($D$18:$Z$18, "&gt;=90")/COUNTA($D$18:$Z$18)&gt;0.05),
  AND(L18&gt;=80,L18&lt;=89, (COUNTIF($D$18:$Z$18, "&gt;=80")-COUNTIF($D$18:$Z$18, "&gt;=90"))/COUNTA($D$18:$Z$18)&gt;0.2),
  AND(L18&gt;=70,L18&lt;=79, (COUNTIF($D$18:$Z$18, "&gt;=70")-COUNTIF($D$18:$Z$18, "&gt;=80"))/COUNTA($D$18:$Z$18)&gt;0.4),
  AND(L18&gt;=60,L18&lt;=69, (COUNTIF($D$18:$Z$18, "&gt;=60")-COUNTIF($D$18:$Z$18, "&gt;=70"))/COUNTA($D$18:$Z$18)&gt;0.3),
  AND(L18&lt;=59, COUNTIF($D$18:$Z$18, "&lt;=59")/COUNTA($D$18:$Z$18)&gt;0.05)
), "⚠ 超標！", "")</f>
        <v/>
      </c>
      <c r="M19" s="7">
        <f>IF(OR(
  AND(M18&gt;=90, COUNTIF($D$18:$Z$18, "&gt;=90")/COUNTA($D$18:$Z$18)&gt;0.05),
  AND(M18&gt;=80,M18&lt;=89, (COUNTIF($D$18:$Z$18, "&gt;=80")-COUNTIF($D$18:$Z$18, "&gt;=90"))/COUNTA($D$18:$Z$18)&gt;0.2),
  AND(M18&gt;=70,M18&lt;=79, (COUNTIF($D$18:$Z$18, "&gt;=70")-COUNTIF($D$18:$Z$18, "&gt;=80"))/COUNTA($D$18:$Z$18)&gt;0.4),
  AND(M18&gt;=60,M18&lt;=69, (COUNTIF($D$18:$Z$18, "&gt;=60")-COUNTIF($D$18:$Z$18, "&gt;=70"))/COUNTA($D$18:$Z$18)&gt;0.3),
  AND(M18&lt;=59, COUNTIF($D$18:$Z$18, "&lt;=59")/COUNTA($D$18:$Z$18)&gt;0.05)
), "⚠ 超標！", "")</f>
        <v/>
      </c>
      <c r="N19" s="7">
        <f>IF(OR(
  AND(N18&gt;=90, COUNTIF($D$18:$Z$18, "&gt;=90")/COUNTA($D$18:$Z$18)&gt;0.05),
  AND(N18&gt;=80,N18&lt;=89, (COUNTIF($D$18:$Z$18, "&gt;=80")-COUNTIF($D$18:$Z$18, "&gt;=90"))/COUNTA($D$18:$Z$18)&gt;0.2),
  AND(N18&gt;=70,N18&lt;=79, (COUNTIF($D$18:$Z$18, "&gt;=70")-COUNTIF($D$18:$Z$18, "&gt;=80"))/COUNTA($D$18:$Z$18)&gt;0.4),
  AND(N18&gt;=60,N18&lt;=69, (COUNTIF($D$18:$Z$18, "&gt;=60")-COUNTIF($D$18:$Z$18, "&gt;=70"))/COUNTA($D$18:$Z$18)&gt;0.3),
  AND(N18&lt;=59, COUNTIF($D$18:$Z$18, "&lt;=59")/COUNTA($D$18:$Z$18)&gt;0.05)
), "⚠ 超標！", "")</f>
        <v/>
      </c>
      <c r="O19" s="7">
        <f>IF(OR(
  AND(O18&gt;=90, COUNTIF($D$18:$Z$18, "&gt;=90")/COUNTA($D$18:$Z$18)&gt;0.05),
  AND(O18&gt;=80,O18&lt;=89, (COUNTIF($D$18:$Z$18, "&gt;=80")-COUNTIF($D$18:$Z$18, "&gt;=90"))/COUNTA($D$18:$Z$18)&gt;0.2),
  AND(O18&gt;=70,O18&lt;=79, (COUNTIF($D$18:$Z$18, "&gt;=70")-COUNTIF($D$18:$Z$18, "&gt;=80"))/COUNTA($D$18:$Z$18)&gt;0.4),
  AND(O18&gt;=60,O18&lt;=69, (COUNTIF($D$18:$Z$18, "&gt;=60")-COUNTIF($D$18:$Z$18, "&gt;=70"))/COUNTA($D$18:$Z$18)&gt;0.3),
  AND(O18&lt;=59, COUNTIF($D$18:$Z$18, "&lt;=59")/COUNTA($D$18:$Z$18)&gt;0.05)
), "⚠ 超標！", "")</f>
        <v/>
      </c>
      <c r="P19" s="7">
        <f>IF(OR(
  AND(P18&gt;=90, COUNTIF($D$18:$Z$18, "&gt;=90")/COUNTA($D$18:$Z$18)&gt;0.05),
  AND(P18&gt;=80,P18&lt;=89, (COUNTIF($D$18:$Z$18, "&gt;=80")-COUNTIF($D$18:$Z$18, "&gt;=90"))/COUNTA($D$18:$Z$18)&gt;0.2),
  AND(P18&gt;=70,P18&lt;=79, (COUNTIF($D$18:$Z$18, "&gt;=70")-COUNTIF($D$18:$Z$18, "&gt;=80"))/COUNTA($D$18:$Z$18)&gt;0.4),
  AND(P18&gt;=60,P18&lt;=69, (COUNTIF($D$18:$Z$18, "&gt;=60")-COUNTIF($D$18:$Z$18, "&gt;=70"))/COUNTA($D$18:$Z$18)&gt;0.3),
  AND(P18&lt;=59, COUNTIF($D$18:$Z$18, "&lt;=59")/COUNTA($D$18:$Z$18)&gt;0.05)
), "⚠ 超標！", "")</f>
        <v/>
      </c>
      <c r="Q19" s="7">
        <f>IF(OR(
  AND(Q18&gt;=90, COUNTIF($D$18:$Z$18, "&gt;=90")/COUNTA($D$18:$Z$18)&gt;0.05),
  AND(Q18&gt;=80,Q18&lt;=89, (COUNTIF($D$18:$Z$18, "&gt;=80")-COUNTIF($D$18:$Z$18, "&gt;=90"))/COUNTA($D$18:$Z$18)&gt;0.2),
  AND(Q18&gt;=70,Q18&lt;=79, (COUNTIF($D$18:$Z$18, "&gt;=70")-COUNTIF($D$18:$Z$18, "&gt;=80"))/COUNTA($D$18:$Z$18)&gt;0.4),
  AND(Q18&gt;=60,Q18&lt;=69, (COUNTIF($D$18:$Z$18, "&gt;=60")-COUNTIF($D$18:$Z$18, "&gt;=70"))/COUNTA($D$18:$Z$18)&gt;0.3),
  AND(Q18&lt;=59,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2026-06-05T07:49:48Z</dcterms:created>
  <dcterms:modified xsi:type="dcterms:W3CDTF">2026-06-05T07:49:48Z</dcterms:modified>
</cp:coreProperties>
</file>