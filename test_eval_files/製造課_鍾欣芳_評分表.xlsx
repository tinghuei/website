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製造課</t>
        </is>
      </c>
      <c r="B5" t="inlineStr">
        <is>
          <t>鍾欣芳</t>
        </is>
      </c>
      <c r="C5" s="3">
        <f>COUNTIF(D6:D6,"&lt;&gt;")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楊玉鳳</t>
        </is>
      </c>
      <c r="E6" s="7" t="n"/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 t="n">
        <v>79.5</v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製造課</t>
        </is>
      </c>
      <c r="B5" t="inlineStr">
        <is>
          <t>鍾欣芳</t>
        </is>
      </c>
      <c r="C5" s="3">
        <f>COUNTIF(D6:S6,"&lt;&gt;")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周清家</t>
        </is>
      </c>
      <c r="H6" s="7" t="inlineStr">
        <is>
          <t>詹郁瑛</t>
        </is>
      </c>
      <c r="I6" s="7" t="inlineStr">
        <is>
          <t>林依婷</t>
        </is>
      </c>
      <c r="J6" t="inlineStr">
        <is>
          <t>石容瑄</t>
        </is>
      </c>
      <c r="K6" t="inlineStr">
        <is>
          <t>陳惠萍</t>
        </is>
      </c>
      <c r="L6" t="inlineStr">
        <is>
          <t>尤念萍</t>
        </is>
      </c>
      <c r="M6" t="inlineStr">
        <is>
          <t>林德和</t>
        </is>
      </c>
      <c r="N6" t="inlineStr">
        <is>
          <t>羅文彥</t>
        </is>
      </c>
      <c r="O6" t="inlineStr">
        <is>
          <t>楊心恬</t>
        </is>
      </c>
      <c r="P6" t="inlineStr">
        <is>
          <t>陳巧倫</t>
        </is>
      </c>
      <c r="Q6" t="inlineStr">
        <is>
          <t>郭惠婷</t>
        </is>
      </c>
      <c r="R6" t="inlineStr">
        <is>
          <t>尤秐棠</t>
        </is>
      </c>
      <c r="S6" t="inlineStr">
        <is>
          <t>陳孟怡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</row>
    <row r="9" ht="123" customHeight="1">
      <c r="A9" s="37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</row>
    <row r="11" ht="52" customHeight="1">
      <c r="A11" s="42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14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</row>
    <row r="14" ht="70" customHeight="1">
      <c r="A14" s="37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</row>
    <row r="17" ht="55" customHeight="1">
      <c r="B17" s="28" t="inlineStr">
        <is>
          <t>*低於等於8分或高於等於16分，請說明原因： _________________________</t>
        </is>
      </c>
      <c r="D17" s="14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</row>
    <row r="18" ht="23.5" customHeight="1">
      <c r="C18" s="32" t="inlineStr">
        <is>
          <t>總分</t>
        </is>
      </c>
      <c r="D18" s="50" t="n">
        <v>79.5</v>
      </c>
      <c r="E18" s="50" t="n">
        <v>80.5</v>
      </c>
      <c r="F18" s="50" t="n">
        <v>81.5</v>
      </c>
      <c r="G18" s="50" t="n">
        <v>82.5</v>
      </c>
      <c r="H18" s="50" t="n">
        <v>83.5</v>
      </c>
      <c r="I18" s="50" t="n">
        <v>84.5</v>
      </c>
      <c r="J18" s="50" t="n">
        <v>85.5</v>
      </c>
      <c r="K18" s="50" t="n">
        <v>86.5</v>
      </c>
      <c r="L18" s="50" t="n">
        <v>87.5</v>
      </c>
      <c r="M18" s="50" t="n">
        <v>88.5</v>
      </c>
      <c r="N18" s="50" t="n">
        <v>89.5</v>
      </c>
      <c r="O18" s="50" t="n">
        <v>90.5</v>
      </c>
      <c r="P18" s="50" t="n">
        <v>91.5</v>
      </c>
      <c r="Q18" s="50" t="n">
        <v>92.5</v>
      </c>
      <c r="R18" s="50" t="n">
        <v>93.5</v>
      </c>
      <c r="S18" s="50" t="n">
        <v>94.5</v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  <c r="K19" s="7">
        <f>IF(OR(
  AND(K18&gt;=90, COUNTIF($D$18:$Z$18, "&gt;=90")/COUNTA($D$18:$Z$18)&gt;0.05),
  AND(K18&gt;=80,K18&lt;=89, (COUNTIF($D$18:$Z$18, "&gt;=80")-COUNTIF($D$18:$Z$18, "&gt;=90"))/COUNTA($D$18:$Z$18)&gt;0.2),
  AND(K18&gt;=70,K18&lt;=79, (COUNTIF($D$18:$Z$18, "&gt;=70")-COUNTIF($D$18:$Z$18, "&gt;=80"))/COUNTA($D$18:$Z$18)&gt;0.4),
  AND(K18&gt;=60,K18&lt;=69, (COUNTIF($D$18:$Z$18, "&gt;=60")-COUNTIF($D$18:$Z$18, "&gt;=70"))/COUNTA($D$18:$Z$18)&gt;0.3),
  AND(K18&lt;=59, COUNTIF($D$18:$Z$18, "&lt;=59")/COUNTA($D$18:$Z$18)&gt;0.05)
), "⚠ 超標！", "")</f>
        <v/>
      </c>
      <c r="L19" s="7">
        <f>IF(OR(
  AND(L18&gt;=90, COUNTIF($D$18:$Z$18, "&gt;=90")/COUNTA($D$18:$Z$18)&gt;0.05),
  AND(L18&gt;=80,L18&lt;=89, (COUNTIF($D$18:$Z$18, "&gt;=80")-COUNTIF($D$18:$Z$18, "&gt;=90"))/COUNTA($D$18:$Z$18)&gt;0.2),
  AND(L18&gt;=70,L18&lt;=79, (COUNTIF($D$18:$Z$18, "&gt;=70")-COUNTIF($D$18:$Z$18, "&gt;=80"))/COUNTA($D$18:$Z$18)&gt;0.4),
  AND(L18&gt;=60,L18&lt;=69, (COUNTIF($D$18:$Z$18, "&gt;=60")-COUNTIF($D$18:$Z$18, "&gt;=70"))/COUNTA($D$18:$Z$18)&gt;0.3),
  AND(L18&lt;=59, COUNTIF($D$18:$Z$18, "&lt;=59")/COUNTA($D$18:$Z$18)&gt;0.05)
), "⚠ 超標！", "")</f>
        <v/>
      </c>
      <c r="M19" s="7">
        <f>IF(OR(
  AND(M18&gt;=90, COUNTIF($D$18:$Z$18, "&gt;=90")/COUNTA($D$18:$Z$18)&gt;0.05),
  AND(M18&gt;=80,M18&lt;=89, (COUNTIF($D$18:$Z$18, "&gt;=80")-COUNTIF($D$18:$Z$18, "&gt;=90"))/COUNTA($D$18:$Z$18)&gt;0.2),
  AND(M18&gt;=70,M18&lt;=79, (COUNTIF($D$18:$Z$18, "&gt;=70")-COUNTIF($D$18:$Z$18, "&gt;=80"))/COUNTA($D$18:$Z$18)&gt;0.4),
  AND(M18&gt;=60,M18&lt;=69, (COUNTIF($D$18:$Z$18, "&gt;=60")-COUNTIF($D$18:$Z$18, "&gt;=70"))/COUNTA($D$18:$Z$18)&gt;0.3),
  AND(M18&lt;=59, COUNTIF($D$18:$Z$18, "&lt;=59")/COUNTA($D$18:$Z$18)&gt;0.05)
), "⚠ 超標！", "")</f>
        <v/>
      </c>
      <c r="N19" s="7">
        <f>IF(OR(
  AND(N18&gt;=90, COUNTIF($D$18:$Z$18, "&gt;=90")/COUNTA($D$18:$Z$18)&gt;0.05),
  AND(N18&gt;=80,N18&lt;=89, (COUNTIF($D$18:$Z$18, "&gt;=80")-COUNTIF($D$18:$Z$18, "&gt;=90"))/COUNTA($D$18:$Z$18)&gt;0.2),
  AND(N18&gt;=70,N18&lt;=79, (COUNTIF($D$18:$Z$18, "&gt;=70")-COUNTIF($D$18:$Z$18, "&gt;=80"))/COUNTA($D$18:$Z$18)&gt;0.4),
  AND(N18&gt;=60,N18&lt;=69, (COUNTIF($D$18:$Z$18, "&gt;=60")-COUNTIF($D$18:$Z$18, "&gt;=70"))/COUNTA($D$18:$Z$18)&gt;0.3),
  AND(N18&lt;=59, COUNTIF($D$18:$Z$18, "&lt;=59")/COUNTA($D$18:$Z$18)&gt;0.05)
), "⚠ 超標！", "")</f>
        <v/>
      </c>
      <c r="O19" s="7">
        <f>IF(OR(
  AND(O18&gt;=90, COUNTIF($D$18:$Z$18, "&gt;=90")/COUNTA($D$18:$Z$18)&gt;0.05),
  AND(O18&gt;=80,O18&lt;=89, (COUNTIF($D$18:$Z$18, "&gt;=80")-COUNTIF($D$18:$Z$18, "&gt;=90"))/COUNTA($D$18:$Z$18)&gt;0.2),
  AND(O18&gt;=70,O18&lt;=79, (COUNTIF($D$18:$Z$18, "&gt;=70")-COUNTIF($D$18:$Z$18, "&gt;=80"))/COUNTA($D$18:$Z$18)&gt;0.4),
  AND(O18&gt;=60,O18&lt;=69, (COUNTIF($D$18:$Z$18, "&gt;=60")-COUNTIF($D$18:$Z$18, "&gt;=70"))/COUNTA($D$18:$Z$18)&gt;0.3),
  AND(O18&lt;=59, COUNTIF($D$18:$Z$18, "&lt;=59")/COUNTA($D$18:$Z$18)&gt;0.05)
), "⚠ 超標！", "")</f>
        <v/>
      </c>
      <c r="P19" s="7">
        <f>IF(OR(
  AND(P18&gt;=90, COUNTIF($D$18:$Z$18, "&gt;=90")/COUNTA($D$18:$Z$18)&gt;0.05),
  AND(P18&gt;=80,P18&lt;=89, (COUNTIF($D$18:$Z$18, "&gt;=80")-COUNTIF($D$18:$Z$18, "&gt;=90"))/COUNTA($D$18:$Z$18)&gt;0.2),
  AND(P18&gt;=70,P18&lt;=79, (COUNTIF($D$18:$Z$18, "&gt;=70")-COUNTIF($D$18:$Z$18, "&gt;=80"))/COUNTA($D$18:$Z$18)&gt;0.4),
  AND(P18&gt;=60,P18&lt;=69, (COUNTIF($D$18:$Z$18, "&gt;=60")-COUNTIF($D$18:$Z$18, "&gt;=70"))/COUNTA($D$18:$Z$18)&gt;0.3),
  AND(P18&lt;=59, COUNTIF($D$18:$Z$18, "&lt;=59")/COUNTA($D$18:$Z$18)&gt;0.05)
), "⚠ 超標！", "")</f>
        <v/>
      </c>
      <c r="Q19" s="7">
        <f>IF(OR(
  AND(Q18&gt;=90, COUNTIF($D$18:$Z$18, "&gt;=90")/COUNTA($D$18:$Z$18)&gt;0.05),
  AND(Q18&gt;=80,Q18&lt;=89, (COUNTIF($D$18:$Z$18, "&gt;=80")-COUNTIF($D$18:$Z$18, "&gt;=90"))/COUNTA($D$18:$Z$18)&gt;0.2),
  AND(Q18&gt;=70,Q18&lt;=79, (COUNTIF($D$18:$Z$18, "&gt;=70")-COUNTIF($D$18:$Z$18, "&gt;=80"))/COUNTA($D$18:$Z$18)&gt;0.4),
  AND(Q18&gt;=60,Q18&lt;=69, (COUNTIF($D$18:$Z$18, "&gt;=60")-COUNTIF($D$18:$Z$18, "&gt;=70"))/COUNTA($D$18:$Z$18)&gt;0.3),
  AND(Q18&lt;=59, COUNTIF($D$18:$Z$18, "&lt;=59")/COUNTA($D$18:$Z$18)&gt;0.05)
), "⚠ 超標！", "")</f>
        <v/>
      </c>
      <c r="R19" s="7">
        <f>IF(OR(
  AND(R18&gt;=90, COUNTIF($D$18:$Z$18, "&gt;=90")/COUNTA($D$18:$Z$18)&gt;0.05),
  AND(R18&gt;=80,R18&lt;=89, (COUNTIF($D$18:$Z$18, "&gt;=80")-COUNTIF($D$18:$Z$18, "&gt;=90"))/COUNTA($D$18:$Z$18)&gt;0.2),
  AND(R18&gt;=70,R18&lt;=79, (COUNTIF($D$18:$Z$18, "&gt;=70")-COUNTIF($D$18:$Z$18, "&gt;=80"))/COUNTA($D$18:$Z$18)&gt;0.4),
  AND(R18&gt;=60,R18&lt;=69, (COUNTIF($D$18:$Z$18, "&gt;=60")-COUNTIF($D$18:$Z$18, "&gt;=70"))/COUNTA($D$18:$Z$18)&gt;0.3),
  AND(R18&lt;=59, COUNTIF($D$18:$Z$18, "&lt;=59")/COUNTA($D$18:$Z$18)&gt;0.05)
), "⚠ 超標！", "")</f>
        <v/>
      </c>
      <c r="S19" s="7">
        <f>IF(OR(
  AND(S18&gt;=90, COUNTIF($D$18:$Z$18, "&gt;=90")/COUNTA($D$18:$Z$18)&gt;0.05),
  AND(S18&gt;=80,S18&lt;=89, (COUNTIF($D$18:$Z$18, "&gt;=80")-COUNTIF($D$18:$Z$18, "&gt;=90"))/COUNTA($D$18:$Z$18)&gt;0.2),
  AND(S18&gt;=70,S18&lt;=79, (COUNTIF($D$18:$Z$18, "&gt;=70")-COUNTIF($D$18:$Z$18, "&gt;=80"))/COUNTA($D$18:$Z$18)&gt;0.4),
  AND(S18&gt;=60,S18&lt;=69, (COUNTIF($D$18:$Z$18, "&gt;=60")-COUNTIF($D$18:$Z$18, "&gt;=70"))/COUNTA($D$18:$Z$18)&gt;0.3),
  AND(S18&lt;=59,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2026-06-05T07:49:49Z</dcterms:created>
  <dcterms:modified xsi:type="dcterms:W3CDTF">2026-06-16T09:42:22Z</dcterms:modified>
</cp:coreProperties>
</file>