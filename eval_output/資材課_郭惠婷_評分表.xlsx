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郭惠婷</t>
        </is>
      </c>
      <c r="C5" s="3">
        <f>COUNTIF(D6:M6,"&lt;&gt;")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  <c r="I8" s="15" t="n"/>
      <c r="J8" s="15" t="n"/>
      <c r="K8" s="15" t="n"/>
      <c r="L8" s="15" t="n"/>
      <c r="M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  <c r="I9" s="15" t="n"/>
      <c r="J9" s="15" t="n"/>
      <c r="K9" s="15" t="n"/>
      <c r="L9" s="15" t="n"/>
      <c r="M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  <c r="I10" s="15" t="n"/>
      <c r="J10" s="15" t="n"/>
      <c r="K10" s="15" t="n"/>
      <c r="L10" s="15" t="n"/>
      <c r="M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  <c r="I11" s="15" t="n"/>
      <c r="J11" s="15" t="n"/>
      <c r="K11" s="15" t="n"/>
      <c r="L11" s="15" t="n"/>
      <c r="M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  <c r="I12" s="15" t="n"/>
      <c r="J12" s="15" t="n"/>
      <c r="K12" s="15" t="n"/>
      <c r="L12" s="15" t="n"/>
      <c r="M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  <c r="I13" s="15" t="n"/>
      <c r="J13" s="15" t="n"/>
      <c r="K13" s="15" t="n"/>
      <c r="L13" s="15" t="n"/>
      <c r="M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  <c r="I14" s="15" t="n"/>
      <c r="J14" s="15" t="n"/>
      <c r="K14" s="15" t="n"/>
      <c r="L14" s="15" t="n"/>
      <c r="M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  <c r="I15" s="15" t="n"/>
      <c r="J15" s="15" t="n"/>
      <c r="K15" s="15" t="n"/>
      <c r="L15" s="15" t="n"/>
      <c r="M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  <c r="I16" s="15" t="n"/>
      <c r="J16" s="15" t="n"/>
      <c r="K16" s="15" t="n"/>
      <c r="L16" s="15" t="n"/>
      <c r="M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  <c r="I17" s="15" t="n"/>
      <c r="J17" s="15" t="n"/>
      <c r="K17" s="15" t="n"/>
      <c r="L17" s="15" t="n"/>
      <c r="M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  <c r="I18" s="15" t="n"/>
      <c r="J18" s="15" t="n"/>
      <c r="K18" s="15" t="n"/>
      <c r="L18" s="15" t="n"/>
      <c r="M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  <c r="I19" s="15" t="n"/>
      <c r="J19" s="15" t="n"/>
      <c r="K19" s="15" t="n"/>
      <c r="L19" s="15" t="n"/>
      <c r="M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  <c r="I20" s="15" t="n"/>
      <c r="J20" s="15" t="n"/>
      <c r="K20" s="15" t="n"/>
      <c r="L20" s="15" t="n"/>
      <c r="M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  <c r="I21" s="15" t="n"/>
      <c r="J21" s="15" t="n"/>
      <c r="K21" s="15" t="n"/>
      <c r="L21" s="15" t="n"/>
      <c r="M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  <c r="I22" s="34">
        <f>SUM(I8:I21)</f>
        <v/>
      </c>
      <c r="J22" s="34">
        <f>SUM(J8:J21)</f>
        <v/>
      </c>
      <c r="K22" s="34">
        <f>SUM(K8:K21)</f>
        <v/>
      </c>
      <c r="L22" s="34">
        <f>SUM(L8:L21)</f>
        <v/>
      </c>
      <c r="M22" s="34">
        <f>SUM(M8:M21)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  <c r="I23" s="7">
        <f>IF(OR(
  AND(I22&gt;=90, COUNTIF($D$22:$Z$22, "&gt;=90")/COUNTA($D$22:$Z$22)&gt;0.05),
  AND(I22&gt;=80,I22&lt;=89, (COUNTIF($D$22:$Z$22, "&gt;=80")-COUNTIF($D$22:$Z$22, "&gt;=90"))/COUNTA($D$22:$Z$22)&gt;0.2),
  AND(I22&gt;=70,I22&lt;=79, (COUNTIF($D$22:$Z$22, "&gt;=70")-COUNTIF($D$22:$Z$22, "&gt;=80"))/COUNTA($D$22:$Z$22)&gt;0.4),
  AND(I22&gt;=60,I22&lt;=69, (COUNTIF($D$22:$Z$22, "&gt;=60")-COUNTIF($D$22:$Z$22, "&gt;=70"))/COUNTA($D$22:$Z$22)&gt;0.3),
  AND(I22&lt;=59, COUNTIF($D$22:$Z$22, "&lt;=59")/COUNTA($D$22:$Z$22)&gt;0.05)
), "⚠ 超標！", "")</f>
        <v/>
      </c>
      <c r="J23" s="7">
        <f>IF(OR(
  AND(J22&gt;=90, COUNTIF($D$22:$Z$22, "&gt;=90")/COUNTA($D$22:$Z$22)&gt;0.05),
  AND(J22&gt;=80,J22&lt;=89, (COUNTIF($D$22:$Z$22, "&gt;=80")-COUNTIF($D$22:$Z$22, "&gt;=90"))/COUNTA($D$22:$Z$22)&gt;0.2),
  AND(J22&gt;=70,J22&lt;=79, (COUNTIF($D$22:$Z$22, "&gt;=70")-COUNTIF($D$22:$Z$22, "&gt;=80"))/COUNTA($D$22:$Z$22)&gt;0.4),
  AND(J22&gt;=60,J22&lt;=69, (COUNTIF($D$22:$Z$22, "&gt;=60")-COUNTIF($D$22:$Z$22, "&gt;=70"))/COUNTA($D$22:$Z$22)&gt;0.3),
  AND(J22&lt;=59, COUNTIF($D$22:$Z$22, "&lt;=59")/COUNTA($D$22:$Z$22)&gt;0.05)
), "⚠ 超標！", "")</f>
        <v/>
      </c>
      <c r="K23" s="7">
        <f>IF(OR(
  AND(K22&gt;=90, COUNTIF($D$22:$Z$22, "&gt;=90")/COUNTA($D$22:$Z$22)&gt;0.05),
  AND(K22&gt;=80,K22&lt;=89, (COUNTIF($D$22:$Z$22, "&gt;=80")-COUNTIF($D$22:$Z$22, "&gt;=90"))/COUNTA($D$22:$Z$22)&gt;0.2),
  AND(K22&gt;=70,K22&lt;=79, (COUNTIF($D$22:$Z$22, "&gt;=70")-COUNTIF($D$22:$Z$22, "&gt;=80"))/COUNTA($D$22:$Z$22)&gt;0.4),
  AND(K22&gt;=60,K22&lt;=69, (COUNTIF($D$22:$Z$22, "&gt;=60")-COUNTIF($D$22:$Z$22, "&gt;=70"))/COUNTA($D$22:$Z$22)&gt;0.3),
  AND(K22&lt;=59, COUNTIF($D$22:$Z$22, "&lt;=59")/COUNTA($D$22:$Z$22)&gt;0.05)
), "⚠ 超標！", "")</f>
        <v/>
      </c>
      <c r="L23" s="7">
        <f>IF(OR(
  AND(L22&gt;=90, COUNTIF($D$22:$Z$22, "&gt;=90")/COUNTA($D$22:$Z$22)&gt;0.05),
  AND(L22&gt;=80,L22&lt;=89, (COUNTIF($D$22:$Z$22, "&gt;=80")-COUNTIF($D$22:$Z$22, "&gt;=90"))/COUNTA($D$22:$Z$22)&gt;0.2),
  AND(L22&gt;=70,L22&lt;=79, (COUNTIF($D$22:$Z$22, "&gt;=70")-COUNTIF($D$22:$Z$22, "&gt;=80"))/COUNTA($D$22:$Z$22)&gt;0.4),
  AND(L22&gt;=60,L22&lt;=69, (COUNTIF($D$22:$Z$22, "&gt;=60")-COUNTIF($D$22:$Z$22, "&gt;=70"))/COUNTA($D$22:$Z$22)&gt;0.3),
  AND(L22&lt;=59, COUNTIF($D$22:$Z$22, "&lt;=59")/COUNTA($D$22:$Z$22)&gt;0.05)
), "⚠ 超標！", "")</f>
        <v/>
      </c>
      <c r="M23" s="7">
        <f>IF(OR(
  AND(M22&gt;=90, COUNTIF($D$22:$Z$22, "&gt;=90")/COUNTA($D$22:$Z$22)&gt;0.05),
  AND(M22&gt;=80,M22&lt;=89, (COUNTIF($D$22:$Z$22, "&gt;=80")-COUNTIF($D$22:$Z$22, "&gt;=90"))/COUNTA($D$22:$Z$22)&gt;0.2),
  AND(M22&gt;=70,M22&lt;=79, (COUNTIF($D$22:$Z$22, "&gt;=70")-COUNTIF($D$22:$Z$22, "&gt;=80"))/COUNTA($D$22:$Z$22)&gt;0.4),
  AND(M22&gt;=60,M22&lt;=69, (COUNTIF($D$22:$Z$22, "&gt;=60")-COUNTIF($D$22:$Z$22, "&gt;=70"))/COUNTA($D$22:$Z$22)&gt;0.3),
  AND(M22&lt;=59,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郭惠婷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