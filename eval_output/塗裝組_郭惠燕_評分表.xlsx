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組長初評班長" sheetId="1" state="visible" r:id="rId1"/>
    <sheet name="現場組長初評&amp;主管複評" sheetId="2" state="visible" r:id="rId2"/>
    <sheet name="組長共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72656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績效考組長初評班長評分表(主管職)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郭惠燕</t>
        </is>
      </c>
      <c r="C5" s="3">
        <f>COUNTIF(D6:E6,"&lt;&gt;")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6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</row>
    <row r="9" ht="76.5" customHeight="1">
      <c r="B9" s="11" t="inlineStr">
        <is>
          <t>產品知識與設備保養管理（10 分）</t>
        </is>
      </c>
      <c r="C9" s="11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</row>
    <row r="10" ht="61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</row>
    <row r="11" ht="61" customHeight="1">
      <c r="A11" s="8" t="n"/>
      <c r="B11" s="11" t="inlineStr">
        <is>
          <t>【現場】「只限評分現場人員專用」</t>
        </is>
      </c>
      <c r="C11" s="14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15" t="n"/>
      <c r="E11" s="10" t="n"/>
    </row>
    <row r="12">
      <c r="A12" s="16" t="inlineStr">
        <is>
          <t>工作態度
30%</t>
        </is>
      </c>
      <c r="B12" s="17" t="inlineStr">
        <is>
          <t>*低於等於3分或高於等於18分，請說明原因：___________________________</t>
        </is>
      </c>
      <c r="D12" s="10" t="n"/>
      <c r="E12" s="10" t="n"/>
    </row>
    <row r="13" ht="110" customHeight="1">
      <c r="B13" s="13" t="inlineStr">
        <is>
          <t>受評者在本次受評區間，對於協辦的工作，『完成度』達</t>
        </is>
      </c>
      <c r="C13" s="13" t="inlineStr">
        <is>
          <t>10分100%
9分  90%
8分  80%
7分  70%
6分  60%
5分  50%
4分  40%
3分  30%
2分  20%
1分  10%</t>
        </is>
      </c>
      <c r="D13" s="10" t="n"/>
      <c r="E13" s="10" t="n"/>
    </row>
    <row r="14" ht="71.5" customHeight="1">
      <c r="A14" s="8" t="n"/>
      <c r="B14" s="11" t="inlineStr">
        <is>
          <t>※印象中你對受評者在指導與覆核部屬方面，願意給幾分</t>
        </is>
      </c>
      <c r="C14" s="14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15" t="n"/>
      <c r="E14" s="10" t="n"/>
    </row>
    <row r="15" ht="27.5" customHeight="1">
      <c r="A15" s="16" t="inlineStr">
        <is>
          <t>領導統御
30%</t>
        </is>
      </c>
      <c r="B15" s="17" t="inlineStr">
        <is>
          <t>*低於等於6分或高於等於16分，請說明原因：________________</t>
        </is>
      </c>
      <c r="D15" s="10" t="n"/>
      <c r="E15" s="10" t="n"/>
    </row>
    <row r="16" ht="27.5" customHeight="1">
      <c r="B16" s="13" t="inlineStr">
        <is>
          <t>是否願意和受評者一起工作?</t>
        </is>
      </c>
      <c r="C16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6" s="15" t="n"/>
      <c r="E16" s="10" t="n"/>
    </row>
    <row r="17">
      <c r="B17" s="18" t="inlineStr">
        <is>
          <t>*低於等於3分或最高分，請敘述狀況：_________________________</t>
        </is>
      </c>
      <c r="D17" s="10" t="n"/>
      <c r="E17" s="10" t="n"/>
    </row>
    <row r="18" ht="50.5" customHeight="1">
      <c r="B18" s="19" t="n"/>
      <c r="C18" s="20" t="inlineStr">
        <is>
          <t>總分</t>
        </is>
      </c>
      <c r="D18" s="21">
        <f>SUM(D8:D17)</f>
        <v/>
      </c>
      <c r="E18" s="21">
        <f>SUM(E8:E17)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6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郭惠燕</t>
        </is>
      </c>
      <c r="C5" s="3">
        <f>COUNTIF(D6:S6,"&lt;&gt;")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賴慶燁</t>
        </is>
      </c>
      <c r="E6" s="6" t="inlineStr">
        <is>
          <t>夏塔拉</t>
        </is>
      </c>
      <c r="F6" s="6" t="inlineStr">
        <is>
          <t>那孔</t>
        </is>
      </c>
      <c r="G6" s="6" t="inlineStr">
        <is>
          <t>肅坦</t>
        </is>
      </c>
      <c r="H6" s="6" t="inlineStr">
        <is>
          <t>百翔</t>
        </is>
      </c>
      <c r="I6" s="6" t="inlineStr">
        <is>
          <t>那彭</t>
        </is>
      </c>
      <c r="J6" t="inlineStr">
        <is>
          <t>阿迪朋</t>
        </is>
      </c>
      <c r="K6" t="inlineStr">
        <is>
          <t>阿沙文</t>
        </is>
      </c>
      <c r="L6" t="inlineStr">
        <is>
          <t>宇藍南</t>
        </is>
      </c>
      <c r="M6" t="inlineStr">
        <is>
          <t>松沙</t>
        </is>
      </c>
      <c r="N6" t="inlineStr">
        <is>
          <t>南龍裡</t>
        </is>
      </c>
      <c r="O6" t="inlineStr">
        <is>
          <t>南天鵬</t>
        </is>
      </c>
      <c r="P6" t="inlineStr">
        <is>
          <t>陳俊智</t>
        </is>
      </c>
      <c r="Q6" t="inlineStr">
        <is>
          <t>磊瓦</t>
        </is>
      </c>
      <c r="R6" t="inlineStr">
        <is>
          <t>黃氏金莉</t>
        </is>
      </c>
      <c r="S6" t="inlineStr">
        <is>
          <t>陳世傑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</row>
    <row r="9" ht="41" customHeight="1">
      <c r="A9" s="8" t="n"/>
      <c r="B9" s="13" t="inlineStr">
        <is>
          <t>你對於受評者在日常表現上或各種會議中，對於受評者工作的『正確率』，達成百分比</t>
        </is>
      </c>
      <c r="C9" s="22" t="inlineStr">
        <is>
          <t>10分100%
9分  90%
8分  80%
7分  70%
6分  60%
5分  50%
4分  40%
3分  30%
2分  20%
1分  10%</t>
        </is>
      </c>
      <c r="D9" s="15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</row>
    <row r="10" ht="77" customHeight="1">
      <c r="A10" s="8" t="inlineStr">
        <is>
          <t>工作表現40%</t>
        </is>
      </c>
      <c r="B10" s="18" t="inlineStr">
        <is>
          <t>*低於等於4分或高於等於9分，請說明原因：____________________</t>
        </is>
      </c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</row>
    <row r="11" ht="77" customHeight="1">
      <c r="B11" s="11" t="inlineStr">
        <is>
          <t>你對於受評者在日常表現上或各種會議中，對於受評者工作的『完成度』，達成百分比</t>
        </is>
      </c>
      <c r="C11" s="11" t="inlineStr">
        <is>
          <t>10分100%
9分  90%
8分  80%
7分  70%
6分  60%
5分  50%
4分  40%
3分  30%
2分  20%
1分  10%</t>
        </is>
      </c>
      <c r="D11" s="15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</row>
    <row r="12" ht="38.5" customHeight="1">
      <c r="B12" s="17" t="inlineStr">
        <is>
          <t>*低於等於4分或高於等於9分，請說明原因：____________________</t>
        </is>
      </c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</row>
    <row r="13" ht="38.5" customHeight="1">
      <c r="B13" s="13" t="inlineStr">
        <is>
          <t>受評者的工作品質</t>
        </is>
      </c>
      <c r="C13" s="13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15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</row>
    <row r="14" ht="30.5" customHeight="1">
      <c r="B14" s="18" t="inlineStr">
        <is>
          <t>*低於等於4分或高於等於17分，請說明原因：___________________________</t>
        </is>
      </c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</row>
    <row r="15" ht="30.5" customHeight="1">
      <c r="B15" s="11" t="inlineStr">
        <is>
          <t>【現場】「只限評分現場人員專用」</t>
        </is>
      </c>
      <c r="C15" s="14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15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 ht="42" customHeight="1">
      <c r="B16" s="17" t="inlineStr">
        <is>
          <t>*低於等於3分或高於等於8分，請說明原因：___________________________</t>
        </is>
      </c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 ht="56.5" customHeight="1">
      <c r="A17" s="8" t="n"/>
      <c r="B17" s="13" t="inlineStr">
        <is>
          <t>你對於受評者在日常任務完成表現</t>
        </is>
      </c>
      <c r="C17" s="22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15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</row>
    <row r="18">
      <c r="A18" s="16" t="inlineStr">
        <is>
          <t>工作態度30%</t>
        </is>
      </c>
      <c r="B18" s="18" t="inlineStr">
        <is>
          <t>*低於等於1分或高於等於9分，請說明原因：___________________</t>
        </is>
      </c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 ht="45.5" customHeight="1">
      <c r="B19" s="11" t="inlineStr">
        <is>
          <t>是否願意和受評者一起工作?</t>
        </is>
      </c>
      <c r="C19" s="11" t="inlineStr">
        <is>
          <t>✓我很願意跟受評者一起工作(8-10)
✓我還算願意跟受評者一起工作(5-7)
✓我盡可能不跟受評者一起工作(2-4)
✓我不願意跟受評者一起工作(0-1)</t>
        </is>
      </c>
      <c r="D19" s="15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  <row r="20">
      <c r="B20" s="17" t="inlineStr">
        <is>
          <t>*低於等於1分或高於等於9分，請說明原因：__________________</t>
        </is>
      </c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</row>
    <row r="21" ht="50.5" customHeight="1">
      <c r="B21" s="19" t="n"/>
      <c r="C21" s="20" t="inlineStr">
        <is>
          <t>總分</t>
        </is>
      </c>
      <c r="D21" s="21">
        <f>SUM(D8:D20)</f>
        <v/>
      </c>
      <c r="E21" s="21">
        <f>SUM(E8:E20)</f>
        <v/>
      </c>
      <c r="F21" s="21">
        <f>SUM(F8:F20)</f>
        <v/>
      </c>
      <c r="G21" s="21">
        <f>SUM(G8:G20)</f>
        <v/>
      </c>
      <c r="H21" s="21">
        <f>SUM(H8:H20)</f>
        <v/>
      </c>
      <c r="I21" s="21">
        <f>SUM(I8:I20)</f>
        <v/>
      </c>
      <c r="J21" s="21">
        <f>SUM(J8:J20)</f>
        <v/>
      </c>
      <c r="K21" s="21">
        <f>SUM(K8:K20)</f>
        <v/>
      </c>
      <c r="L21" s="21">
        <f>SUM(L8:L20)</f>
        <v/>
      </c>
      <c r="M21" s="21">
        <f>SUM(M8:M20)</f>
        <v/>
      </c>
      <c r="N21" s="21">
        <f>SUM(N8:N20)</f>
        <v/>
      </c>
      <c r="O21" s="21">
        <f>SUM(O8:O20)</f>
        <v/>
      </c>
      <c r="P21" s="21">
        <f>SUM(P8:P20)</f>
        <v/>
      </c>
      <c r="Q21" s="21">
        <f>SUM(Q8:Q20)</f>
        <v/>
      </c>
      <c r="R21" s="21">
        <f>SUM(R8:R20)</f>
        <v/>
      </c>
      <c r="S21" s="21">
        <f>SUM(S8:S20)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  <c r="E22" s="6">
        <f>IF(OR(
  AND(E21&gt;=90, COUNTIF($D$21:$Z$21, "&gt;=90")/COUNTA($D$21:$Z$21)&gt;0.05),
  AND(E21&gt;=80,E21&lt;=89, (COUNTIF($D$21:$Z$21, "&gt;=80")-COUNTIF($D$21:$Z$21, "&gt;=90"))/COUNTA($D$21:$Z$21)&gt;0.2),
  AND(E21&gt;=70,E21&lt;=79, (COUNTIF($D$21:$Z$21, "&gt;=70")-COUNTIF($D$21:$Z$21, "&gt;=80"))/COUNTA($D$21:$Z$21)&gt;0.4),
  AND(E21&gt;=60,E21&lt;=69, (COUNTIF($D$21:$Z$21, "&gt;=60")-COUNTIF($D$21:$Z$21, "&gt;=70"))/COUNTA($D$21:$Z$21)&gt;0.3),
  AND(E21&lt;=59, COUNTIF($D$21:$Z$21, "&lt;=59")/COUNTA($D$21:$Z$21)&gt;0.05)
), "⚠ 超標！", "")</f>
        <v/>
      </c>
      <c r="F22" s="6">
        <f>IF(OR(
  AND(F21&gt;=90, COUNTIF($D$21:$Z$21, "&gt;=90")/COUNTA($D$21:$Z$21)&gt;0.05),
  AND(F21&gt;=80,F21&lt;=89, (COUNTIF($D$21:$Z$21, "&gt;=80")-COUNTIF($D$21:$Z$21, "&gt;=90"))/COUNTA($D$21:$Z$21)&gt;0.2),
  AND(F21&gt;=70,F21&lt;=79, (COUNTIF($D$21:$Z$21, "&gt;=70")-COUNTIF($D$21:$Z$21, "&gt;=80"))/COUNTA($D$21:$Z$21)&gt;0.4),
  AND(F21&gt;=60,F21&lt;=69, (COUNTIF($D$21:$Z$21, "&gt;=60")-COUNTIF($D$21:$Z$21, "&gt;=70"))/COUNTA($D$21:$Z$21)&gt;0.3),
  AND(F21&lt;=59, COUNTIF($D$21:$Z$21, "&lt;=59")/COUNTA($D$21:$Z$21)&gt;0.05)
), "⚠ 超標！", "")</f>
        <v/>
      </c>
      <c r="G22" s="6">
        <f>IF(OR(
  AND(G21&gt;=90, COUNTIF($D$21:$Z$21, "&gt;=90")/COUNTA($D$21:$Z$21)&gt;0.05),
  AND(G21&gt;=80,G21&lt;=89, (COUNTIF($D$21:$Z$21, "&gt;=80")-COUNTIF($D$21:$Z$21, "&gt;=90"))/COUNTA($D$21:$Z$21)&gt;0.2),
  AND(G21&gt;=70,G21&lt;=79, (COUNTIF($D$21:$Z$21, "&gt;=70")-COUNTIF($D$21:$Z$21, "&gt;=80"))/COUNTA($D$21:$Z$21)&gt;0.4),
  AND(G21&gt;=60,G21&lt;=69, (COUNTIF($D$21:$Z$21, "&gt;=60")-COUNTIF($D$21:$Z$21, "&gt;=70"))/COUNTA($D$21:$Z$21)&gt;0.3),
  AND(G21&lt;=59, COUNTIF($D$21:$Z$21, "&lt;=59")/COUNTA($D$21:$Z$21)&gt;0.05)
), "⚠ 超標！", "")</f>
        <v/>
      </c>
      <c r="H22" s="6">
        <f>IF(OR(
  AND(H21&gt;=90, COUNTIF($D$21:$Z$21, "&gt;=90")/COUNTA($D$21:$Z$21)&gt;0.05),
  AND(H21&gt;=80,H21&lt;=89, (COUNTIF($D$21:$Z$21, "&gt;=80")-COUNTIF($D$21:$Z$21, "&gt;=90"))/COUNTA($D$21:$Z$21)&gt;0.2),
  AND(H21&gt;=70,H21&lt;=79, (COUNTIF($D$21:$Z$21, "&gt;=70")-COUNTIF($D$21:$Z$21, "&gt;=80"))/COUNTA($D$21:$Z$21)&gt;0.4),
  AND(H21&gt;=60,H21&lt;=69, (COUNTIF($D$21:$Z$21, "&gt;=60")-COUNTIF($D$21:$Z$21, "&gt;=70"))/COUNTA($D$21:$Z$21)&gt;0.3),
  AND(H21&lt;=59, COUNTIF($D$21:$Z$21, "&lt;=59")/COUNTA($D$21:$Z$21)&gt;0.05)
), "⚠ 超標！", "")</f>
        <v/>
      </c>
      <c r="I22" s="6">
        <f>IF(OR(
  AND(I21&gt;=90, COUNTIF($D$21:$Z$21, "&gt;=90")/COUNTA($D$21:$Z$21)&gt;0.05),
  AND(I21&gt;=80,I21&lt;=89, (COUNTIF($D$21:$Z$21, "&gt;=80")-COUNTIF($D$21:$Z$21, "&gt;=90"))/COUNTA($D$21:$Z$21)&gt;0.2),
  AND(I21&gt;=70,I21&lt;=79, (COUNTIF($D$21:$Z$21, "&gt;=70")-COUNTIF($D$21:$Z$21, "&gt;=80"))/COUNTA($D$21:$Z$21)&gt;0.4),
  AND(I21&gt;=60,I21&lt;=69, (COUNTIF($D$21:$Z$21, "&gt;=60")-COUNTIF($D$21:$Z$21, "&gt;=70"))/COUNTA($D$21:$Z$21)&gt;0.3),
  AND(I21&lt;=59, COUNTIF($D$21:$Z$21, "&lt;=59")/COUNTA($D$21:$Z$21)&gt;0.05)
), "⚠ 超標！", "")</f>
        <v/>
      </c>
      <c r="J22" s="6">
        <f>IF(OR(
  AND(J21&gt;=90, COUNTIF($D$21:$Z$21, "&gt;=90")/COUNTA($D$21:$Z$21)&gt;0.05),
  AND(J21&gt;=80,J21&lt;=89, (COUNTIF($D$21:$Z$21, "&gt;=80")-COUNTIF($D$21:$Z$21, "&gt;=90"))/COUNTA($D$21:$Z$21)&gt;0.2),
  AND(J21&gt;=70,J21&lt;=79, (COUNTIF($D$21:$Z$21, "&gt;=70")-COUNTIF($D$21:$Z$21, "&gt;=80"))/COUNTA($D$21:$Z$21)&gt;0.4),
  AND(J21&gt;=60,J21&lt;=69, (COUNTIF($D$21:$Z$21, "&gt;=60")-COUNTIF($D$21:$Z$21, "&gt;=70"))/COUNTA($D$21:$Z$21)&gt;0.3),
  AND(J21&lt;=59, COUNTIF($D$21:$Z$21, "&lt;=59")/COUNTA($D$21:$Z$21)&gt;0.05)
), "⚠ 超標！", "")</f>
        <v/>
      </c>
      <c r="K22" s="6">
        <f>IF(OR(
  AND(K21&gt;=90, COUNTIF($D$21:$Z$21, "&gt;=90")/COUNTA($D$21:$Z$21)&gt;0.05),
  AND(K21&gt;=80,K21&lt;=89, (COUNTIF($D$21:$Z$21, "&gt;=80")-COUNTIF($D$21:$Z$21, "&gt;=90"))/COUNTA($D$21:$Z$21)&gt;0.2),
  AND(K21&gt;=70,K21&lt;=79, (COUNTIF($D$21:$Z$21, "&gt;=70")-COUNTIF($D$21:$Z$21, "&gt;=80"))/COUNTA($D$21:$Z$21)&gt;0.4),
  AND(K21&gt;=60,K21&lt;=69, (COUNTIF($D$21:$Z$21, "&gt;=60")-COUNTIF($D$21:$Z$21, "&gt;=70"))/COUNTA($D$21:$Z$21)&gt;0.3),
  AND(K21&lt;=59, COUNTIF($D$21:$Z$21, "&lt;=59")/COUNTA($D$21:$Z$21)&gt;0.05)
), "⚠ 超標！", "")</f>
        <v/>
      </c>
      <c r="L22" s="6">
        <f>IF(OR(
  AND(L21&gt;=90, COUNTIF($D$21:$Z$21, "&gt;=90")/COUNTA($D$21:$Z$21)&gt;0.05),
  AND(L21&gt;=80,L21&lt;=89, (COUNTIF($D$21:$Z$21, "&gt;=80")-COUNTIF($D$21:$Z$21, "&gt;=90"))/COUNTA($D$21:$Z$21)&gt;0.2),
  AND(L21&gt;=70,L21&lt;=79, (COUNTIF($D$21:$Z$21, "&gt;=70")-COUNTIF($D$21:$Z$21, "&gt;=80"))/COUNTA($D$21:$Z$21)&gt;0.4),
  AND(L21&gt;=60,L21&lt;=69, (COUNTIF($D$21:$Z$21, "&gt;=60")-COUNTIF($D$21:$Z$21, "&gt;=70"))/COUNTA($D$21:$Z$21)&gt;0.3),
  AND(L21&lt;=59, COUNTIF($D$21:$Z$21, "&lt;=59")/COUNTA($D$21:$Z$21)&gt;0.05)
), "⚠ 超標！", "")</f>
        <v/>
      </c>
      <c r="M22" s="6">
        <f>IF(OR(
  AND(M21&gt;=90, COUNTIF($D$21:$Z$21, "&gt;=90")/COUNTA($D$21:$Z$21)&gt;0.05),
  AND(M21&gt;=80,M21&lt;=89, (COUNTIF($D$21:$Z$21, "&gt;=80")-COUNTIF($D$21:$Z$21, "&gt;=90"))/COUNTA($D$21:$Z$21)&gt;0.2),
  AND(M21&gt;=70,M21&lt;=79, (COUNTIF($D$21:$Z$21, "&gt;=70")-COUNTIF($D$21:$Z$21, "&gt;=80"))/COUNTA($D$21:$Z$21)&gt;0.4),
  AND(M21&gt;=60,M21&lt;=69, (COUNTIF($D$21:$Z$21, "&gt;=60")-COUNTIF($D$21:$Z$21, "&gt;=70"))/COUNTA($D$21:$Z$21)&gt;0.3),
  AND(M21&lt;=59, COUNTIF($D$21:$Z$21, "&lt;=59")/COUNTA($D$21:$Z$21)&gt;0.05)
), "⚠ 超標！", "")</f>
        <v/>
      </c>
      <c r="N22" s="6">
        <f>IF(OR(
  AND(N21&gt;=90, COUNTIF($D$21:$Z$21, "&gt;=90")/COUNTA($D$21:$Z$21)&gt;0.05),
  AND(N21&gt;=80,N21&lt;=89, (COUNTIF($D$21:$Z$21, "&gt;=80")-COUNTIF($D$21:$Z$21, "&gt;=90"))/COUNTA($D$21:$Z$21)&gt;0.2),
  AND(N21&gt;=70,N21&lt;=79, (COUNTIF($D$21:$Z$21, "&gt;=70")-COUNTIF($D$21:$Z$21, "&gt;=80"))/COUNTA($D$21:$Z$21)&gt;0.4),
  AND(N21&gt;=60,N21&lt;=69, (COUNTIF($D$21:$Z$21, "&gt;=60")-COUNTIF($D$21:$Z$21, "&gt;=70"))/COUNTA($D$21:$Z$21)&gt;0.3),
  AND(N21&lt;=59, COUNTIF($D$21:$Z$21, "&lt;=59")/COUNTA($D$21:$Z$21)&gt;0.05)
), "⚠ 超標！", "")</f>
        <v/>
      </c>
      <c r="O22" s="6">
        <f>IF(OR(
  AND(O21&gt;=90, COUNTIF($D$21:$Z$21, "&gt;=90")/COUNTA($D$21:$Z$21)&gt;0.05),
  AND(O21&gt;=80,O21&lt;=89, (COUNTIF($D$21:$Z$21, "&gt;=80")-COUNTIF($D$21:$Z$21, "&gt;=90"))/COUNTA($D$21:$Z$21)&gt;0.2),
  AND(O21&gt;=70,O21&lt;=79, (COUNTIF($D$21:$Z$21, "&gt;=70")-COUNTIF($D$21:$Z$21, "&gt;=80"))/COUNTA($D$21:$Z$21)&gt;0.4),
  AND(O21&gt;=60,O21&lt;=69, (COUNTIF($D$21:$Z$21, "&gt;=60")-COUNTIF($D$21:$Z$21, "&gt;=70"))/COUNTA($D$21:$Z$21)&gt;0.3),
  AND(O21&lt;=59, COUNTIF($D$21:$Z$21, "&lt;=59")/COUNTA($D$21:$Z$21)&gt;0.05)
), "⚠ 超標！", "")</f>
        <v/>
      </c>
      <c r="P22" s="6">
        <f>IF(OR(
  AND(P21&gt;=90, COUNTIF($D$21:$Z$21, "&gt;=90")/COUNTA($D$21:$Z$21)&gt;0.05),
  AND(P21&gt;=80,P21&lt;=89, (COUNTIF($D$21:$Z$21, "&gt;=80")-COUNTIF($D$21:$Z$21, "&gt;=90"))/COUNTA($D$21:$Z$21)&gt;0.2),
  AND(P21&gt;=70,P21&lt;=79, (COUNTIF($D$21:$Z$21, "&gt;=70")-COUNTIF($D$21:$Z$21, "&gt;=80"))/COUNTA($D$21:$Z$21)&gt;0.4),
  AND(P21&gt;=60,P21&lt;=69, (COUNTIF($D$21:$Z$21, "&gt;=60")-COUNTIF($D$21:$Z$21, "&gt;=70"))/COUNTA($D$21:$Z$21)&gt;0.3),
  AND(P21&lt;=59, COUNTIF($D$21:$Z$21, "&lt;=59")/COUNTA($D$21:$Z$21)&gt;0.05)
), "⚠ 超標！", "")</f>
        <v/>
      </c>
      <c r="Q22" s="6">
        <f>IF(OR(
  AND(Q21&gt;=90, COUNTIF($D$21:$Z$21, "&gt;=90")/COUNTA($D$21:$Z$21)&gt;0.05),
  AND(Q21&gt;=80,Q21&lt;=89, (COUNTIF($D$21:$Z$21, "&gt;=80")-COUNTIF($D$21:$Z$21, "&gt;=90"))/COUNTA($D$21:$Z$21)&gt;0.2),
  AND(Q21&gt;=70,Q21&lt;=79, (COUNTIF($D$21:$Z$21, "&gt;=70")-COUNTIF($D$21:$Z$21, "&gt;=80"))/COUNTA($D$21:$Z$21)&gt;0.4),
  AND(Q21&gt;=60,Q21&lt;=69, (COUNTIF($D$21:$Z$21, "&gt;=60")-COUNTIF($D$21:$Z$21, "&gt;=70"))/COUNTA($D$21:$Z$21)&gt;0.3),
  AND(Q21&lt;=59, COUNTIF($D$21:$Z$21, "&lt;=59")/COUNTA($D$21:$Z$21)&gt;0.05)
), "⚠ 超標！", "")</f>
        <v/>
      </c>
      <c r="R22" s="6">
        <f>IF(OR(
  AND(R21&gt;=90, COUNTIF($D$21:$Z$21, "&gt;=90")/COUNTA($D$21:$Z$21)&gt;0.05),
  AND(R21&gt;=80,R21&lt;=89, (COUNTIF($D$21:$Z$21, "&gt;=80")-COUNTIF($D$21:$Z$21, "&gt;=90"))/COUNTA($D$21:$Z$21)&gt;0.2),
  AND(R21&gt;=70,R21&lt;=79, (COUNTIF($D$21:$Z$21, "&gt;=70")-COUNTIF($D$21:$Z$21, "&gt;=80"))/COUNTA($D$21:$Z$21)&gt;0.4),
  AND(R21&gt;=60,R21&lt;=69, (COUNTIF($D$21:$Z$21, "&gt;=60")-COUNTIF($D$21:$Z$21, "&gt;=70"))/COUNTA($D$21:$Z$21)&gt;0.3),
  AND(R21&lt;=59, COUNTIF($D$21:$Z$21, "&lt;=59")/COUNTA($D$21:$Z$21)&gt;0.05)
), "⚠ 超標！", "")</f>
        <v/>
      </c>
      <c r="S22" s="6">
        <f>IF(OR(
  AND(S21&gt;=90, COUNTIF($D$21:$Z$21, "&gt;=90")/COUNTA($D$21:$Z$21)&gt;0.05),
  AND(S21&gt;=80,S21&lt;=89, (COUNTIF($D$21:$Z$21, "&gt;=80")-COUNTIF($D$21:$Z$21, "&gt;=90"))/COUNTA($D$21:$Z$21)&gt;0.2),
  AND(S21&gt;=70,S21&lt;=79, (COUNTIF($D$21:$Z$21, "&gt;=70")-COUNTIF($D$21:$Z$21, "&gt;=80"))/COUNTA($D$21:$Z$21)&gt;0.4),
  AND(S21&gt;=60,S21&lt;=69, (COUNTIF($D$21:$Z$21, "&gt;=60")-COUNTIF($D$21:$Z$21, "&gt;=70"))/COUNTA($D$21:$Z$21)&gt;0.3),
  AND(S21&lt;=59, COUNTIF($D$21:$Z$21, "&lt;=59")/COUNTA($D$21:$Z$21)&gt;0.05)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郭惠燕</t>
        </is>
      </c>
      <c r="C5" s="3">
        <f>COUNTIF(D6:H6,"&lt;&gt;")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陳怡珊</t>
        </is>
      </c>
      <c r="F6" s="6" t="inlineStr">
        <is>
          <t>吉實達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  <c r="F8" s="10" t="n"/>
      <c r="G8" s="10" t="n"/>
      <c r="H8" s="10" t="n"/>
    </row>
    <row r="9" ht="84" customHeight="1">
      <c r="B9" s="11" t="inlineStr">
        <is>
          <t>產品知識與設備保養管理（10 分）</t>
        </is>
      </c>
      <c r="C9" s="11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  <c r="F9" s="10" t="n"/>
      <c r="G9" s="10" t="n"/>
      <c r="H9" s="10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  <c r="F10" s="10" t="n"/>
      <c r="G10" s="10" t="n"/>
      <c r="H10" s="10" t="n"/>
    </row>
    <row r="11" ht="53" customHeight="1">
      <c r="A11" s="8" t="n"/>
      <c r="B11" s="11" t="inlineStr">
        <is>
          <t>對於主管交辦的任務</t>
        </is>
      </c>
      <c r="C11" s="14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15" t="n"/>
      <c r="E11" s="10" t="n"/>
      <c r="F11" s="10" t="n"/>
      <c r="G11" s="10" t="n"/>
      <c r="H11" s="10" t="n"/>
    </row>
    <row r="12" ht="57.5" customHeight="1">
      <c r="A12" s="16" t="inlineStr">
        <is>
          <t>工作態度
30%</t>
        </is>
      </c>
      <c r="B12" s="17" t="inlineStr">
        <is>
          <t>*低於等於3分或高於等於13分，請說明原因： __________________________</t>
        </is>
      </c>
      <c r="D12" s="10" t="n"/>
      <c r="E12" s="10" t="n"/>
      <c r="F12" s="10" t="n"/>
      <c r="G12" s="10" t="n"/>
      <c r="H12" s="10" t="n"/>
    </row>
    <row r="13" ht="46" customHeight="1">
      <c r="B13" s="13" t="inlineStr">
        <is>
          <t>對於工作任務完成度</t>
        </is>
      </c>
      <c r="C13" s="13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15" t="n"/>
      <c r="E13" s="10" t="n"/>
      <c r="F13" s="10" t="n"/>
      <c r="G13" s="10" t="n"/>
      <c r="H13" s="10" t="n"/>
    </row>
    <row r="14" ht="22" customHeight="1">
      <c r="B14" s="18" t="inlineStr">
        <is>
          <t>*低於等於1或高於等於14分，請說明原因：___________________________</t>
        </is>
      </c>
      <c r="D14" s="10" t="n"/>
      <c r="E14" s="10" t="n"/>
      <c r="F14" s="10" t="n"/>
      <c r="G14" s="10" t="n"/>
      <c r="H14" s="10" t="n"/>
    </row>
    <row r="15" ht="22" customHeight="1">
      <c r="A15" s="8" t="n"/>
      <c r="B15" s="11" t="inlineStr">
        <is>
          <t>※印象中你對受評者在指導與覆核部屬方面，願意給幾分</t>
        </is>
      </c>
      <c r="C15" s="14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15" t="n"/>
      <c r="E15" s="10" t="n"/>
      <c r="F15" s="10" t="n"/>
      <c r="G15" s="10" t="n"/>
      <c r="H15" s="10" t="n"/>
    </row>
    <row r="16" ht="50" customHeight="1">
      <c r="A16" s="16" t="inlineStr">
        <is>
          <t>領導統御
30%</t>
        </is>
      </c>
      <c r="B16" s="17" t="inlineStr">
        <is>
          <t>*低於等於6分或高於等於16分，請說明原因：________________</t>
        </is>
      </c>
      <c r="D16" s="10" t="n"/>
      <c r="E16" s="10" t="n"/>
      <c r="F16" s="10" t="n"/>
      <c r="G16" s="10" t="n"/>
      <c r="H16" s="10" t="n"/>
    </row>
    <row r="17" ht="50" customHeight="1">
      <c r="B17" s="13" t="inlineStr">
        <is>
          <t>是否願意和受評者一起工作?</t>
        </is>
      </c>
      <c r="C17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7" s="15" t="n"/>
      <c r="E17" s="10" t="n"/>
      <c r="F17" s="10" t="n"/>
      <c r="G17" s="10" t="n"/>
      <c r="H17" s="10" t="n"/>
    </row>
    <row r="18">
      <c r="B18" s="18" t="inlineStr">
        <is>
          <t>*低於等於3分或最高分，請敘述狀況：_________________________</t>
        </is>
      </c>
      <c r="D18" s="10" t="n"/>
      <c r="E18" s="10" t="n"/>
      <c r="F18" s="10" t="n"/>
      <c r="G18" s="10" t="n"/>
      <c r="H18" s="10" t="n"/>
    </row>
    <row r="19" ht="50.5" customHeight="1">
      <c r="B19" s="19" t="n"/>
      <c r="C19" s="20" t="inlineStr">
        <is>
          <t>總分</t>
        </is>
      </c>
      <c r="D19" s="21">
        <f>SUM(D8:D18)</f>
        <v/>
      </c>
      <c r="E19" s="21">
        <f>SUM(E8:E18)</f>
        <v/>
      </c>
      <c r="F19" s="21">
        <f>SUM(F8:F18)</f>
        <v/>
      </c>
      <c r="G19" s="21">
        <f>SUM(G8:G18)</f>
        <v/>
      </c>
      <c r="H19" s="21">
        <f>SUM(H8:H18)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  <c r="E20" s="6">
        <f>IF(OR(
  AND(E19&gt;=90, COUNTIF($D$19:$Z$19, "&gt;=90")/COUNTA($D$19:$Z$19)&gt;0.05),
  AND(E19&gt;=80,E19&lt;=89, (COUNTIF($D$19:$Z$19, "&gt;=80")-COUNTIF($D$19:$Z$19, "&gt;=90"))/COUNTA($D$19:$Z$19)&gt;0.2),
  AND(E19&gt;=70,E19&lt;=79, (COUNTIF($D$19:$Z$19, "&gt;=70")-COUNTIF($D$19:$Z$19, "&gt;=80"))/COUNTA($D$19:$Z$19)&gt;0.4),
  AND(E19&gt;=60,E19&lt;=69, (COUNTIF($D$19:$Z$19, "&gt;=60")-COUNTIF($D$19:$Z$19, "&gt;=70"))/COUNTA($D$19:$Z$19)&gt;0.3),
  AND(E19&lt;=59, COUNTIF($D$19:$Z$19, "&lt;=59")/COUNTA($D$19:$Z$19)&gt;0.05)
), "⚠ 超標！", "")</f>
        <v/>
      </c>
      <c r="F20" s="6">
        <f>IF(OR(
  AND(F19&gt;=90, COUNTIF($D$19:$Z$19, "&gt;=90")/COUNTA($D$19:$Z$19)&gt;0.05),
  AND(F19&gt;=80,F19&lt;=89, (COUNTIF($D$19:$Z$19, "&gt;=80")-COUNTIF($D$19:$Z$19, "&gt;=90"))/COUNTA($D$19:$Z$19)&gt;0.2),
  AND(F19&gt;=70,F19&lt;=79, (COUNTIF($D$19:$Z$19, "&gt;=70")-COUNTIF($D$19:$Z$19, "&gt;=80"))/COUNTA($D$19:$Z$19)&gt;0.4),
  AND(F19&gt;=60,F19&lt;=69, (COUNTIF($D$19:$Z$19, "&gt;=60")-COUNTIF($D$19:$Z$19, "&gt;=70"))/COUNTA($D$19:$Z$19)&gt;0.3),
  AND(F19&lt;=59, COUNTIF($D$19:$Z$19, "&lt;=59")/COUNTA($D$19:$Z$19)&gt;0.05)
), "⚠ 超標！", "")</f>
        <v/>
      </c>
      <c r="G20" s="6">
        <f>IF(OR(
  AND(G19&gt;=90, COUNTIF($D$19:$Z$19, "&gt;=90")/COUNTA($D$19:$Z$19)&gt;0.05),
  AND(G19&gt;=80,G19&lt;=89, (COUNTIF($D$19:$Z$19, "&gt;=80")-COUNTIF($D$19:$Z$19, "&gt;=90"))/COUNTA($D$19:$Z$19)&gt;0.2),
  AND(G19&gt;=70,G19&lt;=79, (COUNTIF($D$19:$Z$19, "&gt;=70")-COUNTIF($D$19:$Z$19, "&gt;=80"))/COUNTA($D$19:$Z$19)&gt;0.4),
  AND(G19&gt;=60,G19&lt;=69, (COUNTIF($D$19:$Z$19, "&gt;=60")-COUNTIF($D$19:$Z$19, "&gt;=70"))/COUNTA($D$19:$Z$19)&gt;0.3),
  AND(G19&lt;=59, COUNTIF($D$19:$Z$19, "&lt;=59")/COUNTA($D$19:$Z$19)&gt;0.05)
), "⚠ 超標！", "")</f>
        <v/>
      </c>
      <c r="H20" s="6">
        <f>IF(OR(
  AND(H19&gt;=90, COUNTIF($D$19:$Z$19, "&gt;=90")/COUNTA($D$19:$Z$19)&gt;0.05),
  AND(H19&gt;=80,H19&lt;=89, (COUNTIF($D$19:$Z$19, "&gt;=80")-COUNTIF($D$19:$Z$19, "&gt;=90"))/COUNTA($D$19:$Z$19)&gt;0.2),
  AND(H19&gt;=70,H19&lt;=79, (COUNTIF($D$19:$Z$19, "&gt;=70")-COUNTIF($D$19:$Z$19, "&gt;=80"))/COUNTA($D$19:$Z$19)&gt;0.4),
  AND(H19&gt;=60,H19&lt;=69, (COUNTIF($D$19:$Z$19, "&gt;=60")-COUNTIF($D$19:$Z$19, "&gt;=70"))/COUNTA($D$19:$Z$19)&gt;0.3),
  AND(H19&lt;=59, COUNTIF($D$19:$Z$19, "&lt;=59")/COUNTA($D$19:$Z$19)&gt;0.05)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2026-06-05T07:49:48Z</dcterms:created>
  <dcterms:modified xsi:type="dcterms:W3CDTF">2026-06-05T07:49:48Z</dcterms:modified>
</cp:coreProperties>
</file>