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尤念萍</t>
        </is>
      </c>
      <c r="C5" s="3">
        <f>COUNTIF(D6:M6,"&lt;&gt;")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林德和</t>
        </is>
      </c>
      <c r="H6" s="7" t="inlineStr">
        <is>
          <t>羅文彥</t>
        </is>
      </c>
      <c r="I6" s="7" t="inlineStr">
        <is>
          <t>楊心恬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  <c r="H8" s="15" t="n"/>
      <c r="I8" s="15" t="n"/>
      <c r="J8" s="15" t="n"/>
      <c r="K8" s="15" t="n"/>
      <c r="L8" s="15" t="n"/>
      <c r="M8" s="15" t="n"/>
    </row>
    <row r="9" ht="39.5" customHeight="1">
      <c r="B9" s="16" t="inlineStr">
        <is>
          <t>【行政】工作項目是否能在工時內完成?</t>
        </is>
      </c>
      <c r="C9" s="17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  <c r="H9" s="15" t="n"/>
      <c r="I9" s="15" t="n"/>
      <c r="J9" s="15" t="n"/>
      <c r="K9" s="15" t="n"/>
      <c r="L9" s="15" t="n"/>
      <c r="M9" s="15" t="n"/>
    </row>
    <row r="10" ht="42.5" customHeight="1">
      <c r="B10" s="16" t="inlineStr">
        <is>
          <t>*低於等於2分或高於等於8分，請說明原因：_________________________</t>
        </is>
      </c>
      <c r="C10" s="18" t="n"/>
      <c r="D10" s="13" t="n"/>
      <c r="E10" s="14" t="n"/>
      <c r="F10" s="14" t="n"/>
      <c r="G10" s="14" t="n"/>
      <c r="H10" s="15" t="n"/>
      <c r="I10" s="15" t="n"/>
      <c r="J10" s="15" t="n"/>
      <c r="K10" s="15" t="n"/>
      <c r="L10" s="15" t="n"/>
      <c r="M10" s="15" t="n"/>
    </row>
    <row r="11" ht="113.5" customHeight="1">
      <c r="A11" s="11" t="inlineStr">
        <is>
          <t>團隊溝通協調能力20%</t>
        </is>
      </c>
      <c r="B11" s="19" t="inlineStr">
        <is>
          <t>受評者的溝通協調與配合度</t>
        </is>
      </c>
      <c r="C11" s="2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1" t="n"/>
      <c r="E11" s="14" t="n"/>
      <c r="F11" s="14" t="n"/>
      <c r="G11" s="14" t="n"/>
      <c r="H11" s="15" t="n"/>
      <c r="I11" s="15" t="n"/>
      <c r="J11" s="15" t="n"/>
      <c r="K11" s="15" t="n"/>
      <c r="L11" s="15" t="n"/>
      <c r="M11" s="15" t="n"/>
    </row>
    <row r="12" ht="56" customHeight="1">
      <c r="A12" s="11" t="n"/>
      <c r="B12" s="16" t="inlineStr">
        <is>
          <t xml:space="preserve">你對於受評者在會議追蹤事項之執行、回覆與結案管理上，是否能依規定期限完成並有效追蹤事項進度之表現評價為何？
</t>
        </is>
      </c>
      <c r="C12" s="1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  <c r="H12" s="15" t="n"/>
      <c r="I12" s="15" t="n"/>
      <c r="J12" s="15" t="n"/>
      <c r="K12" s="15" t="n"/>
      <c r="L12" s="15" t="n"/>
      <c r="M12" s="15" t="n"/>
    </row>
    <row r="13" ht="49.5" customHeight="1">
      <c r="A13" s="11" t="inlineStr">
        <is>
          <t>工作表現30%</t>
        </is>
      </c>
      <c r="B13" s="22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  <c r="H13" s="15" t="n"/>
      <c r="I13" s="15" t="n"/>
      <c r="J13" s="15" t="n"/>
      <c r="K13" s="15" t="n"/>
      <c r="L13" s="15" t="n"/>
      <c r="M13" s="15" t="n"/>
    </row>
    <row r="14" ht="49.5" customHeight="1">
      <c r="B14" s="20" t="inlineStr">
        <is>
          <t>你對於受評者完成工作之品質與完整性評價為何？</t>
        </is>
      </c>
      <c r="C14" s="23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  <c r="H14" s="15" t="n"/>
      <c r="I14" s="15" t="n"/>
      <c r="J14" s="15" t="n"/>
      <c r="K14" s="15" t="n"/>
      <c r="L14" s="15" t="n"/>
      <c r="M14" s="15" t="n"/>
    </row>
    <row r="15" ht="60" customHeight="1">
      <c r="B15" s="24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  <c r="H15" s="15" t="n"/>
      <c r="I15" s="15" t="n"/>
      <c r="J15" s="15" t="n"/>
      <c r="K15" s="15" t="n"/>
      <c r="L15" s="15" t="n"/>
      <c r="M15" s="15" t="n"/>
    </row>
    <row r="16" ht="60" customHeight="1">
      <c r="B16" s="16" t="inlineStr">
        <is>
          <t>你對於受評者在工作目標、交辦事項及時程管理上的達成能力評價為何？</t>
        </is>
      </c>
      <c r="C16" s="25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  <c r="H16" s="15" t="n"/>
      <c r="I16" s="15" t="n"/>
      <c r="J16" s="15" t="n"/>
      <c r="K16" s="15" t="n"/>
      <c r="L16" s="15" t="n"/>
      <c r="M16" s="15" t="n"/>
    </row>
    <row r="17" ht="55" customHeight="1">
      <c r="B17" s="22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  <c r="H17" s="15" t="n"/>
      <c r="I17" s="15" t="n"/>
      <c r="J17" s="15" t="n"/>
      <c r="K17" s="15" t="n"/>
      <c r="L17" s="15" t="n"/>
      <c r="M17" s="15" t="n"/>
    </row>
    <row r="18" ht="55" customHeight="1">
      <c r="A18" s="11" t="n"/>
      <c r="B18" s="26" t="inlineStr">
        <is>
          <t>對於主管交辦事項，受評者是否能正確理解需求、依規範執行並有效完成？</t>
        </is>
      </c>
      <c r="C18" s="27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  <c r="H18" s="15" t="n"/>
      <c r="I18" s="15" t="n"/>
      <c r="J18" s="15" t="n"/>
      <c r="K18" s="15" t="n"/>
      <c r="L18" s="15" t="n"/>
      <c r="M18" s="15" t="n"/>
    </row>
    <row r="19" ht="49" customHeight="1">
      <c r="A19" s="28" t="inlineStr">
        <is>
          <t>工作態度30%</t>
        </is>
      </c>
      <c r="B19" s="29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  <c r="H19" s="15" t="n"/>
      <c r="I19" s="15" t="n"/>
      <c r="J19" s="15" t="n"/>
      <c r="K19" s="15" t="n"/>
      <c r="L19" s="15" t="n"/>
      <c r="M19" s="15" t="n"/>
    </row>
    <row r="20" ht="32.5" customHeight="1">
      <c r="B20" s="16" t="inlineStr">
        <is>
          <t>是否願意和受評者一起工作?</t>
        </is>
      </c>
      <c r="C20" s="30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  <c r="H20" s="15" t="n"/>
      <c r="I20" s="15" t="n"/>
      <c r="J20" s="15" t="n"/>
      <c r="K20" s="15" t="n"/>
      <c r="L20" s="15" t="n"/>
      <c r="M20" s="15" t="n"/>
    </row>
    <row r="21" ht="28.5" customHeight="1">
      <c r="B21" s="22" t="inlineStr">
        <is>
          <t>*低於等於3分或最高分，請敘述狀況：_________________________</t>
        </is>
      </c>
      <c r="D21" s="31" t="n"/>
      <c r="E21" s="14" t="n"/>
      <c r="F21" s="14" t="n"/>
      <c r="G21" s="14" t="n"/>
      <c r="H21" s="15" t="n"/>
      <c r="I21" s="15" t="n"/>
      <c r="J21" s="15" t="n"/>
      <c r="K21" s="15" t="n"/>
      <c r="L21" s="15" t="n"/>
      <c r="M21" s="15" t="n"/>
    </row>
    <row r="22" ht="50.5" customHeight="1">
      <c r="B22" s="32" t="n"/>
      <c r="C22" s="33" t="inlineStr">
        <is>
          <t>總分</t>
        </is>
      </c>
      <c r="D22" s="34">
        <f>SUM(D8:D21)</f>
        <v/>
      </c>
      <c r="E22" s="34">
        <f>SUM(E8:E21)</f>
        <v/>
      </c>
      <c r="F22" s="34">
        <f>SUM(F8:F21)</f>
        <v/>
      </c>
      <c r="G22" s="34">
        <f>SUM(G8:G21)</f>
        <v/>
      </c>
      <c r="H22" s="34">
        <f>SUM(H8:H21)</f>
        <v/>
      </c>
      <c r="I22" s="34">
        <f>SUM(I8:I21)</f>
        <v/>
      </c>
      <c r="J22" s="34">
        <f>SUM(J8:J21)</f>
        <v/>
      </c>
      <c r="K22" s="34">
        <f>SUM(K8:K21)</f>
        <v/>
      </c>
      <c r="L22" s="34">
        <f>SUM(L8:L21)</f>
        <v/>
      </c>
      <c r="M22" s="34">
        <f>SUM(M8:M21)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  <c r="H23" s="7">
        <f>IF(OR(
  AND(H22&gt;=90, COUNTIF($D$22:$Z$22, "&gt;=90")/COUNTA($D$22:$Z$22)&gt;0.05),
  AND(H22&gt;=80,H22&lt;=89, (COUNTIF($D$22:$Z$22, "&gt;=80")-COUNTIF($D$22:$Z$22, "&gt;=90"))/COUNTA($D$22:$Z$22)&gt;0.2),
  AND(H22&gt;=70,H22&lt;=79, (COUNTIF($D$22:$Z$22, "&gt;=70")-COUNTIF($D$22:$Z$22, "&gt;=80"))/COUNTA($D$22:$Z$22)&gt;0.4),
  AND(H22&gt;=60,H22&lt;=69, (COUNTIF($D$22:$Z$22, "&gt;=60")-COUNTIF($D$22:$Z$22, "&gt;=70"))/COUNTA($D$22:$Z$22)&gt;0.3),
  AND(H22&lt;=59, COUNTIF($D$22:$Z$22, "&lt;=59")/COUNTA($D$22:$Z$22)&gt;0.05)
), "⚠ 超標！", "")</f>
        <v/>
      </c>
      <c r="I23" s="7">
        <f>IF(OR(
  AND(I22&gt;=90, COUNTIF($D$22:$Z$22, "&gt;=90")/COUNTA($D$22:$Z$22)&gt;0.05),
  AND(I22&gt;=80,I22&lt;=89, (COUNTIF($D$22:$Z$22, "&gt;=80")-COUNTIF($D$22:$Z$22, "&gt;=90"))/COUNTA($D$22:$Z$22)&gt;0.2),
  AND(I22&gt;=70,I22&lt;=79, (COUNTIF($D$22:$Z$22, "&gt;=70")-COUNTIF($D$22:$Z$22, "&gt;=80"))/COUNTA($D$22:$Z$22)&gt;0.4),
  AND(I22&gt;=60,I22&lt;=69, (COUNTIF($D$22:$Z$22, "&gt;=60")-COUNTIF($D$22:$Z$22, "&gt;=70"))/COUNTA($D$22:$Z$22)&gt;0.3),
  AND(I22&lt;=59, COUNTIF($D$22:$Z$22, "&lt;=59")/COUNTA($D$22:$Z$22)&gt;0.05)
), "⚠ 超標！", "")</f>
        <v/>
      </c>
      <c r="J23" s="7">
        <f>IF(OR(
  AND(J22&gt;=90, COUNTIF($D$22:$Z$22, "&gt;=90")/COUNTA($D$22:$Z$22)&gt;0.05),
  AND(J22&gt;=80,J22&lt;=89, (COUNTIF($D$22:$Z$22, "&gt;=80")-COUNTIF($D$22:$Z$22, "&gt;=90"))/COUNTA($D$22:$Z$22)&gt;0.2),
  AND(J22&gt;=70,J22&lt;=79, (COUNTIF($D$22:$Z$22, "&gt;=70")-COUNTIF($D$22:$Z$22, "&gt;=80"))/COUNTA($D$22:$Z$22)&gt;0.4),
  AND(J22&gt;=60,J22&lt;=69, (COUNTIF($D$22:$Z$22, "&gt;=60")-COUNTIF($D$22:$Z$22, "&gt;=70"))/COUNTA($D$22:$Z$22)&gt;0.3),
  AND(J22&lt;=59, COUNTIF($D$22:$Z$22, "&lt;=59")/COUNTA($D$22:$Z$22)&gt;0.05)
), "⚠ 超標！", "")</f>
        <v/>
      </c>
      <c r="K23" s="7">
        <f>IF(OR(
  AND(K22&gt;=90, COUNTIF($D$22:$Z$22, "&gt;=90")/COUNTA($D$22:$Z$22)&gt;0.05),
  AND(K22&gt;=80,K22&lt;=89, (COUNTIF($D$22:$Z$22, "&gt;=80")-COUNTIF($D$22:$Z$22, "&gt;=90"))/COUNTA($D$22:$Z$22)&gt;0.2),
  AND(K22&gt;=70,K22&lt;=79, (COUNTIF($D$22:$Z$22, "&gt;=70")-COUNTIF($D$22:$Z$22, "&gt;=80"))/COUNTA($D$22:$Z$22)&gt;0.4),
  AND(K22&gt;=60,K22&lt;=69, (COUNTIF($D$22:$Z$22, "&gt;=60")-COUNTIF($D$22:$Z$22, "&gt;=70"))/COUNTA($D$22:$Z$22)&gt;0.3),
  AND(K22&lt;=59, COUNTIF($D$22:$Z$22, "&lt;=59")/COUNTA($D$22:$Z$22)&gt;0.05)
), "⚠ 超標！", "")</f>
        <v/>
      </c>
      <c r="L23" s="7">
        <f>IF(OR(
  AND(L22&gt;=90, COUNTIF($D$22:$Z$22, "&gt;=90")/COUNTA($D$22:$Z$22)&gt;0.05),
  AND(L22&gt;=80,L22&lt;=89, (COUNTIF($D$22:$Z$22, "&gt;=80")-COUNTIF($D$22:$Z$22, "&gt;=90"))/COUNTA($D$22:$Z$22)&gt;0.2),
  AND(L22&gt;=70,L22&lt;=79, (COUNTIF($D$22:$Z$22, "&gt;=70")-COUNTIF($D$22:$Z$22, "&gt;=80"))/COUNTA($D$22:$Z$22)&gt;0.4),
  AND(L22&gt;=60,L22&lt;=69, (COUNTIF($D$22:$Z$22, "&gt;=60")-COUNTIF($D$22:$Z$22, "&gt;=70"))/COUNTA($D$22:$Z$22)&gt;0.3),
  AND(L22&lt;=59, COUNTIF($D$22:$Z$22, "&lt;=59")/COUNTA($D$22:$Z$22)&gt;0.05)
), "⚠ 超標！", "")</f>
        <v/>
      </c>
      <c r="M23" s="7">
        <f>IF(OR(
  AND(M22&gt;=90, COUNTIF($D$22:$Z$22, "&gt;=90")/COUNTA($D$22:$Z$22)&gt;0.05),
  AND(M22&gt;=80,M22&lt;=89, (COUNTIF($D$22:$Z$22, "&gt;=80")-COUNTIF($D$22:$Z$22, "&gt;=90"))/COUNTA($D$22:$Z$22)&gt;0.2),
  AND(M22&gt;=70,M22&lt;=79, (COUNTIF($D$22:$Z$22, "&gt;=70")-COUNTIF($D$22:$Z$22, "&gt;=80"))/COUNTA($D$22:$Z$22)&gt;0.4),
  AND(M22&gt;=60,M22&lt;=69, (COUNTIF($D$22:$Z$22, "&gt;=60")-COUNTIF($D$22:$Z$22, "&gt;=70"))/COUNTA($D$22:$Z$22)&gt;0.3),
  AND(M22&lt;=59,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5" t="inlineStr">
        <is>
          <t>樂聯工業股份有限公司</t>
        </is>
      </c>
    </row>
    <row r="2" ht="16" customHeight="1">
      <c r="A2" s="36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尤念萍</t>
        </is>
      </c>
      <c r="C5" s="3">
        <f>COUNTIF(D6:J6,"&lt;&gt;")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7" t="inlineStr">
        <is>
          <t>占比</t>
        </is>
      </c>
      <c r="B7" s="37" t="inlineStr">
        <is>
          <t>題目</t>
        </is>
      </c>
      <c r="C7" s="37" t="inlineStr">
        <is>
          <t>評分方式</t>
        </is>
      </c>
    </row>
    <row r="8" ht="33.5" customHeight="1">
      <c r="A8" s="38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15" t="n"/>
      <c r="E8" s="15" t="n"/>
      <c r="F8" s="15" t="n"/>
      <c r="G8" s="15" t="n"/>
      <c r="H8" s="15" t="n"/>
      <c r="I8" s="15" t="n"/>
      <c r="J8" s="15" t="n"/>
    </row>
    <row r="9" ht="123" customHeight="1">
      <c r="A9" s="38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15" t="n"/>
      <c r="F9" s="15" t="n"/>
      <c r="G9" s="15" t="n"/>
      <c r="H9" s="15" t="n"/>
      <c r="I9" s="15" t="n"/>
      <c r="J9" s="15" t="n"/>
    </row>
    <row r="10" ht="58" customHeight="1">
      <c r="A10" s="38" t="n"/>
      <c r="B10" s="26" t="inlineStr">
        <is>
          <t>是否透過正確窗口、不越權、不跳層級？（15 分）</t>
        </is>
      </c>
      <c r="C10" s="27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15" t="n"/>
      <c r="F10" s="15" t="n"/>
      <c r="G10" s="15" t="n"/>
      <c r="H10" s="15" t="n"/>
      <c r="I10" s="15" t="n"/>
      <c r="J10" s="15" t="n"/>
    </row>
    <row r="11" ht="52" customHeight="1">
      <c r="A11" s="42" t="inlineStr">
        <is>
          <t>跨部門工作表現30%</t>
        </is>
      </c>
      <c r="B11" s="29" t="inlineStr">
        <is>
          <t>*低於等於6分或高於13分，請說明原因：____________________</t>
        </is>
      </c>
      <c r="D11" s="14" t="n"/>
      <c r="E11" s="15" t="n"/>
      <c r="F11" s="15" t="n"/>
      <c r="G11" s="15" t="n"/>
      <c r="H11" s="15" t="n"/>
      <c r="I11" s="15" t="n"/>
      <c r="J11" s="15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15" t="n"/>
      <c r="F12" s="15" t="n"/>
      <c r="G12" s="15" t="n"/>
      <c r="H12" s="15" t="n"/>
      <c r="I12" s="15" t="n"/>
      <c r="J12" s="15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15" t="n"/>
      <c r="F13" s="15" t="n"/>
      <c r="G13" s="15" t="n"/>
      <c r="H13" s="15" t="n"/>
      <c r="I13" s="15" t="n"/>
      <c r="J13" s="15" t="n"/>
    </row>
    <row r="14" ht="70" customHeight="1">
      <c r="A14" s="38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15" t="n"/>
      <c r="F14" s="15" t="n"/>
      <c r="G14" s="15" t="n"/>
      <c r="H14" s="15" t="n"/>
      <c r="I14" s="15" t="n"/>
      <c r="J14" s="15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15" t="n"/>
      <c r="F15" s="15" t="n"/>
      <c r="G15" s="15" t="n"/>
      <c r="H15" s="15" t="n"/>
      <c r="I15" s="15" t="n"/>
      <c r="J15" s="15" t="n"/>
    </row>
    <row r="16" ht="62.5" customHeight="1">
      <c r="B16" s="26" t="inlineStr">
        <is>
          <t>資料正確性與完整性（20 分）</t>
        </is>
      </c>
      <c r="C16" s="27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15" t="n"/>
      <c r="F16" s="15" t="n"/>
      <c r="G16" s="15" t="n"/>
      <c r="H16" s="15" t="n"/>
      <c r="I16" s="15" t="n"/>
      <c r="J16" s="15" t="n"/>
    </row>
    <row r="17" ht="55" customHeight="1">
      <c r="B17" s="29" t="inlineStr">
        <is>
          <t>*低於等於8分或高於等於16分，請說明原因： _________________________</t>
        </is>
      </c>
      <c r="D17" s="14" t="n"/>
      <c r="E17" s="15" t="n"/>
      <c r="F17" s="15" t="n"/>
      <c r="G17" s="15" t="n"/>
      <c r="H17" s="15" t="n"/>
      <c r="I17" s="15" t="n"/>
      <c r="J17" s="15" t="n"/>
    </row>
    <row r="18" ht="23.5" customHeight="1">
      <c r="C18" s="33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2026-06-05T07:49:46Z</dcterms:created>
  <dcterms:modified xsi:type="dcterms:W3CDTF">2026-06-05T07:49:46Z</dcterms:modified>
</cp:coreProperties>
</file>