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吉實達</t>
        </is>
      </c>
      <c r="C5" s="3">
        <f>COUNTIF(D6:M6,"&lt;&gt;")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潘盈蓁</t>
        </is>
      </c>
      <c r="E6" s="6" t="inlineStr">
        <is>
          <t>姜威藍</t>
        </is>
      </c>
      <c r="F6" s="6" t="inlineStr">
        <is>
          <t>吳拉查</t>
        </is>
      </c>
      <c r="G6" s="6" t="inlineStr">
        <is>
          <t>薩財</t>
        </is>
      </c>
      <c r="H6" s="6" t="inlineStr">
        <is>
          <t>隆峽</t>
        </is>
      </c>
      <c r="I6" s="6" t="inlineStr">
        <is>
          <t>三理</t>
        </is>
      </c>
      <c r="J6" t="inlineStr">
        <is>
          <t>郭藍林</t>
        </is>
      </c>
      <c r="K6" t="inlineStr">
        <is>
          <t>陳凱</t>
        </is>
      </c>
      <c r="L6" t="inlineStr">
        <is>
          <t>查朋</t>
        </is>
      </c>
      <c r="M6" t="inlineStr">
        <is>
          <t>提拉瓦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 ht="41" customHeight="1">
      <c r="A9" s="8" t="n"/>
      <c r="B9" s="11" t="inlineStr">
        <is>
          <t>你對於受評者在日常表現上或各種會議中，對於受評者工作的『正確率』，達成百分比</t>
        </is>
      </c>
      <c r="C9" s="12" t="inlineStr">
        <is>
          <t>10分100%
9分  90%
8分  80%
7分  70%
6分  60%
5分  50%
4分  40%
3分  30%
2分  20%
1分  10%</t>
        </is>
      </c>
      <c r="D9" s="13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 ht="77" customHeight="1">
      <c r="A10" s="8" t="inlineStr">
        <is>
          <t>工作表現40%</t>
        </is>
      </c>
      <c r="B10" s="14" t="inlineStr">
        <is>
          <t>*低於等於4分或高於等於9分，請說明原因：____________________</t>
        </is>
      </c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 ht="77" customHeight="1">
      <c r="B11" s="15" t="inlineStr">
        <is>
          <t>你對於受評者在日常表現上或各種會議中，對於受評者工作的『完成度』，達成百分比</t>
        </is>
      </c>
      <c r="C11" s="15" t="inlineStr">
        <is>
          <t>10分100%
9分  90%
8分  80%
7分  70%
6分  60%
5分  50%
4分  40%
3分  30%
2分  20%
1分  10%</t>
        </is>
      </c>
      <c r="D11" s="13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 ht="38.5" customHeight="1">
      <c r="B12" s="16" t="inlineStr">
        <is>
          <t>*低於等於4分或高於等於9分，請說明原因：____________________</t>
        </is>
      </c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 ht="38.5" customHeight="1">
      <c r="B13" s="11" t="inlineStr">
        <is>
          <t>受評者的工作品質</t>
        </is>
      </c>
      <c r="C13" s="11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13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 ht="30.5" customHeight="1">
      <c r="B14" s="14" t="inlineStr">
        <is>
          <t>*低於等於4分或高於等於17分，請說明原因：___________________________</t>
        </is>
      </c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 ht="30.5" customHeight="1">
      <c r="B15" s="15" t="inlineStr">
        <is>
          <t>【現場】「只限評分現場人員專用」</t>
        </is>
      </c>
      <c r="C15" s="17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13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 ht="42" customHeight="1">
      <c r="B16" s="16" t="inlineStr">
        <is>
          <t>*低於等於3分或高於等於8分，請說明原因：___________________________</t>
        </is>
      </c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 ht="56.5" customHeight="1">
      <c r="A17" s="8" t="n"/>
      <c r="B17" s="11" t="inlineStr">
        <is>
          <t>你對於受評者在日常任務完成表現</t>
        </is>
      </c>
      <c r="C17" s="12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13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8" t="inlineStr">
        <is>
          <t>工作態度30%</t>
        </is>
      </c>
      <c r="B18" s="14" t="inlineStr">
        <is>
          <t>*低於等於1分或高於等於9分，請說明原因：___________________</t>
        </is>
      </c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 ht="45.5" customHeight="1">
      <c r="B19" s="15" t="inlineStr">
        <is>
          <t>是否願意和受評者一起工作?</t>
        </is>
      </c>
      <c r="C19" s="15" t="inlineStr">
        <is>
          <t>✓我很願意跟受評者一起工作(8-10)
✓我還算願意跟受評者一起工作(5-7)
✓我盡可能不跟受評者一起工作(2-4)
✓我不願意跟受評者一起工作(0-1)</t>
        </is>
      </c>
      <c r="D19" s="13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B20" s="16" t="inlineStr">
        <is>
          <t>*低於等於1分或高於等於9分，請說明原因：__________________</t>
        </is>
      </c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 ht="50.5" customHeight="1">
      <c r="B21" s="19" t="n"/>
      <c r="C21" s="20" t="inlineStr">
        <is>
          <t>總分</t>
        </is>
      </c>
      <c r="D21" s="21">
        <f>SUM(D8:D20)</f>
        <v/>
      </c>
      <c r="E21" s="21">
        <f>SUM(E8:E20)</f>
        <v/>
      </c>
      <c r="F21" s="21">
        <f>SUM(F8:F20)</f>
        <v/>
      </c>
      <c r="G21" s="21">
        <f>SUM(G8:G20)</f>
        <v/>
      </c>
      <c r="H21" s="21">
        <f>SUM(H8:H20)</f>
        <v/>
      </c>
      <c r="I21" s="21">
        <f>SUM(I8:I20)</f>
        <v/>
      </c>
      <c r="J21" s="21">
        <f>SUM(J8:J20)</f>
        <v/>
      </c>
      <c r="K21" s="21">
        <f>SUM(K8:K20)</f>
        <v/>
      </c>
      <c r="L21" s="21">
        <f>SUM(L8:L20)</f>
        <v/>
      </c>
      <c r="M21" s="21">
        <f>SUM(M8:M20)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  <c r="G22" s="6">
        <f>IF(OR(
  AND(G21&gt;=90, COUNTIF($D$21:$Z$21, "&gt;=90")/COUNTA($D$21:$Z$21)&gt;0.05),
  AND(G21&gt;=80,G21&lt;=89, (COUNTIF($D$21:$Z$21, "&gt;=80")-COUNTIF($D$21:$Z$21, "&gt;=90"))/COUNTA($D$21:$Z$21)&gt;0.2),
  AND(G21&gt;=70,G21&lt;=79, (COUNTIF($D$21:$Z$21, "&gt;=70")-COUNTIF($D$21:$Z$21, "&gt;=80"))/COUNTA($D$21:$Z$21)&gt;0.4),
  AND(G21&gt;=60,G21&lt;=69, (COUNTIF($D$21:$Z$21, "&gt;=60")-COUNTIF($D$21:$Z$21, "&gt;=70"))/COUNTA($D$21:$Z$21)&gt;0.3),
  AND(G21&lt;=59, COUNTIF($D$21:$Z$21, "&lt;=59")/COUNTA($D$21:$Z$21)&gt;0.05)
), "⚠ 超標！", "")</f>
        <v/>
      </c>
      <c r="H22" s="6">
        <f>IF(OR(
  AND(H21&gt;=90, COUNTIF($D$21:$Z$21, "&gt;=90")/COUNTA($D$21:$Z$21)&gt;0.05),
  AND(H21&gt;=80,H21&lt;=89, (COUNTIF($D$21:$Z$21, "&gt;=80")-COUNTIF($D$21:$Z$21, "&gt;=90"))/COUNTA($D$21:$Z$21)&gt;0.2),
  AND(H21&gt;=70,H21&lt;=79, (COUNTIF($D$21:$Z$21, "&gt;=70")-COUNTIF($D$21:$Z$21, "&gt;=80"))/COUNTA($D$21:$Z$21)&gt;0.4),
  AND(H21&gt;=60,H21&lt;=69, (COUNTIF($D$21:$Z$21, "&gt;=60")-COUNTIF($D$21:$Z$21, "&gt;=70"))/COUNTA($D$21:$Z$21)&gt;0.3),
  AND(H21&lt;=59, COUNTIF($D$21:$Z$21, "&lt;=59")/COUNTA($D$21:$Z$21)&gt;0.05)
), "⚠ 超標！", "")</f>
        <v/>
      </c>
      <c r="I22" s="6">
        <f>IF(OR(
  AND(I21&gt;=90, COUNTIF($D$21:$Z$21, "&gt;=90")/COUNTA($D$21:$Z$21)&gt;0.05),
  AND(I21&gt;=80,I21&lt;=89, (COUNTIF($D$21:$Z$21, "&gt;=80")-COUNTIF($D$21:$Z$21, "&gt;=90"))/COUNTA($D$21:$Z$21)&gt;0.2),
  AND(I21&gt;=70,I21&lt;=79, (COUNTIF($D$21:$Z$21, "&gt;=70")-COUNTIF($D$21:$Z$21, "&gt;=80"))/COUNTA($D$21:$Z$21)&gt;0.4),
  AND(I21&gt;=60,I21&lt;=69, (COUNTIF($D$21:$Z$21, "&gt;=60")-COUNTIF($D$21:$Z$21, "&gt;=70"))/COUNTA($D$21:$Z$21)&gt;0.3),
  AND(I21&lt;=59, COUNTIF($D$21:$Z$21, "&lt;=59")/COUNTA($D$21:$Z$21)&gt;0.05)
), "⚠ 超標！", "")</f>
        <v/>
      </c>
      <c r="J22" s="6">
        <f>IF(OR(
  AND(J21&gt;=90, COUNTIF($D$21:$Z$21, "&gt;=90")/COUNTA($D$21:$Z$21)&gt;0.05),
  AND(J21&gt;=80,J21&lt;=89, (COUNTIF($D$21:$Z$21, "&gt;=80")-COUNTIF($D$21:$Z$21, "&gt;=90"))/COUNTA($D$21:$Z$21)&gt;0.2),
  AND(J21&gt;=70,J21&lt;=79, (COUNTIF($D$21:$Z$21, "&gt;=70")-COUNTIF($D$21:$Z$21, "&gt;=80"))/COUNTA($D$21:$Z$21)&gt;0.4),
  AND(J21&gt;=60,J21&lt;=69, (COUNTIF($D$21:$Z$21, "&gt;=60")-COUNTIF($D$21:$Z$21, "&gt;=70"))/COUNTA($D$21:$Z$21)&gt;0.3),
  AND(J21&lt;=59, COUNTIF($D$21:$Z$21, "&lt;=59")/COUNTA($D$21:$Z$21)&gt;0.05)
), "⚠ 超標！", "")</f>
        <v/>
      </c>
      <c r="K22" s="6">
        <f>IF(OR(
  AND(K21&gt;=90, COUNTIF($D$21:$Z$21, "&gt;=90")/COUNTA($D$21:$Z$21)&gt;0.05),
  AND(K21&gt;=80,K21&lt;=89, (COUNTIF($D$21:$Z$21, "&gt;=80")-COUNTIF($D$21:$Z$21, "&gt;=90"))/COUNTA($D$21:$Z$21)&gt;0.2),
  AND(K21&gt;=70,K21&lt;=79, (COUNTIF($D$21:$Z$21, "&gt;=70")-COUNTIF($D$21:$Z$21, "&gt;=80"))/COUNTA($D$21:$Z$21)&gt;0.4),
  AND(K21&gt;=60,K21&lt;=69, (COUNTIF($D$21:$Z$21, "&gt;=60")-COUNTIF($D$21:$Z$21, "&gt;=70"))/COUNTA($D$21:$Z$21)&gt;0.3),
  AND(K21&lt;=59, COUNTIF($D$21:$Z$21, "&lt;=59")/COUNTA($D$21:$Z$21)&gt;0.05)
), "⚠ 超標！", "")</f>
        <v/>
      </c>
      <c r="L22" s="6">
        <f>IF(OR(
  AND(L21&gt;=90, COUNTIF($D$21:$Z$21, "&gt;=90")/COUNTA($D$21:$Z$21)&gt;0.05),
  AND(L21&gt;=80,L21&lt;=89, (COUNTIF($D$21:$Z$21, "&gt;=80")-COUNTIF($D$21:$Z$21, "&gt;=90"))/COUNTA($D$21:$Z$21)&gt;0.2),
  AND(L21&gt;=70,L21&lt;=79, (COUNTIF($D$21:$Z$21, "&gt;=70")-COUNTIF($D$21:$Z$21, "&gt;=80"))/COUNTA($D$21:$Z$21)&gt;0.4),
  AND(L21&gt;=60,L21&lt;=69, (COUNTIF($D$21:$Z$21, "&gt;=60")-COUNTIF($D$21:$Z$21, "&gt;=70"))/COUNTA($D$21:$Z$21)&gt;0.3),
  AND(L21&lt;=59, COUNTIF($D$21:$Z$21, "&lt;=59")/COUNTA($D$21:$Z$21)&gt;0.05)
), "⚠ 超標！", "")</f>
        <v/>
      </c>
      <c r="M22" s="6">
        <f>IF(OR(
  AND(M21&gt;=90, COUNTIF($D$21:$Z$21, "&gt;=90")/COUNTA($D$21:$Z$21)&gt;0.05),
  AND(M21&gt;=80,M21&lt;=89, (COUNTIF($D$21:$Z$21, "&gt;=80")-COUNTIF($D$21:$Z$21, "&gt;=90"))/COUNTA($D$21:$Z$21)&gt;0.2),
  AND(M21&gt;=70,M21&lt;=79, (COUNTIF($D$21:$Z$21, "&gt;=70")-COUNTIF($D$21:$Z$21, "&gt;=80"))/COUNTA($D$21:$Z$21)&gt;0.4),
  AND(M21&gt;=60,M21&lt;=69, (COUNTIF($D$21:$Z$21, "&gt;=60")-COUNTIF($D$21:$Z$21, "&gt;=70"))/COUNTA($D$21:$Z$21)&gt;0.3),
  AND(M21&lt;=59,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吉實達</t>
        </is>
      </c>
      <c r="C5" s="3">
        <f>COUNTIF(D6:H6,"&lt;&gt;")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  <c r="H8" s="10" t="n"/>
    </row>
    <row r="9" ht="84" customHeight="1">
      <c r="B9" s="15" t="inlineStr">
        <is>
          <t>產品知識與設備保養管理（10 分）</t>
        </is>
      </c>
      <c r="C9" s="15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  <c r="H9" s="10" t="n"/>
    </row>
    <row r="10" ht="53" customHeight="1">
      <c r="A10" s="8" t="inlineStr">
        <is>
          <t>團隊溝通協調能力20%</t>
        </is>
      </c>
      <c r="B10" s="22" t="inlineStr">
        <is>
          <t>受評者的溝通協調與配合度</t>
        </is>
      </c>
      <c r="C10" s="11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  <c r="H10" s="10" t="n"/>
    </row>
    <row r="11" ht="53" customHeight="1">
      <c r="A11" s="8" t="n"/>
      <c r="B11" s="15" t="inlineStr">
        <is>
          <t>對於主管交辦的任務</t>
        </is>
      </c>
      <c r="C11" s="17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3" t="n"/>
      <c r="E11" s="10" t="n"/>
      <c r="F11" s="10" t="n"/>
      <c r="G11" s="10" t="n"/>
      <c r="H11" s="10" t="n"/>
    </row>
    <row r="12" ht="57.5" customHeight="1">
      <c r="A12" s="18" t="inlineStr">
        <is>
          <t>工作態度
30%</t>
        </is>
      </c>
      <c r="B12" s="16" t="inlineStr">
        <is>
          <t>*低於等於3分或高於等於13分，請說明原因： __________________________</t>
        </is>
      </c>
      <c r="D12" s="10" t="n"/>
      <c r="E12" s="10" t="n"/>
      <c r="F12" s="10" t="n"/>
      <c r="G12" s="10" t="n"/>
      <c r="H12" s="10" t="n"/>
    </row>
    <row r="13" ht="46" customHeight="1">
      <c r="B13" s="11" t="inlineStr">
        <is>
          <t>對於工作任務完成度</t>
        </is>
      </c>
      <c r="C13" s="11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13" t="n"/>
      <c r="E13" s="10" t="n"/>
      <c r="F13" s="10" t="n"/>
      <c r="G13" s="10" t="n"/>
      <c r="H13" s="10" t="n"/>
    </row>
    <row r="14" ht="22" customHeight="1">
      <c r="B14" s="14" t="inlineStr">
        <is>
          <t>*低於等於1或高於等於14分，請說明原因：___________________________</t>
        </is>
      </c>
      <c r="D14" s="10" t="n"/>
      <c r="E14" s="10" t="n"/>
      <c r="F14" s="10" t="n"/>
      <c r="G14" s="10" t="n"/>
      <c r="H14" s="10" t="n"/>
    </row>
    <row r="15" ht="22" customHeight="1">
      <c r="A15" s="8" t="n"/>
      <c r="B15" s="15" t="inlineStr">
        <is>
          <t>※印象中你對受評者在指導與覆核部屬方面，願意給幾分</t>
        </is>
      </c>
      <c r="C15" s="17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13" t="n"/>
      <c r="E15" s="10" t="n"/>
      <c r="F15" s="10" t="n"/>
      <c r="G15" s="10" t="n"/>
      <c r="H15" s="10" t="n"/>
    </row>
    <row r="16" ht="50" customHeight="1">
      <c r="A16" s="18" t="inlineStr">
        <is>
          <t>領導統御
30%</t>
        </is>
      </c>
      <c r="B16" s="16" t="inlineStr">
        <is>
          <t>*低於等於6分或高於等於16分，請說明原因：________________</t>
        </is>
      </c>
      <c r="D16" s="10" t="n"/>
      <c r="E16" s="10" t="n"/>
      <c r="F16" s="10" t="n"/>
      <c r="G16" s="10" t="n"/>
      <c r="H16" s="10" t="n"/>
    </row>
    <row r="17" ht="50" customHeight="1">
      <c r="B17" s="11" t="inlineStr">
        <is>
          <t>是否願意和受評者一起工作?</t>
        </is>
      </c>
      <c r="C17" s="11" t="inlineStr">
        <is>
          <t>✓我很願意跟受評者一起工作(8~10)
✓我還算願意跟受評者一起工作(5~7)
✓我盡可能不跟受評者一起工作(2~4)
✓我不願意跟受評者一起工作(0-1)</t>
        </is>
      </c>
      <c r="D17" s="13" t="n"/>
      <c r="E17" s="10" t="n"/>
      <c r="F17" s="10" t="n"/>
      <c r="G17" s="10" t="n"/>
      <c r="H17" s="10" t="n"/>
    </row>
    <row r="18">
      <c r="B18" s="14" t="inlineStr">
        <is>
          <t>*低於等於3分或最高分，請敘述狀況：_________________________</t>
        </is>
      </c>
      <c r="D18" s="10" t="n"/>
      <c r="E18" s="10" t="n"/>
      <c r="F18" s="10" t="n"/>
      <c r="G18" s="10" t="n"/>
      <c r="H18" s="10" t="n"/>
    </row>
    <row r="19" ht="50.5" customHeight="1">
      <c r="B19" s="19" t="n"/>
      <c r="C19" s="20" t="inlineStr">
        <is>
          <t>總分</t>
        </is>
      </c>
      <c r="D19" s="21">
        <f>SUM(D8:D18)</f>
        <v/>
      </c>
      <c r="E19" s="21">
        <f>SUM(E8:E18)</f>
        <v/>
      </c>
      <c r="F19" s="21">
        <f>SUM(F8:F18)</f>
        <v/>
      </c>
      <c r="G19" s="21">
        <f>SUM(G8:G18)</f>
        <v/>
      </c>
      <c r="H19" s="21">
        <f>SUM(H8:H18)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  <c r="E20" s="6">
        <f>IF(OR(
  AND(E19&gt;=90, COUNTIF($D$19:$Z$19, "&gt;=90")/COUNTA($D$19:$Z$19)&gt;0.05),
  AND(E19&gt;=80,E19&lt;=89, (COUNTIF($D$19:$Z$19, "&gt;=80")-COUNTIF($D$19:$Z$19, "&gt;=90"))/COUNTA($D$19:$Z$19)&gt;0.2),
  AND(E19&gt;=70,E19&lt;=79, (COUNTIF($D$19:$Z$19, "&gt;=70")-COUNTIF($D$19:$Z$19, "&gt;=80"))/COUNTA($D$19:$Z$19)&gt;0.4),
  AND(E19&gt;=60,E19&lt;=69, (COUNTIF($D$19:$Z$19, "&gt;=60")-COUNTIF($D$19:$Z$19, "&gt;=70"))/COUNTA($D$19:$Z$19)&gt;0.3),
  AND(E19&lt;=59, COUNTIF($D$19:$Z$19, "&lt;=59")/COUNTA($D$19:$Z$19)&gt;0.05)
), "⚠ 超標！", "")</f>
        <v/>
      </c>
      <c r="F20" s="6">
        <f>IF(OR(
  AND(F19&gt;=90, COUNTIF($D$19:$Z$19, "&gt;=90")/COUNTA($D$19:$Z$19)&gt;0.05),
  AND(F19&gt;=80,F19&lt;=89, (COUNTIF($D$19:$Z$19, "&gt;=80")-COUNTIF($D$19:$Z$19, "&gt;=90"))/COUNTA($D$19:$Z$19)&gt;0.2),
  AND(F19&gt;=70,F19&lt;=79, (COUNTIF($D$19:$Z$19, "&gt;=70")-COUNTIF($D$19:$Z$19, "&gt;=80"))/COUNTA($D$19:$Z$19)&gt;0.4),
  AND(F19&gt;=60,F19&lt;=69, (COUNTIF($D$19:$Z$19, "&gt;=60")-COUNTIF($D$19:$Z$19, "&gt;=70"))/COUNTA($D$19:$Z$19)&gt;0.3),
  AND(F19&lt;=59, COUNTIF($D$19:$Z$19, "&lt;=59")/COUNTA($D$19:$Z$19)&gt;0.05)
), "⚠ 超標！", "")</f>
        <v/>
      </c>
      <c r="G20" s="6">
        <f>IF(OR(
  AND(G19&gt;=90, COUNTIF($D$19:$Z$19, "&gt;=90")/COUNTA($D$19:$Z$19)&gt;0.05),
  AND(G19&gt;=80,G19&lt;=89, (COUNTIF($D$19:$Z$19, "&gt;=80")-COUNTIF($D$19:$Z$19, "&gt;=90"))/COUNTA($D$19:$Z$19)&gt;0.2),
  AND(G19&gt;=70,G19&lt;=79, (COUNTIF($D$19:$Z$19, "&gt;=70")-COUNTIF($D$19:$Z$19, "&gt;=80"))/COUNTA($D$19:$Z$19)&gt;0.4),
  AND(G19&gt;=60,G19&lt;=69, (COUNTIF($D$19:$Z$19, "&gt;=60")-COUNTIF($D$19:$Z$19, "&gt;=70"))/COUNTA($D$19:$Z$19)&gt;0.3),
  AND(G19&lt;=59, COUNTIF($D$19:$Z$19, "&lt;=59")/COUNTA($D$19:$Z$19)&gt;0.05)
), "⚠ 超標！", "")</f>
        <v/>
      </c>
      <c r="H20" s="6">
        <f>IF(OR(
  AND(H19&gt;=90, COUNTIF($D$19:$Z$19, "&gt;=90")/COUNTA($D$19:$Z$19)&gt;0.05),
  AND(H19&gt;=80,H19&lt;=89, (COUNTIF($D$19:$Z$19, "&gt;=80")-COUNTIF($D$19:$Z$19, "&gt;=90"))/COUNTA($D$19:$Z$19)&gt;0.2),
  AND(H19&gt;=70,H19&lt;=79, (COUNTIF($D$19:$Z$19, "&gt;=70")-COUNTIF($D$19:$Z$19, "&gt;=80"))/COUNTA($D$19:$Z$19)&gt;0.4),
  AND(H19&gt;=60,H19&lt;=69, (COUNTIF($D$19:$Z$19, "&gt;=60")-COUNTIF($D$19:$Z$19, "&gt;=70"))/COUNTA($D$19:$Z$19)&gt;0.3),
  AND(H19&lt;=59, COUNTIF($D$19:$Z$19, "&lt;=59")/COUNTA($D$19:$Z$19)&gt;0.05)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