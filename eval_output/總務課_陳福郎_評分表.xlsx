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總務課</t>
        </is>
      </c>
      <c r="B5" t="inlineStr">
        <is>
          <t>陳福郎</t>
        </is>
      </c>
      <c r="C5" s="3">
        <f>COUNTIF(D6:F6,"&lt;&gt;")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張欽發</t>
        </is>
      </c>
      <c r="E6" s="7" t="inlineStr">
        <is>
          <t>吳桂梅</t>
        </is>
      </c>
      <c r="F6" s="7" t="inlineStr">
        <is>
          <t>蔡欣芸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總務課</t>
        </is>
      </c>
      <c r="B5" t="inlineStr">
        <is>
          <t>陳福郎</t>
        </is>
      </c>
      <c r="C5" s="3">
        <f>COUNTIF(D6:L6,"&lt;&gt;")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孫素琴</t>
        </is>
      </c>
      <c r="H6" s="7" t="inlineStr">
        <is>
          <t>王美婷</t>
        </is>
      </c>
      <c r="I6" s="7" t="inlineStr">
        <is>
          <t>陳燕華</t>
        </is>
      </c>
      <c r="J6" t="inlineStr">
        <is>
          <t>黃士咸</t>
        </is>
      </c>
      <c r="K6" t="inlineStr">
        <is>
          <t>尹詩婷</t>
        </is>
      </c>
      <c r="L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</row>
    <row r="9" ht="123" customHeight="1">
      <c r="A9" s="37" t="inlineStr">
        <is>
          <t>跨部門溝通協調能力20%</t>
        </is>
      </c>
      <c r="B9" s="39" t="inlineStr">
        <is>
          <t>跨部門協辦時，交代是否清楚？（15 分）</t>
        </is>
      </c>
      <c r="C9" s="40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41" t="n"/>
      <c r="E9" s="38" t="n"/>
      <c r="F9" s="38" t="n"/>
      <c r="G9" s="38" t="n"/>
      <c r="H9" s="38" t="n"/>
      <c r="I9" s="38" t="n"/>
      <c r="J9" s="38" t="n"/>
      <c r="K9" s="38" t="n"/>
      <c r="L9" s="38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14" t="n"/>
      <c r="E10" s="38" t="n"/>
      <c r="F10" s="38" t="n"/>
      <c r="G10" s="38" t="n"/>
      <c r="H10" s="38" t="n"/>
      <c r="I10" s="38" t="n"/>
      <c r="J10" s="38" t="n"/>
      <c r="K10" s="38" t="n"/>
      <c r="L10" s="38" t="n"/>
    </row>
    <row r="11" ht="52" customHeight="1">
      <c r="A11" s="42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14" t="n"/>
      <c r="E11" s="38" t="n"/>
      <c r="F11" s="38" t="n"/>
      <c r="G11" s="38" t="n"/>
      <c r="H11" s="38" t="n"/>
      <c r="I11" s="38" t="n"/>
      <c r="J11" s="38" t="n"/>
      <c r="K11" s="38" t="n"/>
      <c r="L11" s="38" t="n"/>
    </row>
    <row r="12" ht="52" customHeight="1">
      <c r="B12" s="40" t="inlineStr">
        <is>
          <t xml:space="preserve">跨部門回覆速度與協作度（15 分）
</t>
        </is>
      </c>
      <c r="C12" s="43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14" t="n"/>
      <c r="E12" s="38" t="n"/>
      <c r="F12" s="38" t="n"/>
      <c r="G12" s="38" t="n"/>
      <c r="H12" s="38" t="n"/>
      <c r="I12" s="38" t="n"/>
      <c r="J12" s="38" t="n"/>
      <c r="K12" s="38" t="n"/>
      <c r="L12" s="38" t="n"/>
    </row>
    <row r="13" ht="44.5" customHeight="1">
      <c r="A13" s="44" t="n"/>
      <c r="B13" s="45" t="inlineStr">
        <is>
          <t>*低於等於6分或高於13分，請說明原因：____________________</t>
        </is>
      </c>
      <c r="C13" s="44" t="n"/>
      <c r="D13" s="14" t="n"/>
      <c r="E13" s="38" t="n"/>
      <c r="F13" s="38" t="n"/>
      <c r="G13" s="38" t="n"/>
      <c r="H13" s="38" t="n"/>
      <c r="I13" s="38" t="n"/>
      <c r="J13" s="38" t="n"/>
      <c r="K13" s="38" t="n"/>
      <c r="L13" s="38" t="n"/>
    </row>
    <row r="14" ht="70" customHeight="1">
      <c r="A14" s="37" t="n"/>
      <c r="B14" s="46" t="inlineStr">
        <is>
          <t>遇到問題時，是否會先查制度流程？（15 分）</t>
        </is>
      </c>
      <c r="C14" s="47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14" t="n"/>
      <c r="E14" s="38" t="n"/>
      <c r="F14" s="38" t="n"/>
      <c r="G14" s="38" t="n"/>
      <c r="H14" s="38" t="n"/>
      <c r="I14" s="38" t="n"/>
      <c r="J14" s="38" t="n"/>
      <c r="K14" s="38" t="n"/>
      <c r="L14" s="38" t="n"/>
    </row>
    <row r="15" ht="62.5" customHeight="1">
      <c r="A15" s="48" t="inlineStr">
        <is>
          <t>跨部門工作態度
35%</t>
        </is>
      </c>
      <c r="B15" s="49" t="inlineStr">
        <is>
          <t>*低於等於6分或高於等於13分，請說明原因：_________________________</t>
        </is>
      </c>
      <c r="D15" s="14" t="n"/>
      <c r="E15" s="38" t="n"/>
      <c r="F15" s="38" t="n"/>
      <c r="G15" s="38" t="n"/>
      <c r="H15" s="38" t="n"/>
      <c r="I15" s="38" t="n"/>
      <c r="J15" s="38" t="n"/>
      <c r="K15" s="38" t="n"/>
      <c r="L15" s="38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14" t="n"/>
      <c r="E16" s="38" t="n"/>
      <c r="F16" s="38" t="n"/>
      <c r="G16" s="38" t="n"/>
      <c r="H16" s="38" t="n"/>
      <c r="I16" s="38" t="n"/>
      <c r="J16" s="38" t="n"/>
      <c r="K16" s="38" t="n"/>
      <c r="L16" s="38" t="n"/>
    </row>
    <row r="17" ht="55" customHeight="1">
      <c r="B17" s="28" t="inlineStr">
        <is>
          <t>*低於等於8分或高於等於16分，請說明原因： _________________________</t>
        </is>
      </c>
      <c r="D17" s="14" t="n"/>
      <c r="E17" s="38" t="n"/>
      <c r="F17" s="38" t="n"/>
      <c r="G17" s="38" t="n"/>
      <c r="H17" s="38" t="n"/>
      <c r="I17" s="38" t="n"/>
      <c r="J17" s="38" t="n"/>
      <c r="K17" s="38" t="n"/>
      <c r="L17" s="38" t="n"/>
    </row>
    <row r="18" ht="23.5" customHeight="1">
      <c r="C18" s="32" t="inlineStr">
        <is>
          <t>總分</t>
        </is>
      </c>
      <c r="D18" s="50">
        <f>SUM(D8:D17)</f>
        <v/>
      </c>
      <c r="E18" s="50">
        <f>SUM(E8:E17)</f>
        <v/>
      </c>
      <c r="F18" s="50">
        <f>SUM(F8:F17)</f>
        <v/>
      </c>
      <c r="G18" s="50">
        <f>SUM(G8:G17)</f>
        <v/>
      </c>
      <c r="H18" s="50">
        <f>SUM(H8:H17)</f>
        <v/>
      </c>
      <c r="I18" s="50">
        <f>SUM(I8:I17)</f>
        <v/>
      </c>
      <c r="J18" s="50">
        <f>SUM(J8:J17)</f>
        <v/>
      </c>
      <c r="K18" s="50">
        <f>SUM(K8:K17)</f>
        <v/>
      </c>
      <c r="L18" s="50">
        <f>SUM(L8:L17)</f>
        <v/>
      </c>
      <c r="AK18" s="51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  <c r="E19" s="7">
        <f>IF(OR(
  AND(E18&gt;=90, COUNTIF($D$18:$Z$18, "&gt;=90")/COUNTA($D$18:$Z$18)&gt;0.05),
  AND(E18&gt;=80,E18&lt;=89, (COUNTIF($D$18:$Z$18, "&gt;=80")-COUNTIF($D$18:$Z$18, "&gt;=90"))/COUNTA($D$18:$Z$18)&gt;0.2),
  AND(E18&gt;=70,E18&lt;=79, (COUNTIF($D$18:$Z$18, "&gt;=70")-COUNTIF($D$18:$Z$18, "&gt;=80"))/COUNTA($D$18:$Z$18)&gt;0.4),
  AND(E18&gt;=60,E18&lt;=69, (COUNTIF($D$18:$Z$18, "&gt;=60")-COUNTIF($D$18:$Z$18, "&gt;=70"))/COUNTA($D$18:$Z$18)&gt;0.3),
  AND(E18&lt;=59, COUNTIF($D$18:$Z$18, "&lt;=59")/COUNTA($D$18:$Z$18)&gt;0.05)
), "⚠ 超標！", "")</f>
        <v/>
      </c>
      <c r="F19" s="7">
        <f>IF(OR(
  AND(F18&gt;=90, COUNTIF($D$18:$Z$18, "&gt;=90")/COUNTA($D$18:$Z$18)&gt;0.05),
  AND(F18&gt;=80,F18&lt;=89, (COUNTIF($D$18:$Z$18, "&gt;=80")-COUNTIF($D$18:$Z$18, "&gt;=90"))/COUNTA($D$18:$Z$18)&gt;0.2),
  AND(F18&gt;=70,F18&lt;=79, (COUNTIF($D$18:$Z$18, "&gt;=70")-COUNTIF($D$18:$Z$18, "&gt;=80"))/COUNTA($D$18:$Z$18)&gt;0.4),
  AND(F18&gt;=60,F18&lt;=69, (COUNTIF($D$18:$Z$18, "&gt;=60")-COUNTIF($D$18:$Z$18, "&gt;=70"))/COUNTA($D$18:$Z$18)&gt;0.3),
  AND(F18&lt;=59, COUNTIF($D$18:$Z$18, "&lt;=59")/COUNTA($D$18:$Z$18)&gt;0.05)
), "⚠ 超標！", "")</f>
        <v/>
      </c>
      <c r="G19" s="7">
        <f>IF(OR(
  AND(G18&gt;=90, COUNTIF($D$18:$Z$18, "&gt;=90")/COUNTA($D$18:$Z$18)&gt;0.05),
  AND(G18&gt;=80,G18&lt;=89, (COUNTIF($D$18:$Z$18, "&gt;=80")-COUNTIF($D$18:$Z$18, "&gt;=90"))/COUNTA($D$18:$Z$18)&gt;0.2),
  AND(G18&gt;=70,G18&lt;=79, (COUNTIF($D$18:$Z$18, "&gt;=70")-COUNTIF($D$18:$Z$18, "&gt;=80"))/COUNTA($D$18:$Z$18)&gt;0.4),
  AND(G18&gt;=60,G18&lt;=69, (COUNTIF($D$18:$Z$18, "&gt;=60")-COUNTIF($D$18:$Z$18, "&gt;=70"))/COUNTA($D$18:$Z$18)&gt;0.3),
  AND(G18&lt;=59, COUNTIF($D$18:$Z$18, "&lt;=59")/COUNTA($D$18:$Z$18)&gt;0.05)
), "⚠ 超標！", "")</f>
        <v/>
      </c>
      <c r="H19" s="7">
        <f>IF(OR(
  AND(H18&gt;=90, COUNTIF($D$18:$Z$18, "&gt;=90")/COUNTA($D$18:$Z$18)&gt;0.05),
  AND(H18&gt;=80,H18&lt;=89, (COUNTIF($D$18:$Z$18, "&gt;=80")-COUNTIF($D$18:$Z$18, "&gt;=90"))/COUNTA($D$18:$Z$18)&gt;0.2),
  AND(H18&gt;=70,H18&lt;=79, (COUNTIF($D$18:$Z$18, "&gt;=70")-COUNTIF($D$18:$Z$18, "&gt;=80"))/COUNTA($D$18:$Z$18)&gt;0.4),
  AND(H18&gt;=60,H18&lt;=69, (COUNTIF($D$18:$Z$18, "&gt;=60")-COUNTIF($D$18:$Z$18, "&gt;=70"))/COUNTA($D$18:$Z$18)&gt;0.3),
  AND(H18&lt;=59, COUNTIF($D$18:$Z$18, "&lt;=59")/COUNTA($D$18:$Z$18)&gt;0.05)
), "⚠ 超標！", "")</f>
        <v/>
      </c>
      <c r="I19" s="7">
        <f>IF(OR(
  AND(I18&gt;=90, COUNTIF($D$18:$Z$18, "&gt;=90")/COUNTA($D$18:$Z$18)&gt;0.05),
  AND(I18&gt;=80,I18&lt;=89, (COUNTIF($D$18:$Z$18, "&gt;=80")-COUNTIF($D$18:$Z$18, "&gt;=90"))/COUNTA($D$18:$Z$18)&gt;0.2),
  AND(I18&gt;=70,I18&lt;=79, (COUNTIF($D$18:$Z$18, "&gt;=70")-COUNTIF($D$18:$Z$18, "&gt;=80"))/COUNTA($D$18:$Z$18)&gt;0.4),
  AND(I18&gt;=60,I18&lt;=69, (COUNTIF($D$18:$Z$18, "&gt;=60")-COUNTIF($D$18:$Z$18, "&gt;=70"))/COUNTA($D$18:$Z$18)&gt;0.3),
  AND(I18&lt;=59, COUNTIF($D$18:$Z$18, "&lt;=59")/COUNTA($D$18:$Z$18)&gt;0.05)
), "⚠ 超標！", "")</f>
        <v/>
      </c>
      <c r="J19" s="7">
        <f>IF(OR(
  AND(J18&gt;=90, COUNTIF($D$18:$Z$18, "&gt;=90")/COUNTA($D$18:$Z$18)&gt;0.05),
  AND(J18&gt;=80,J18&lt;=89, (COUNTIF($D$18:$Z$18, "&gt;=80")-COUNTIF($D$18:$Z$18, "&gt;=90"))/COUNTA($D$18:$Z$18)&gt;0.2),
  AND(J18&gt;=70,J18&lt;=79, (COUNTIF($D$18:$Z$18, "&gt;=70")-COUNTIF($D$18:$Z$18, "&gt;=80"))/COUNTA($D$18:$Z$18)&gt;0.4),
  AND(J18&gt;=60,J18&lt;=69, (COUNTIF($D$18:$Z$18, "&gt;=60")-COUNTIF($D$18:$Z$18, "&gt;=70"))/COUNTA($D$18:$Z$18)&gt;0.3),
  AND(J18&lt;=59, COUNTIF($D$18:$Z$18, "&lt;=59")/COUNTA($D$18:$Z$18)&gt;0.05)
), "⚠ 超標！", "")</f>
        <v/>
      </c>
      <c r="K19" s="7">
        <f>IF(OR(
  AND(K18&gt;=90, COUNTIF($D$18:$Z$18, "&gt;=90")/COUNTA($D$18:$Z$18)&gt;0.05),
  AND(K18&gt;=80,K18&lt;=89, (COUNTIF($D$18:$Z$18, "&gt;=80")-COUNTIF($D$18:$Z$18, "&gt;=90"))/COUNTA($D$18:$Z$18)&gt;0.2),
  AND(K18&gt;=70,K18&lt;=79, (COUNTIF($D$18:$Z$18, "&gt;=70")-COUNTIF($D$18:$Z$18, "&gt;=80"))/COUNTA($D$18:$Z$18)&gt;0.4),
  AND(K18&gt;=60,K18&lt;=69, (COUNTIF($D$18:$Z$18, "&gt;=60")-COUNTIF($D$18:$Z$18, "&gt;=70"))/COUNTA($D$18:$Z$18)&gt;0.3),
  AND(K18&lt;=59, COUNTIF($D$18:$Z$18, "&lt;=59")/COUNTA($D$18:$Z$18)&gt;0.05)
), "⚠ 超標！", "")</f>
        <v/>
      </c>
      <c r="L19" s="7">
        <f>IF(OR(
  AND(L18&gt;=90, COUNTIF($D$18:$Z$18, "&gt;=90")/COUNTA($D$18:$Z$18)&gt;0.05),
  AND(L18&gt;=80,L18&lt;=89, (COUNTIF($D$18:$Z$18, "&gt;=80")-COUNTIF($D$18:$Z$18, "&gt;=90"))/COUNTA($D$18:$Z$18)&gt;0.2),
  AND(L18&gt;=70,L18&lt;=79, (COUNTIF($D$18:$Z$18, "&gt;=70")-COUNTIF($D$18:$Z$18, "&gt;=80"))/COUNTA($D$18:$Z$18)&gt;0.4),
  AND(L18&gt;=60,L18&lt;=69, (COUNTIF($D$18:$Z$18, "&gt;=60")-COUNTIF($D$18:$Z$18, "&gt;=70"))/COUNTA($D$18:$Z$18)&gt;0.3),
  AND(L18&lt;=59, COUNTIF($D$18:$Z$18, "&lt;=59")/COUNTA($D$18:$Z$18)&gt;0.05)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2026-06-05T07:49:49Z</dcterms:created>
  <dcterms:modified xsi:type="dcterms:W3CDTF">2026-06-05T07:49:49Z</dcterms:modified>
</cp:coreProperties>
</file>