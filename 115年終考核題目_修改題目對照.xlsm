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ancy\3.績效考核-Nancy\115上半年績效考核\"/>
    </mc:Choice>
  </mc:AlternateContent>
  <bookViews>
    <workbookView xWindow="0" yWindow="0" windowWidth="14380" windowHeight="4040" tabRatio="769" firstSheet="5" activeTab="12"/>
  </bookViews>
  <sheets>
    <sheet name="行政部內共評" sheetId="1" r:id="rId1"/>
    <sheet name="跨部門共評" sheetId="2" r:id="rId2"/>
    <sheet name="主管複評行政" sheetId="3" r:id="rId3"/>
    <sheet name="副理 經理共評" sheetId="4" r:id="rId4"/>
    <sheet name="組長初評班長" sheetId="5" r:id="rId5"/>
    <sheet name="班長共評" sheetId="6" r:id="rId6"/>
    <sheet name="課級初評組長" sheetId="7" r:id="rId7"/>
    <sheet name="組長共評" sheetId="9" r:id="rId8"/>
    <sheet name="課級複評班長" sheetId="8" r:id="rId9"/>
    <sheet name="課級共評" sheetId="10" r:id="rId10"/>
    <sheet name="部級初評課級" sheetId="11" r:id="rId11"/>
    <sheet name="總經理複評課級" sheetId="12" r:id="rId12"/>
    <sheet name="現場組長初評&amp;主管複評" sheetId="13" r:id="rId13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G22" i="1"/>
  <c r="E22" i="1"/>
  <c r="F22" i="1"/>
  <c r="D23" i="1"/>
  <c r="E23" i="1"/>
  <c r="G23" i="1"/>
  <c r="F23" i="1"/>
  <c r="D21" i="13"/>
  <c r="D22" i="13"/>
  <c r="C5" i="13"/>
  <c r="D21" i="12"/>
  <c r="D22" i="12"/>
  <c r="C5" i="12"/>
  <c r="D21" i="11"/>
  <c r="D22" i="11"/>
  <c r="C5" i="11"/>
  <c r="D21" i="10"/>
  <c r="D22" i="10"/>
  <c r="C5" i="10"/>
  <c r="D19" i="9"/>
  <c r="D20" i="9"/>
  <c r="C5" i="9"/>
  <c r="D18" i="8"/>
  <c r="D19" i="8"/>
  <c r="C5" i="8"/>
  <c r="D19" i="7"/>
  <c r="D20" i="7"/>
  <c r="C5" i="7"/>
  <c r="D18" i="6"/>
  <c r="D19" i="6"/>
  <c r="C5" i="6"/>
  <c r="D18" i="5"/>
  <c r="D19" i="5"/>
  <c r="C5" i="5"/>
  <c r="D20" i="3"/>
  <c r="D21" i="3"/>
  <c r="C5" i="3"/>
  <c r="D18" i="2"/>
  <c r="D19" i="2"/>
  <c r="C5" i="2"/>
  <c r="D22" i="4"/>
  <c r="D23" i="4"/>
  <c r="C5" i="4"/>
  <c r="C5" i="1"/>
</calcChain>
</file>

<file path=xl/sharedStrings.xml><?xml version="1.0" encoding="utf-8"?>
<sst xmlns="http://schemas.openxmlformats.org/spreadsheetml/2006/main" count="431" uniqueCount="184">
  <si>
    <t>部門/單位</t>
    <phoneticPr fontId="1" type="noConversion"/>
  </si>
  <si>
    <t>評分者</t>
    <phoneticPr fontId="1" type="noConversion"/>
  </si>
  <si>
    <t>受評人數</t>
    <phoneticPr fontId="1" type="noConversion"/>
  </si>
  <si>
    <t>受評者姓名</t>
    <phoneticPr fontId="1" type="noConversion"/>
  </si>
  <si>
    <t>占比</t>
    <phoneticPr fontId="1" type="noConversion"/>
  </si>
  <si>
    <t>題目</t>
    <phoneticPr fontId="1" type="noConversion"/>
  </si>
  <si>
    <t>評分方式</t>
    <phoneticPr fontId="1" type="noConversion"/>
  </si>
  <si>
    <t>樂聯工業股份有限公司</t>
    <phoneticPr fontId="1" type="noConversion"/>
  </si>
  <si>
    <t xml:space="preserve">對受評者在該單位的專業知識給分 </t>
    <phoneticPr fontId="1" type="noConversion"/>
  </si>
  <si>
    <t>團隊溝通協調能力20%</t>
    <phoneticPr fontId="1" type="noConversion"/>
  </si>
  <si>
    <t>受評者的溝通協調與配合度</t>
    <phoneticPr fontId="1" type="noConversion"/>
  </si>
  <si>
    <t>工作表現30%</t>
    <phoneticPr fontId="1" type="noConversion"/>
  </si>
  <si>
    <t>10分100%
9分  90%
8分  80%
7分  70%
6分  60%
5分  50%
4分  40%
3分  30%
2分  20%
1分  10%</t>
    <phoneticPr fontId="1" type="noConversion"/>
  </si>
  <si>
    <t xml:space="preserve">✓準時上下班工作均能完成 (9-10)
✓偶爾加班也能完成工作 (7-8)
✓經常加班來完成工作 (5-6)
✓準時上下班但工作延遲完成 (3-4)
✓雖偶爾加班但工作延遲完成 (1-2)
✓雖經常加班但工作還是延遲完成 (0)
</t>
    <phoneticPr fontId="1" type="noConversion"/>
  </si>
  <si>
    <t>我很願意跟受評者一起工作(15~20)
我還算願意跟受評者一起工作(8~14)
我盡可能不跟受評者一起工作(2~7)
我不願意跟受評者一起工作(0-1)</t>
    <phoneticPr fontId="1" type="noConversion"/>
  </si>
  <si>
    <t>總分</t>
    <phoneticPr fontId="1" type="noConversion"/>
  </si>
  <si>
    <t>2025年度 年終 績效考核部內共同評分表(非主管職)</t>
    <phoneticPr fontId="1" type="noConversion"/>
  </si>
  <si>
    <r>
      <t xml:space="preserve">✓非常願意溝通協調且配合度極高 </t>
    </r>
    <r>
      <rPr>
        <b/>
        <sz val="8"/>
        <rFont val="微軟正黑體"/>
        <family val="2"/>
        <charset val="136"/>
      </rPr>
      <t>(16-20)</t>
    </r>
    <r>
      <rPr>
        <sz val="8"/>
        <rFont val="微軟正黑體"/>
        <family val="2"/>
        <charset val="136"/>
      </rPr>
      <t xml:space="preserve">
✓願意溝通協調且配合度高</t>
    </r>
    <r>
      <rPr>
        <b/>
        <sz val="8"/>
        <rFont val="微軟正黑體"/>
        <family val="2"/>
        <charset val="136"/>
      </rPr>
      <t xml:space="preserve"> (12-15)</t>
    </r>
    <r>
      <rPr>
        <sz val="8"/>
        <rFont val="微軟正黑體"/>
        <family val="2"/>
        <charset val="136"/>
      </rPr>
      <t xml:space="preserve">
✓願意溝通協程度尚可且配合度尚可</t>
    </r>
    <r>
      <rPr>
        <b/>
        <sz val="8"/>
        <rFont val="微軟正黑體"/>
        <family val="2"/>
        <charset val="136"/>
      </rPr>
      <t>(8-11)</t>
    </r>
    <r>
      <rPr>
        <sz val="8"/>
        <rFont val="微軟正黑體"/>
        <family val="2"/>
        <charset val="136"/>
      </rPr>
      <t xml:space="preserve">
✓經常不願意溝通協調且配合度低</t>
    </r>
    <r>
      <rPr>
        <b/>
        <sz val="8"/>
        <rFont val="微軟正黑體"/>
        <family val="2"/>
        <charset val="136"/>
      </rPr>
      <t xml:space="preserve"> (4-7)</t>
    </r>
    <r>
      <rPr>
        <sz val="8"/>
        <rFont val="微軟正黑體"/>
        <family val="2"/>
        <charset val="136"/>
      </rPr>
      <t xml:space="preserve">
✓非常不願意溝通協調且配合度極低 </t>
    </r>
    <r>
      <rPr>
        <b/>
        <sz val="8"/>
        <rFont val="微軟正黑體"/>
        <family val="2"/>
        <charset val="136"/>
      </rPr>
      <t>(0-3)</t>
    </r>
    <phoneticPr fontId="1" type="noConversion"/>
  </si>
  <si>
    <t>2025年度 年終 績效考核跨部門共同評分表(非主管職)</t>
    <phoneticPr fontId="1" type="noConversion"/>
  </si>
  <si>
    <t>工作知識20%</t>
    <phoneticPr fontId="1" type="noConversion"/>
  </si>
  <si>
    <t>工作知識20%</t>
    <phoneticPr fontId="1" type="noConversion"/>
  </si>
  <si>
    <t>工作知識20%</t>
    <phoneticPr fontId="1" type="noConversion"/>
  </si>
  <si>
    <t>工作態度
30%</t>
    <phoneticPr fontId="1" type="noConversion"/>
  </si>
  <si>
    <t>根據考核固定成績</t>
    <phoneticPr fontId="1" type="noConversion"/>
  </si>
  <si>
    <t>公司辦法考核</t>
    <phoneticPr fontId="1" type="noConversion"/>
  </si>
  <si>
    <t>跨部門溝通協調能力20%</t>
    <phoneticPr fontId="1" type="noConversion"/>
  </si>
  <si>
    <t xml:space="preserve">✓遇到問題會先查 SOP、流程、辦法，再提出問題；提問前已掌握背景資訊；80% 以上問題能自行依制度解決 (13-15)
✓大部分情況會查制度；偶爾先問人，但提問內容完整。 (10-12)
✓多半直接詢問，僅在提醒下才會查制度。 (7-9)
✓幾乎不查制度；經常造成他人反覆解釋相同內容。 (4-6)
✓完全不查制度；反覆詢問相同問題；造成跨部門延誤或錯誤。 (0-3)
</t>
    <phoneticPr fontId="1" type="noConversion"/>
  </si>
  <si>
    <t>跨部門協辦時，交代是否清楚？（15 分）</t>
    <phoneticPr fontId="1" type="noConversion"/>
  </si>
  <si>
    <r>
      <t xml:space="preserve">✓任務交代內容完整（目的、時程、資料、條件）；對方能一次理解；無需再次確認；無誤會或重工。 </t>
    </r>
    <r>
      <rPr>
        <b/>
        <sz val="8"/>
        <rFont val="微軟正黑體"/>
        <family val="2"/>
        <charset val="136"/>
      </rPr>
      <t>(13-15)</t>
    </r>
    <r>
      <rPr>
        <sz val="8"/>
        <rFont val="微軟正黑體"/>
        <family val="2"/>
        <charset val="136"/>
      </rPr>
      <t xml:space="preserve">
✓大部分交代清楚；偶有細節不足但不影響進度。</t>
    </r>
    <r>
      <rPr>
        <b/>
        <sz val="8"/>
        <rFont val="微軟正黑體"/>
        <family val="2"/>
        <charset val="136"/>
      </rPr>
      <t xml:space="preserve"> (10-12)</t>
    </r>
    <r>
      <rPr>
        <sz val="8"/>
        <rFont val="微軟正黑體"/>
        <family val="2"/>
        <charset val="136"/>
      </rPr>
      <t xml:space="preserve">
✓資訊常有缺漏；對方需再次詢問後才能理解。</t>
    </r>
    <r>
      <rPr>
        <b/>
        <sz val="8"/>
        <rFont val="微軟正黑體"/>
        <family val="2"/>
        <charset val="136"/>
      </rPr>
      <t>(7-9)</t>
    </r>
    <r>
      <rPr>
        <sz val="8"/>
        <rFont val="微軟正黑體"/>
        <family val="2"/>
        <charset val="136"/>
      </rPr>
      <t xml:space="preserve">
✓說明模糊；資料不足；具有高度誤解風險。</t>
    </r>
    <r>
      <rPr>
        <b/>
        <sz val="8"/>
        <rFont val="微軟正黑體"/>
        <family val="2"/>
        <charset val="136"/>
      </rPr>
      <t xml:space="preserve"> (4-6)</t>
    </r>
    <r>
      <rPr>
        <sz val="8"/>
        <rFont val="微軟正黑體"/>
        <family val="2"/>
        <charset val="136"/>
      </rPr>
      <t xml:space="preserve">
✓未交代清楚或資訊錯誤；造成流程延誤、返工或責任互推。 </t>
    </r>
    <r>
      <rPr>
        <b/>
        <sz val="8"/>
        <rFont val="微軟正黑體"/>
        <family val="2"/>
        <charset val="136"/>
      </rPr>
      <t>(0-3)</t>
    </r>
    <phoneticPr fontId="1" type="noConversion"/>
  </si>
  <si>
    <t>✓所有跨部門需求皆走正確窗口；不直接跳主管下指令；不跨部門亂交辦；資訊一致且透明。 (13-15)
✓大部分遵守窗口；偶有直接聯繫但不造成誤會。 (10-12)
✓偶爾忽略窗口或跨職掌；造成他人需再次確認。(7-9)
✓常態越權、跳流程；造成資訊混亂與作業延誤。 (4-6)
✓反覆越權、直接指揮他人或跳主管；造成部門衝突或重大錯誤。 (0-3)</t>
    <phoneticPr fontId="1" type="noConversion"/>
  </si>
  <si>
    <t>✓回覆迅速（一般案件 30–60 分鐘內）；主動更新進度；積極協作、不推託。 (13-15)
✓回覆通常在當天，偶有延遲但會說明。 (10-12)
✓回覆速度偏慢；常需追催。(7-9)
✓經常延遲且無說明；造成跨部門作業卡住。 (4-6)
✓長期不回覆或拒絕協作；造成重大流程中斷。 (0-3)</t>
    <phoneticPr fontId="1" type="noConversion"/>
  </si>
  <si>
    <t>跨部門工作態度
35%</t>
    <phoneticPr fontId="1" type="noConversion"/>
  </si>
  <si>
    <t>跨部門工作表現30%</t>
    <phoneticPr fontId="1" type="noConversion"/>
  </si>
  <si>
    <t>0-10</t>
    <phoneticPr fontId="1" type="noConversion"/>
  </si>
  <si>
    <t>工作態度30%</t>
    <phoneticPr fontId="1" type="noConversion"/>
  </si>
  <si>
    <t xml:space="preserve">✓經常主動指導(領導)部屬 (16-20)
✓需經部屬提出並樂意指導(領導) (11-15)
✓部屬不提出則無指導(領導) (6-10)
✓部屬提出仍不指導(領導) (0~5)
</t>
    <phoneticPr fontId="1" type="noConversion"/>
  </si>
  <si>
    <t>2025年度 年終 績效考核主管複評分表(非主管職)</t>
    <phoneticPr fontId="1" type="noConversion"/>
  </si>
  <si>
    <t>2025年度 年終 績效考核經理/高專共同評分表(主管職)</t>
    <phoneticPr fontId="1" type="noConversion"/>
  </si>
  <si>
    <t xml:space="preserve">✓積極配合排班與加班，並能準時高品質完成工作 (18-20)
✓配合加班完成工作，偶有延遲但能解釋清楚且態度積極(14-17)
✓須經常加班完成工作，但完成度尚可(10-13)
✓工作常延遲完成，即便有加班，需他人提醒(7-9)
✓加班時間長，但工作成效差或效率低落(4-6)
✓工作經常延誤交付、配合度低、態度消極(0-3)
</t>
    <phoneticPr fontId="1" type="noConversion"/>
  </si>
  <si>
    <t>受評者在本次受評區間，對於協辦的工作，『完成度』達</t>
    <phoneticPr fontId="1" type="noConversion"/>
  </si>
  <si>
    <t>10分100%
9分  90%
8分  80%
7分  70%
6分  60%
5分  50%
4分  40%
3分  30%
2分  20%
1分  10%</t>
    <phoneticPr fontId="1" type="noConversion"/>
  </si>
  <si>
    <t>工作態度
30%</t>
    <phoneticPr fontId="1" type="noConversion"/>
  </si>
  <si>
    <t>領導統御
30%</t>
    <phoneticPr fontId="1" type="noConversion"/>
  </si>
  <si>
    <t>2025年度 年終 績效考組長初評班長評分表(主管職)</t>
    <phoneticPr fontId="1" type="noConversion"/>
  </si>
  <si>
    <t>2025年度 年終 績效考核班長共同評分表(主管職)</t>
    <phoneticPr fontId="1" type="noConversion"/>
  </si>
  <si>
    <t>2025年度 年終 績效考核課級初評組長評分表(主管職)</t>
    <phoneticPr fontId="1" type="noConversion"/>
  </si>
  <si>
    <t>✓對於主管交辦的任務均能完成 (15)
✓對於主管交辦的任務均能完成90%以上 (13-14)
✓對於主管交辦的任務均能完成80%以上 (10-12)
✓對於主管交辦的任務均能完成70%以上 (7-9)
✓對於主管交辦的任務均能完成60%以上 (4-6)
✓對於主管交辦的任務僅達成59%以下 (2-3)
✓對於主管交辦的任務常說”我不會、我不要、不是我”(0~1)</t>
    <phoneticPr fontId="1" type="noConversion"/>
  </si>
  <si>
    <t>✓準時上下班工作均能完成 (14-15)
✓偶爾加班也能完成工作 (11-13)
✓經常加班來完成工作 (8-10)
✓準時上下班但工作延遲完成 (5-7)
✓雖偶爾加班但工作延遲完成 (2-4)
✓雖經常加班但工作還是延遲完成 (0-1)</t>
    <phoneticPr fontId="1" type="noConversion"/>
  </si>
  <si>
    <t>2025年度 年終 績效考課級複評班長評分表(主管職)</t>
    <phoneticPr fontId="1" type="noConversion"/>
  </si>
  <si>
    <t>2025年度 年終 績效考核組長共同評分表(主管職)</t>
    <phoneticPr fontId="1" type="noConversion"/>
  </si>
  <si>
    <t>2025年度 年終 績效考核課級共同評分表(主管職)</t>
    <phoneticPr fontId="1" type="noConversion"/>
  </si>
  <si>
    <t>✓對於主管交辦的任務均能完成 (15)
✓對於主管交辦的任務均能完成90%以上 (13-14)
✓對於主管交辦的任務均能完成80%以上 (10-12)
✓對於主管交辦的任務均能完成70%以上 (7-9)
✓對於主管交辦的任務均能完成60%以上 (4-6)
✓對於主管交辦的任務僅達成59%以下 (2-3)
✓對於主管交辦的任務常說”我不會、我不要、不是我”(0~1)</t>
    <phoneticPr fontId="1" type="noConversion"/>
  </si>
  <si>
    <t>工作態度
15%</t>
    <phoneticPr fontId="1" type="noConversion"/>
  </si>
  <si>
    <t>工作態度20%</t>
    <phoneticPr fontId="1" type="noConversion"/>
  </si>
  <si>
    <t>2025年度 年終 績效考核部級初評課級評分表(主管職)</t>
    <phoneticPr fontId="1" type="noConversion"/>
  </si>
  <si>
    <t>2025年度 年終 績效考核總經理複評課級評分表(主管職)</t>
    <phoneticPr fontId="1" type="noConversion"/>
  </si>
  <si>
    <t>工作知識30%</t>
    <phoneticPr fontId="1" type="noConversion"/>
  </si>
  <si>
    <t>工作表現40%</t>
    <phoneticPr fontId="1" type="noConversion"/>
  </si>
  <si>
    <t>工作態度30%</t>
    <phoneticPr fontId="1" type="noConversion"/>
  </si>
  <si>
    <t xml:space="preserve">✓積極配合排班與加班，並能準時高品質完成工作 (10)
✓配合加班完成工作，偶有延遲但能解釋清楚且態度積極(8-9)
✓須經常加班完成工作，但完成度尚可(6-7)
✓工作常延遲完成，即便有加班，需他人提醒(4-5)
✓加班時間長，但工作成效差或效率低落(2-3)
✓工作經常延誤交付、配合度低、態度消極(0-1)
</t>
    <phoneticPr fontId="1" type="noConversion"/>
  </si>
  <si>
    <t>✓主動完成分內工作並協助同仁完成共同任務 (10)
✓始終保持高度積極性，主動尋找改進方法 (9)
✓任勞任怨，竭盡所能完成任務 (6-7)
✓工作努力，份內工作完善 (4-5)
✓對所交付工作不積極，需主管常督促 (2-3)
✓工作常敷衍了事，做事粗心大意 (1)
✓缺乏熱情，無責任感，需不斷督促 (0)</t>
    <phoneticPr fontId="1" type="noConversion"/>
  </si>
  <si>
    <t>✓我很願意跟受評者一起工作(8-10)
✓我還算願意跟受評者一起工作(5-7)
✓我盡可能不跟受評者一起工作(2-4)
✓我不願意跟受評者一起工作(0-1)</t>
    <phoneticPr fontId="1" type="noConversion"/>
  </si>
  <si>
    <t>✓工作品質穩定準確無誤且高度可靠，能自我修正改善 (17-20)
✓工作品質持續保持高水準且幾乎無需他人協助或修正 (13-16)
✓工作品質普通偶爾出錯，需告知修正改善 (8-12)
✓工作品質品質不穩錯誤頻繁，願意修正改善，需持續督導 (5-7)
✓工作品質粗糙低落不穩定，影響進度並需主管協助修正改善 (2-4)
✓工作品質極差，無法達到基本要求，缺乏改善能力與責任感 (0-1)</t>
    <phoneticPr fontId="1" type="noConversion"/>
  </si>
  <si>
    <t>✓我很願意跟受評者一起工作(8~10)
✓我還算願意跟受評者一起工作(5~7)
✓我盡可能不跟受評者一起工作(2~4)
✓我不願意跟受評者一起工作(0-1)</t>
    <phoneticPr fontId="1" type="noConversion"/>
  </si>
  <si>
    <t>✓我很願意跟受評者一起工作(8~10)
✓我還算願意跟受評者一起工作(5~7)
✓我盡可能不跟受評者一起工作(2~4)
✓我不願意跟受評者一起工作(0-1)</t>
    <phoneticPr fontId="1" type="noConversion"/>
  </si>
  <si>
    <t>✓我很願意跟受評者一起工作(8~10)
✓我還算願意跟受評者一起工作(5~7)
✓我盡可能不跟受評者一起工作(2~4)
✓我不願意跟受評者一起工作(0-1)</t>
    <phoneticPr fontId="1" type="noConversion"/>
  </si>
  <si>
    <t>✓我很願意跟受評者一起工作(8~10)
✓我還算願意跟受評者一起工作(5~7)
✓我盡可能不跟受評者一起工作(2~4)
✓我不願意跟受評者一起工作(0-1)</t>
    <phoneticPr fontId="1" type="noConversion"/>
  </si>
  <si>
    <t>✓我很願意跟受評者一起工作(8~10)
✓我還算願意跟受評者一起工作(5~7)
✓我盡可能不跟受評者一起工作(2~4)
✓我不願意跟受評者一起工作(0-1)</t>
    <phoneticPr fontId="1" type="noConversion"/>
  </si>
  <si>
    <t>專業技能的熟悉程度與對在職訓練（如外訓、參訪）之投入積極度</t>
    <phoneticPr fontId="1" type="noConversion"/>
  </si>
  <si>
    <t xml:space="preserve">
0~10分</t>
    <phoneticPr fontId="1" type="noConversion"/>
  </si>
  <si>
    <t xml:space="preserve">✓經常主動指導(領導)部屬 (10)
✓需經部屬提出並樂意指導(領導) (5-9)
✓部屬不提出則無指導(領導) (1-4)
✓部屬提出仍不指導(領導) (0)
</t>
    <phoneticPr fontId="1" type="noConversion"/>
  </si>
  <si>
    <t>製程技術與操作技能熟悉度（10 分）</t>
    <phoneticPr fontId="1" type="noConversion"/>
  </si>
  <si>
    <t>產品知識與設備保養管理（10 分）</t>
    <phoneticPr fontId="1" type="noConversion"/>
  </si>
  <si>
    <r>
      <t xml:space="preserve">✓非常願意溝通協調且配合度極高 </t>
    </r>
    <r>
      <rPr>
        <b/>
        <sz val="8"/>
        <rFont val="微軟正黑體"/>
        <family val="2"/>
        <charset val="136"/>
      </rPr>
      <t>(16-20)</t>
    </r>
    <r>
      <rPr>
        <sz val="8"/>
        <rFont val="微軟正黑體"/>
        <family val="2"/>
        <charset val="136"/>
      </rPr>
      <t xml:space="preserve">
✓願意溝通協調且配合度高</t>
    </r>
    <r>
      <rPr>
        <b/>
        <sz val="8"/>
        <rFont val="微軟正黑體"/>
        <family val="2"/>
        <charset val="136"/>
      </rPr>
      <t xml:space="preserve"> (12-15)</t>
    </r>
    <r>
      <rPr>
        <sz val="8"/>
        <rFont val="微軟正黑體"/>
        <family val="2"/>
        <charset val="136"/>
      </rPr>
      <t xml:space="preserve">
✓願意溝通協程度尚可且配合度尚可</t>
    </r>
    <r>
      <rPr>
        <b/>
        <sz val="8"/>
        <rFont val="微軟正黑體"/>
        <family val="2"/>
        <charset val="136"/>
      </rPr>
      <t>(8-11)</t>
    </r>
    <r>
      <rPr>
        <sz val="8"/>
        <rFont val="微軟正黑體"/>
        <family val="2"/>
        <charset val="136"/>
      </rPr>
      <t xml:space="preserve">
✓經常不願意溝通協調且配合度低</t>
    </r>
    <r>
      <rPr>
        <b/>
        <sz val="8"/>
        <rFont val="微軟正黑體"/>
        <family val="2"/>
        <charset val="136"/>
      </rPr>
      <t xml:space="preserve"> (4-7)</t>
    </r>
    <r>
      <rPr>
        <sz val="8"/>
        <rFont val="微軟正黑體"/>
        <family val="2"/>
        <charset val="136"/>
      </rPr>
      <t xml:space="preserve">
✓非常不願意溝通協調且配合度極低 </t>
    </r>
    <r>
      <rPr>
        <b/>
        <sz val="8"/>
        <rFont val="微軟正黑體"/>
        <family val="2"/>
        <charset val="136"/>
      </rPr>
      <t>(0-3)</t>
    </r>
    <phoneticPr fontId="1" type="noConversion"/>
  </si>
  <si>
    <t xml:space="preserve">✓熟悉完整製程，能獨立操作並教導新人；能判斷常見異常並立即處理。 (9-10) 
✓熟悉大部分製程；偶須協助但可自主完成作業。 (7-8) 
✓對製程理解普通；不易判斷異常；需提醒才能正確操作。(5-6)  
✓技術掌握度不足；經常操作錯誤；需大量指導。(3-4)  
✓不熟悉製程；錯誤率高；無法獨立作業或教導他人。(0-2) </t>
    <phoneticPr fontId="1" type="noConversion"/>
  </si>
  <si>
    <t xml:space="preserve">✓熟知產品規格、品質要求、主要不良模式；保養確實、設備狀況佳。 (9-10) 
✓了解基本產品要求；保養紀錄完整；偶需提醒。 (7-8) 
✓產品知識不足；偶常漏做保養；需指導才能完成。(5-6)  
✓無法判別不良；保養不確實；設備異常頻繁。(3-4)  
✓不不懂產品、不做保養；設備狀況差，影響產線運作。(0-2) </t>
    <phoneticPr fontId="1" type="noConversion"/>
  </si>
  <si>
    <t>領導統御
30%</t>
    <phoneticPr fontId="1" type="noConversion"/>
  </si>
  <si>
    <t>請就同仁的專業技能熟悉程度、依據標準作業執行產品生產的能力，以及確保產品完整性的品質意識進行綜合評量（總分 30 分）：______</t>
    <phoneticPr fontId="1" type="noConversion"/>
  </si>
  <si>
    <t>0~30</t>
    <phoneticPr fontId="1" type="noConversion"/>
  </si>
  <si>
    <t>✓經常主動指導(領導)部屬 (13-15)
✓需經部屬提出並樂意指導(領導) (9-12)
✓部屬不提出則無指導(領導) (5-8)
✓部屬提出仍不指導(領導) (0~4)</t>
    <phoneticPr fontId="1" type="noConversion"/>
  </si>
  <si>
    <t>領導統御25%</t>
    <phoneticPr fontId="1" type="noConversion"/>
  </si>
  <si>
    <t>0-20</t>
    <phoneticPr fontId="1" type="noConversion"/>
  </si>
  <si>
    <t xml:space="preserve">✓準時上下班工作均能完成 (17-20)
✓偶爾加班也能完成工作 (13-16)
✓經常加班來完成工作 (8-12)
✓準時上下班但工作延遲完成 (4-7)
✓雖偶爾加班但工作延遲完成 (1-3)
✓雖經常加班但工作還是延遲完成 (0)
</t>
    <phoneticPr fontId="1" type="noConversion"/>
  </si>
  <si>
    <t>✓完整落實ISO9001與內稽內控機制，文件、流程、紀錄皆符合規範，並主動優化制度或提出改善措施(10)
✓大致落實制度要求，稽核資料齊全，偶有小缺失但能即時改善(8-9)
✓基本符合規範，但執行不夠確實（如文件不完整、紀錄延遲），需督導改善(6-7)
✓執行落差明顯，內稽或制度要求常未落實，需外部提醒或稽核指正(4-5)
✓未依ISO或內控制度執行，缺乏基本管理意識(1-3)
✓無執行相關制度或嚴重違反規範(0)</t>
    <phoneticPr fontId="1" type="noConversion"/>
  </si>
  <si>
    <t>*低於等於4分或高於等於9分，請說明原因：____________________</t>
  </si>
  <si>
    <t>*低於等於4分或高於等於9分，請說明原因：____________________</t>
    <phoneticPr fontId="1" type="noConversion"/>
  </si>
  <si>
    <t>*低於等於4分或高於等於9分，請說明原因：____________________</t>
    <phoneticPr fontId="1" type="noConversion"/>
  </si>
  <si>
    <t>*低於等於2分或高於等於9分，請說明原因： _________________________</t>
    <phoneticPr fontId="1" type="noConversion"/>
  </si>
  <si>
    <t>*低於等於3分或最高分，請敘述狀況：_________________________</t>
  </si>
  <si>
    <t>是否願意和受評者一起工作?</t>
    <phoneticPr fontId="1" type="noConversion"/>
  </si>
  <si>
    <t>*低於等於6分或高於13分，請說明原因：____________________</t>
  </si>
  <si>
    <t>是否透過正確窗口、不越權、不跳層級？（15 分）</t>
    <phoneticPr fontId="1" type="noConversion"/>
  </si>
  <si>
    <t xml:space="preserve">跨部門回覆速度與協作度（15 分）
</t>
    <phoneticPr fontId="1" type="noConversion"/>
  </si>
  <si>
    <t>*低於等於6分或高於等於13分，請說明原因：_________________________</t>
  </si>
  <si>
    <t>遇到問題時，是否會先查制度流程？（15 分）</t>
    <phoneticPr fontId="1" type="noConversion"/>
  </si>
  <si>
    <t>資料正確性與完整性（20 分）</t>
    <phoneticPr fontId="1" type="noConversion"/>
  </si>
  <si>
    <t>*低於等於4分或高於等於9分，請說明原因：____________________</t>
    <phoneticPr fontId="1" type="noConversion"/>
  </si>
  <si>
    <t>【行政】工作項目是否能在工時內完成?</t>
    <phoneticPr fontId="1" type="noConversion"/>
  </si>
  <si>
    <t>✓資料一次到位、完整正確；無需補件；不造成延誤；正確率 95% 以上。(16-20)
✓偶有小錯但能立即補齊；不影響流程；正確率 85–94% (13-15)
✓常需補件；資料不完整；造成跨部門需再次確認；正確率 70–84%。 (9-12)
✓經常資料錯誤或缺漏；需主管介入；正確率 50–69%。 (4-8)
✓錯誤頻繁；資料重大缺漏；造成流程中斷或退件；正確率 &lt;50%。 (0-3)</t>
    <phoneticPr fontId="1" type="noConversion"/>
  </si>
  <si>
    <t>*低於等於8分或高於等於16分，請說明原因： _________________________</t>
    <phoneticPr fontId="1" type="noConversion"/>
  </si>
  <si>
    <t>*低於等於6分或高於13分，請說明原因：____________________</t>
    <phoneticPr fontId="1" type="noConversion"/>
  </si>
  <si>
    <t>*低於等於2分或高於等於16分，請說明原因：_________________________</t>
    <phoneticPr fontId="1" type="noConversion"/>
  </si>
  <si>
    <t>※印象中你對受評者在指導與覆核部屬方面，願意給幾分</t>
    <phoneticPr fontId="1" type="noConversion"/>
  </si>
  <si>
    <t>*低於等於3分或高於等於10分，請說明原因：________________</t>
    <phoneticPr fontId="1" type="noConversion"/>
  </si>
  <si>
    <t>是否落實公司 ISO9001 及內部稽核／內控制度之執行</t>
    <phoneticPr fontId="1" type="noConversion"/>
  </si>
  <si>
    <t>*低於等於4分或高於等於9分，請說明原因：____________________</t>
    <phoneticPr fontId="1" type="noConversion"/>
  </si>
  <si>
    <t>*低於等於4分或高於等於9分，請說明原因：____________________</t>
    <phoneticPr fontId="1" type="noConversion"/>
  </si>
  <si>
    <t>*低於等於3分或高於等於18分，請說明原因：___________________________</t>
    <phoneticPr fontId="1" type="noConversion"/>
  </si>
  <si>
    <t>【現場】「只限評分現場人員專用」</t>
    <phoneticPr fontId="1" type="noConversion"/>
  </si>
  <si>
    <t>【現場】「只限評分現場人員專用」</t>
    <phoneticPr fontId="1" type="noConversion"/>
  </si>
  <si>
    <t>*低於等於6分或高於等於16分，請說明原因：________________</t>
    <phoneticPr fontId="1" type="noConversion"/>
  </si>
  <si>
    <t>※印象中你對受評者在指導與覆核部屬方面，願意給幾分</t>
    <phoneticPr fontId="1" type="noConversion"/>
  </si>
  <si>
    <t>是否願意和受評者一起工作?</t>
    <phoneticPr fontId="1" type="noConversion"/>
  </si>
  <si>
    <t>*低於等於3分或最高分，請敘述狀況：_________________________</t>
    <phoneticPr fontId="1" type="noConversion"/>
  </si>
  <si>
    <t>*低於等於3分或高於等於18分，請說明原因：___________________________</t>
    <phoneticPr fontId="1" type="noConversion"/>
  </si>
  <si>
    <t>※印象中你對受評者在指導與覆核部屬方面，願意給幾分</t>
    <phoneticPr fontId="1" type="noConversion"/>
  </si>
  <si>
    <t>*低於等於3分或最高分，請敘述狀況：_________________________</t>
    <phoneticPr fontId="1" type="noConversion"/>
  </si>
  <si>
    <t>*低於等於3分或高於等於13分，請說明原因： __________________________</t>
  </si>
  <si>
    <t>對於主管交辦的任務</t>
    <phoneticPr fontId="1" type="noConversion"/>
  </si>
  <si>
    <t>對於工作任務完成度</t>
    <phoneticPr fontId="1" type="noConversion"/>
  </si>
  <si>
    <t>*低於等於1或高於等於14分，請說明原因：___________________________</t>
    <phoneticPr fontId="1" type="noConversion"/>
  </si>
  <si>
    <t>※印象中你對受評者在指導與覆核部屬方面，願意給幾分</t>
    <phoneticPr fontId="1" type="noConversion"/>
  </si>
  <si>
    <t>*低於等於6分或高於等於16分，請說明原因：________________</t>
    <phoneticPr fontId="1" type="noConversion"/>
  </si>
  <si>
    <t>對於主管交辦的任務</t>
    <phoneticPr fontId="1" type="noConversion"/>
  </si>
  <si>
    <t>*低於等於3分或高於等於13分，請說明原因： __________________________</t>
    <phoneticPr fontId="1" type="noConversion"/>
  </si>
  <si>
    <t>對於工作任務完成度</t>
    <phoneticPr fontId="1" type="noConversion"/>
  </si>
  <si>
    <t>※印象中你對受評者在指導與覆核部屬方面，願意給幾分</t>
    <phoneticPr fontId="1" type="noConversion"/>
  </si>
  <si>
    <t>是否願意和受評者一起工作?</t>
    <phoneticPr fontId="1" type="noConversion"/>
  </si>
  <si>
    <t>*低於等於6分或高於等於16分，請說明原因：________________</t>
    <phoneticPr fontId="1" type="noConversion"/>
  </si>
  <si>
    <t>是否願意和受評者一起工作?</t>
    <phoneticPr fontId="1" type="noConversion"/>
  </si>
  <si>
    <t>0~10分</t>
    <phoneticPr fontId="1" type="noConversion"/>
  </si>
  <si>
    <t>※印象中你對受評者在主管交辦的任務完成率</t>
    <phoneticPr fontId="1" type="noConversion"/>
  </si>
  <si>
    <t>*低於等於3分或高於等於13分，請說明原因： ______________________</t>
    <phoneticPr fontId="1" type="noConversion"/>
  </si>
  <si>
    <t>*低於等於6分或高於等於12分，請說明原因：________________</t>
    <phoneticPr fontId="1" type="noConversion"/>
  </si>
  <si>
    <t>*低於等於4分或高於等於9分，請說明原因：____________________</t>
    <phoneticPr fontId="1" type="noConversion"/>
  </si>
  <si>
    <t>0~10分</t>
    <phoneticPr fontId="1" type="noConversion"/>
  </si>
  <si>
    <t>*低於等於3分或高於等於13分，請說明原因： ______________________</t>
    <phoneticPr fontId="1" type="noConversion"/>
  </si>
  <si>
    <t>是否落實公司 ISO9001 及內部稽核／內控制度之執行</t>
    <phoneticPr fontId="1" type="noConversion"/>
  </si>
  <si>
    <t>*低於等於6分或高於等於12分，請說明原因：________________</t>
    <phoneticPr fontId="1" type="noConversion"/>
  </si>
  <si>
    <t>0~10分</t>
    <phoneticPr fontId="1" type="noConversion"/>
  </si>
  <si>
    <t>※印象中你對受評者在主管交辦的任務完成率</t>
    <phoneticPr fontId="1" type="noConversion"/>
  </si>
  <si>
    <t>*低於等於3分或高於等於13分，請說明原因： ______________________</t>
    <phoneticPr fontId="1" type="noConversion"/>
  </si>
  <si>
    <t>*低於等於3分或最高分，請敘述狀況：_________________________</t>
    <phoneticPr fontId="1" type="noConversion"/>
  </si>
  <si>
    <t>是否落實公司 ISO9001 及內部稽核／內控制度之執行</t>
    <phoneticPr fontId="1" type="noConversion"/>
  </si>
  <si>
    <t>※印象中你對受評者在指導與覆核部屬方面，願意給幾分</t>
    <phoneticPr fontId="1" type="noConversion"/>
  </si>
  <si>
    <t>*低於等於6分或高於等於12分，請說明原因：________________</t>
    <phoneticPr fontId="1" type="noConversion"/>
  </si>
  <si>
    <t>2025年度 年終 績效考核評分表(主管職)</t>
    <phoneticPr fontId="1" type="noConversion"/>
  </si>
  <si>
    <t>你對於受評者在日常表現上或各種會議中，對於受評者工作的『正確率』，達成百分比</t>
    <phoneticPr fontId="1" type="noConversion"/>
  </si>
  <si>
    <t>你對於受評者在日常表現上或各種會議中，對於受評者工作的『完成度』，達成百分比</t>
    <phoneticPr fontId="1" type="noConversion"/>
  </si>
  <si>
    <t>受評者的工作品質</t>
    <phoneticPr fontId="1" type="noConversion"/>
  </si>
  <si>
    <t>*低於等於4分或高於等於17分，請說明原因：___________________________</t>
    <phoneticPr fontId="1" type="noConversion"/>
  </si>
  <si>
    <t>【現場】「只限評分現場人員專用」</t>
    <phoneticPr fontId="1" type="noConversion"/>
  </si>
  <si>
    <t>*低於等於3分或高於等於8分，請說明原因：___________________________</t>
    <phoneticPr fontId="1" type="noConversion"/>
  </si>
  <si>
    <t>你對於受評者在日常任務完成表現</t>
    <phoneticPr fontId="1" type="noConversion"/>
  </si>
  <si>
    <t>*低於等於1分或高於等於9分，請說明原因：___________________</t>
    <phoneticPr fontId="1" type="noConversion"/>
  </si>
  <si>
    <t>是否願意和受評者一起工作?</t>
    <phoneticPr fontId="1" type="noConversion"/>
  </si>
  <si>
    <t>*低於等於1分或高於等於9分，請說明原因：__________________</t>
    <phoneticPr fontId="1" type="noConversion"/>
  </si>
  <si>
    <t>你對於受評者完成工作之品質與完整性評價為何？</t>
    <phoneticPr fontId="1" type="noConversion"/>
  </si>
  <si>
    <t>10分：能有效規劃並穩定達成目標
7~9分：大多能如期完成
5~6分：偶有延誤
4分以下：經常未完成或需他人協助追蹤</t>
    <phoneticPr fontId="1" type="noConversion"/>
  </si>
  <si>
    <t>你對於受評者在工作目標、交辦事項及時程管理上的達成能力評價為何？</t>
    <phoneticPr fontId="1" type="noConversion"/>
  </si>
  <si>
    <t>10分：工作完整且品質穩定，可直接使用
7~9分：大致完整，少量修正即可
5~6分：偶有遺漏，需要補充
4分以下：經常缺漏或品質不佳</t>
    <phoneticPr fontId="1" type="noConversion"/>
  </si>
  <si>
    <t>10分：能有效規劃並穩定達成目標
7~9分：大多能如期完成
5~6分：偶有延誤
4分以下：經常未完成或需他人協助追蹤</t>
    <phoneticPr fontId="1" type="noConversion"/>
  </si>
  <si>
    <t>*低於等於3分或最高分，請敘述狀況：_________________________</t>
    <phoneticPr fontId="1" type="noConversion"/>
  </si>
  <si>
    <t>對於主管交辦事項，受評者是否能正確理解需求、依規範執行並有效完成？</t>
    <phoneticPr fontId="1" type="noConversion"/>
  </si>
  <si>
    <t>10分：能主動確認需求並高品質完成
7~9分：大多能獨立完成
5~6分：偶需提醒與修正
4分以下：執行品質不穩定或常需重工</t>
    <phoneticPr fontId="1" type="noConversion"/>
  </si>
  <si>
    <t>※受評者對於文件審核、流程確認及內容正確性之管理能力評價
共評者可依據平日文件簽核、退件紀錄、流程確認、跨部門溝通及會議執行情況進行評分。</t>
    <phoneticPr fontId="1" type="noConversion"/>
  </si>
  <si>
    <t>✓受評者能有效審核文件內容，幾乎無退件或重大錯誤，並能主動發現問題與改善流程(10)
✓受評者大多能正確完成文件審核，僅偶有小幅修正或退件情況(5-9)
✓受評者文件審核經常需補件、修正或發生退件，流程確認能力待加強(1-4)
✓受評者未確實執行文件審核與流程確認，經常造成重工、退件或作業異常(0)</t>
    <phoneticPr fontId="1" type="noConversion"/>
  </si>
  <si>
    <t>你對於受評者完成工作之品質與完整性評價為何？</t>
    <phoneticPr fontId="1" type="noConversion"/>
  </si>
  <si>
    <t>10分：工作完整且品質穩定，可直接使用
7~9分：大致完整，少量修正即可
5~6分：偶有遺漏，需要補充
4分以下：經常缺漏或品質不佳</t>
    <phoneticPr fontId="1" type="noConversion"/>
  </si>
  <si>
    <t>你對於受評者在工作目標、交辦事項及時程管理上的達成能力評價為何？</t>
    <phoneticPr fontId="1" type="noConversion"/>
  </si>
  <si>
    <t>10分：能有效規劃並穩定達成目標
7~9分：大多能如期完成
5~6分：偶有延誤
4分以下：經常未完成或需他人協助追蹤</t>
    <phoneticPr fontId="1" type="noConversion"/>
  </si>
  <si>
    <t>你對於受評者完成工作之品質與完整性評價為何？</t>
    <phoneticPr fontId="1" type="noConversion"/>
  </si>
  <si>
    <t>10分：工作完整且品質穩定，可直接使用
7~9分：大致完整，少量修正即可
5~6分：偶有遺漏，需要補充
4分以下：經常缺漏或品質不佳</t>
    <phoneticPr fontId="1" type="noConversion"/>
  </si>
  <si>
    <t>※受評者對於文件審核、流程確認及內容正確性之管理能力評價
共評者可依據平日文件簽核、退件紀錄、流程確認、跨部門溝通及會議執行情況進行評分。</t>
    <phoneticPr fontId="1" type="noConversion"/>
  </si>
  <si>
    <t>✓受評者能有效審核文件內容，幾乎無退件或重大錯誤，並能主動發現問題與改善流程(10)
✓受評者大多能正確完成文件審核，僅偶有小幅修正或退件情況(5-9)
✓受評者文件審核經常需補件、修正或發生退件，流程確認能力待加強(1-4)
✓受評者未確實執行文件審核與流程確認，經常造成重工、退件或作業異常(0)</t>
    <phoneticPr fontId="1" type="noConversion"/>
  </si>
  <si>
    <t>※受評者是否能有效辨識部屬專長、適切分配工作並透過指導與激勵促進部屬成長之管理能力評價
共評者可依據主管平日之部屬培育、工作指導、績效追蹤、溝通協調、團隊管理及人才發展情形進行評分。</t>
    <phoneticPr fontId="1" type="noConversion"/>
  </si>
  <si>
    <t>✓受評者具備良好人才辨識與培育能力，能依部屬特性有效授權、指導及激勵，並建立正向團隊文化與人才發展機制。(10)
✓受評者能適度掌握部屬能力並進行工作安排與培育，團隊運作及人才發展狀況良好。(7-9)
✓受評者對部屬管理與人才培育能力尚可，但在授權、溝通及激勵方面仍有改善空間。(4-6)
✓受評者未能有效掌握部屬特性與發展需求，團隊管理、人才培育及激勵成效不佳。(1-3)</t>
    <phoneticPr fontId="1" type="noConversion"/>
  </si>
  <si>
    <t>*低於等於2分或高於等於8分，請說明原因：_________________________</t>
  </si>
  <si>
    <t>【行政】工作項目是否能在工時內完成?</t>
    <phoneticPr fontId="1" type="noConversion"/>
  </si>
  <si>
    <t>*低於等於4分或高於等於9分，請說明原因：____________________</t>
    <phoneticPr fontId="1" type="noConversion"/>
  </si>
  <si>
    <t xml:space="preserve">你對於受評者在會議追蹤事項之執行、回覆與結案管理上，是否能依規定期限完成並有效追蹤事項進度之表現評價為何？
</t>
  </si>
  <si>
    <t xml:space="preserve">你對於受評者在會議追蹤事項之執行、回覆與結案管理上，是否能依規定期限完成並有效追蹤事項進度之表現評價為何？
</t>
    <phoneticPr fontId="1" type="noConversion"/>
  </si>
  <si>
    <t>10分：會議追蹤事項皆能準時完成並主動追蹤，結案完整無需提醒
7~9分：大多能準時完成，偶有延遲但能主動回覆並完成結案
5~6分：需他人提醒或追蹤後才能完成事項結案
4分以下：經常延遲、未追蹤或未完成結案，影響會議執行成效或跨部門作業效率</t>
  </si>
  <si>
    <t>10分：會議追蹤事項皆能準時完成並主動追蹤，結案完整無需提醒
7~9分：大多能準時完成，偶有延遲但能主動回覆並完成結案
5~6分：需他人提醒或追蹤後才能完成事項結案
4分以下：經常延遲、未追蹤或未完成結案，影響會議執行成效或跨部門作業效率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</si>
</sst>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8"/>
      <name val="微軟正黑體"/>
      <family val="2"/>
      <charset val="136"/>
    </font>
    <font>
      <b/>
      <sz val="8"/>
      <name val="微軟正黑體"/>
      <family val="2"/>
      <charset val="136"/>
    </font>
    <font>
      <b/>
      <sz val="18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>
      <alignment vertical="center"/>
    </xf>
    <xf numFmtId="0" fontId="3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8" borderId="0" xfId="0" applyFont="1" applyFill="1">
      <alignment vertical="center"/>
    </xf>
    <xf numFmtId="0" fontId="4" fillId="8" borderId="0" xfId="0" applyFont="1" applyFill="1" applyAlignment="1">
      <alignment vertical="center" wrapText="1"/>
    </xf>
    <xf numFmtId="0" fontId="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4" fillId="10" borderId="0" xfId="0" applyFont="1" applyFill="1" applyAlignment="1">
      <alignment vertical="center" wrapText="1"/>
    </xf>
    <xf numFmtId="0" fontId="3" fillId="11" borderId="0" xfId="0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3" fillId="7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4" fillId="12" borderId="0" xfId="0" applyFont="1" applyFill="1">
      <alignment vertical="center"/>
    </xf>
    <xf numFmtId="0" fontId="4" fillId="12" borderId="0" xfId="0" applyFont="1" applyFill="1" applyAlignment="1">
      <alignment vertical="center" wrapText="1"/>
    </xf>
    <xf numFmtId="0" fontId="3" fillId="0" borderId="0" xfId="0" applyFont="1" applyProtection="1">
      <alignment vertical="center"/>
      <protection locked="0"/>
    </xf>
    <xf numFmtId="0" fontId="3" fillId="7" borderId="0" xfId="0" applyFont="1" applyFill="1" applyProtection="1">
      <alignment vertical="center"/>
      <protection locked="0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4" fillId="3" borderId="0" xfId="0" applyFont="1" applyFill="1" applyAlignment="1" applyProtection="1">
      <alignment vertical="center" wrapText="1"/>
      <protection locked="0"/>
    </xf>
    <xf numFmtId="0" fontId="4" fillId="12" borderId="0" xfId="0" applyFont="1" applyFill="1" applyAlignment="1" applyProtection="1">
      <alignment vertical="center" wrapText="1"/>
      <protection locked="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 applyProtection="1">
      <alignment vertical="center" wrapText="1"/>
      <protection locked="0"/>
    </xf>
    <xf numFmtId="0" fontId="4" fillId="8" borderId="0" xfId="0" applyFont="1" applyFill="1" applyAlignment="1" applyProtection="1">
      <alignment vertical="center" wrapText="1"/>
      <protection locked="0"/>
    </xf>
    <xf numFmtId="0" fontId="3" fillId="6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 applyProtection="1">
      <alignment vertical="center" wrapText="1"/>
      <protection locked="0"/>
    </xf>
    <xf numFmtId="0" fontId="4" fillId="8" borderId="0" xfId="0" applyFont="1" applyFill="1" applyBorder="1" applyAlignment="1">
      <alignment vertical="center" wrapText="1"/>
    </xf>
    <xf numFmtId="0" fontId="4" fillId="8" borderId="6" xfId="0" applyFont="1" applyFill="1" applyBorder="1" applyAlignment="1" applyProtection="1">
      <alignment vertical="center" wrapText="1"/>
      <protection locked="0"/>
    </xf>
    <xf numFmtId="0" fontId="4" fillId="8" borderId="7" xfId="0" applyFont="1" applyFill="1" applyBorder="1" applyAlignment="1">
      <alignment vertical="center" wrapText="1"/>
    </xf>
    <xf numFmtId="0" fontId="4" fillId="10" borderId="0" xfId="0" applyFont="1" applyFill="1" applyAlignment="1" applyProtection="1">
      <alignment vertical="center" wrapText="1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10" borderId="0" xfId="0" applyFont="1" applyFill="1" applyAlignment="1">
      <alignment vertical="center" wrapText="1"/>
    </xf>
    <xf numFmtId="0" fontId="3" fillId="4" borderId="0" xfId="0" applyFont="1" applyFill="1" applyAlignment="1">
      <alignment vertical="center"/>
    </xf>
    <xf numFmtId="0" fontId="8" fillId="3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left" vertical="center" wrapText="1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9" xfId="0" applyFont="1" applyBorder="1" applyProtection="1">
      <alignment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12" borderId="0" xfId="0" applyFont="1" applyFill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vertical="center" wrapText="1"/>
    </xf>
    <xf numFmtId="0" fontId="4" fillId="12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left" vertical="center" wrapText="1"/>
    </xf>
    <xf numFmtId="0" fontId="4" fillId="8" borderId="6" xfId="0" applyFont="1" applyFill="1" applyBorder="1" applyAlignment="1">
      <alignment horizontal="left" vertical="center" wrapText="1"/>
    </xf>
    <xf numFmtId="0" fontId="4" fillId="8" borderId="7" xfId="0" applyFont="1" applyFill="1" applyBorder="1" applyAlignment="1">
      <alignment horizontal="left" vertical="center" wrapText="1"/>
    </xf>
    <xf numFmtId="0" fontId="4" fillId="8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2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center" wrapText="1"/>
    </xf>
    <xf numFmtId="0" fontId="4" fillId="10" borderId="0" xfId="0" applyFont="1" applyFill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12" borderId="0" xfId="0" applyFont="1" applyFill="1" applyAlignment="1">
      <alignment vertical="center" wrapText="1"/>
    </xf>
    <xf numFmtId="0" fontId="4" fillId="3" borderId="0" xfId="0" applyFont="1" applyFill="1" applyAlignment="1">
      <alignment horizontal="left" vertical="center" wrapText="1"/>
    </xf>
    <xf numFmtId="0" fontId="4" fillId="12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4" fillId="3" borderId="4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</cellXfs>
  <cellStyles count="1">
    <cellStyle name="一般" xfId="0" builtinId="0"/>
  </cellStyles>
  <dxfs count="67"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微軟正黑體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表格2" displayName="表格2" ref="A4:C5" totalsRowShown="0" headerRowDxfId="66" dataDxfId="65">
  <autoFilter ref="A4:C5"/>
  <tableColumns count="3">
    <tableColumn id="1" name="部門/單位" dataDxfId="64"/>
    <tableColumn id="2" name="評分者" dataDxfId="63"/>
    <tableColumn id="3" name="受評人數" dataDxfId="6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1" name="表格2_2" displayName="表格2_2" ref="A4:C5" totalsRowShown="0" headerRowDxfId="61" dataDxfId="60">
  <autoFilter ref="A4:C5"/>
  <tableColumns count="3">
    <tableColumn id="1" name="部門/單位" dataDxfId="59"/>
    <tableColumn id="2" name="評分者" dataDxfId="58"/>
    <tableColumn id="3" name="受評人數" dataDxfId="57">
      <calculatedColumnFormula>COUNTIF(D6:P6,"&lt;&gt;")</calculatedColumnFormula>
    </tableColumn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3" name="表格2_24" displayName="表格2_24" ref="A4:C5" totalsRowShown="0" headerRowDxfId="56" dataDxfId="55">
  <autoFilter ref="A4:C5"/>
  <tableColumns count="3">
    <tableColumn id="1" name="部門/單位" dataDxfId="54"/>
    <tableColumn id="2" name="評分者" dataDxfId="53"/>
    <tableColumn id="3" name="受評人數" dataDxfId="52">
      <calculatedColumnFormula>COUNTIF(D6:P6,"&lt;&gt;")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id="4" name="表格2_5" displayName="表格2_5" ref="A4:C5" totalsRowShown="0" headerRowDxfId="51" dataDxfId="50">
  <autoFilter ref="A4:C5"/>
  <tableColumns count="3">
    <tableColumn id="1" name="部門/單位" dataDxfId="49"/>
    <tableColumn id="2" name="評分者" dataDxfId="48"/>
    <tableColumn id="3" name="受評人數" dataDxfId="47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8" name="表格2_59" displayName="表格2_59" ref="A4:C5" totalsRowShown="0" headerRowDxfId="46" dataDxfId="45">
  <autoFilter ref="A4:C5"/>
  <tableColumns count="3">
    <tableColumn id="1" name="部門/單位" dataDxfId="44"/>
    <tableColumn id="2" name="評分者" dataDxfId="43"/>
    <tableColumn id="3" name="受評人數" dataDxfId="4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5" name="表格2_596" displayName="表格2_596" ref="A4:C5" totalsRowShown="0" headerRowDxfId="41" dataDxfId="40">
  <autoFilter ref="A4:C5"/>
  <tableColumns count="3">
    <tableColumn id="1" name="部門/單位" dataDxfId="39"/>
    <tableColumn id="2" name="評分者" dataDxfId="38"/>
    <tableColumn id="3" name="受評人數" dataDxfId="37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6" name="表格2_5967" displayName="表格2_5967" ref="A4:C5" totalsRowShown="0" headerRowDxfId="36" dataDxfId="35">
  <autoFilter ref="A4:C5"/>
  <tableColumns count="3">
    <tableColumn id="1" name="部門/單位" dataDxfId="34"/>
    <tableColumn id="2" name="評分者" dataDxfId="33"/>
    <tableColumn id="3" name="受評人數" dataDxfId="3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9" name="表格2_596710" displayName="表格2_596710" ref="A4:C5" totalsRowShown="0" headerRowDxfId="31" dataDxfId="30">
  <autoFilter ref="A4:C5"/>
  <tableColumns count="3">
    <tableColumn id="1" name="部門/單位" dataDxfId="29"/>
    <tableColumn id="2" name="評分者" dataDxfId="28"/>
    <tableColumn id="3" name="受評人數" dataDxfId="27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7" name="表格2_598" displayName="表格2_598" ref="A4:C5" totalsRowShown="0" headerRowDxfId="26" dataDxfId="25">
  <autoFilter ref="A4:C5"/>
  <tableColumns count="3">
    <tableColumn id="1" name="部門/單位" dataDxfId="24"/>
    <tableColumn id="2" name="評分者" dataDxfId="23"/>
    <tableColumn id="3" name="受評人數" dataDxfId="2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0" name="表格2_511" displayName="表格2_511" ref="A4:C5" totalsRowShown="0" headerRowDxfId="21" dataDxfId="20">
  <autoFilter ref="A4:C5"/>
  <tableColumns count="3">
    <tableColumn id="1" name="部門/單位" dataDxfId="19"/>
    <tableColumn id="2" name="評分者" dataDxfId="18"/>
    <tableColumn id="3" name="受評人數" dataDxfId="17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1" name="表格2_51112" displayName="表格2_51112" ref="A4:C5" totalsRowShown="0" headerRowDxfId="16" dataDxfId="15">
  <autoFilter ref="A4:C5"/>
  <tableColumns count="3">
    <tableColumn id="1" name="部門/單位" dataDxfId="14"/>
    <tableColumn id="2" name="評分者" dataDxfId="13"/>
    <tableColumn id="3" name="受評人數" dataDxfId="1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2" name="表格2_5111213" displayName="表格2_5111213" ref="A4:C5" totalsRowShown="0" headerRowDxfId="11" dataDxfId="10">
  <autoFilter ref="A4:C5"/>
  <tableColumns count="3">
    <tableColumn id="1" name="部門/單位" dataDxfId="9"/>
    <tableColumn id="2" name="評分者" dataDxfId="8"/>
    <tableColumn id="3" name="受評人數" dataDxfId="7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3" name="表格2_511121314" displayName="表格2_511121314" ref="A4:C5" totalsRowShown="0" headerRowDxfId="6" dataDxfId="5">
  <autoFilter ref="A4:C5"/>
  <tableColumns count="3">
    <tableColumn id="1" name="部門/單位" dataDxfId="4"/>
    <tableColumn id="2" name="評分者" dataDxfId="3"/>
    <tableColumn id="3" name="受評人數" dataDxfId="2">
      <calculatedColumnFormula>COUNTIF(D6:P6,"&lt;&gt;")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I23"/>
  <sheetViews>
    <sheetView topLeftCell="A10" zoomScale="70" zoomScaleNormal="70" workbookViewId="0">
      <selection activeCell="B12" sqref="B12:C13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32.3632812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16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ht="32" customHeight="1" x14ac:dyDescent="0.4">
      <c r="A6" s="79" t="s">
        <v>3</v>
      </c>
      <c r="B6" s="79"/>
      <c r="C6" s="79"/>
      <c r="D6" s="57"/>
      <c r="E6" s="3"/>
      <c r="F6" s="3"/>
      <c r="G6" s="3"/>
      <c r="H6" s="3"/>
      <c r="I6" s="3"/>
    </row>
    <row r="7" spans="1:9" ht="36.5" customHeight="1" x14ac:dyDescent="0.4">
      <c r="A7" s="4" t="s">
        <v>4</v>
      </c>
      <c r="B7" s="4" t="s">
        <v>5</v>
      </c>
      <c r="C7" s="31" t="s">
        <v>6</v>
      </c>
      <c r="D7" s="58"/>
    </row>
    <row r="8" spans="1:9" ht="46" customHeight="1" x14ac:dyDescent="0.4">
      <c r="A8" s="73" t="s">
        <v>20</v>
      </c>
      <c r="B8" s="5" t="s">
        <v>8</v>
      </c>
      <c r="C8" s="5" t="s">
        <v>33</v>
      </c>
      <c r="D8" s="59"/>
      <c r="E8" s="26"/>
      <c r="F8" s="26"/>
      <c r="G8" s="26"/>
    </row>
    <row r="9" spans="1:9" s="63" customFormat="1" ht="39.5" customHeight="1" x14ac:dyDescent="0.4">
      <c r="A9" s="73"/>
      <c r="B9" s="66" t="s">
        <v>178</v>
      </c>
      <c r="C9" s="112" t="s">
        <v>13</v>
      </c>
      <c r="D9" s="59"/>
      <c r="E9" s="26"/>
      <c r="F9" s="26"/>
      <c r="G9" s="26"/>
    </row>
    <row r="10" spans="1:9" ht="42.5" customHeight="1" x14ac:dyDescent="0.4">
      <c r="A10" s="73"/>
      <c r="B10" s="66" t="s">
        <v>177</v>
      </c>
      <c r="C10" s="112"/>
      <c r="D10" s="59"/>
      <c r="E10" s="26"/>
      <c r="F10" s="26"/>
      <c r="G10" s="26"/>
    </row>
    <row r="11" spans="1:9" ht="113.5" customHeight="1" x14ac:dyDescent="0.4">
      <c r="A11" s="7" t="s">
        <v>9</v>
      </c>
      <c r="B11" s="24" t="s">
        <v>10</v>
      </c>
      <c r="C11" s="25" t="s">
        <v>17</v>
      </c>
      <c r="D11" s="60"/>
      <c r="E11" s="26"/>
      <c r="F11" s="26"/>
      <c r="G11" s="26"/>
    </row>
    <row r="12" spans="1:9" ht="56" customHeight="1" x14ac:dyDescent="0.4">
      <c r="A12" s="28"/>
      <c r="B12" s="6" t="s">
        <v>181</v>
      </c>
      <c r="C12" s="74" t="s">
        <v>183</v>
      </c>
      <c r="D12" s="61"/>
      <c r="E12" s="26"/>
      <c r="F12" s="26"/>
      <c r="G12" s="26"/>
    </row>
    <row r="13" spans="1:9" ht="49.5" customHeight="1" x14ac:dyDescent="0.4">
      <c r="A13" s="73" t="s">
        <v>11</v>
      </c>
      <c r="B13" s="33" t="s">
        <v>179</v>
      </c>
      <c r="C13" s="74"/>
      <c r="D13" s="61"/>
      <c r="E13" s="26"/>
      <c r="F13" s="26"/>
      <c r="G13" s="26"/>
    </row>
    <row r="14" spans="1:9" ht="49.5" customHeight="1" x14ac:dyDescent="0.4">
      <c r="A14" s="73"/>
      <c r="B14" s="25" t="s">
        <v>157</v>
      </c>
      <c r="C14" s="75" t="s">
        <v>160</v>
      </c>
      <c r="D14" s="61"/>
      <c r="E14" s="26"/>
      <c r="F14" s="26"/>
      <c r="G14" s="26"/>
    </row>
    <row r="15" spans="1:9" ht="60" customHeight="1" x14ac:dyDescent="0.4">
      <c r="A15" s="73"/>
      <c r="B15" s="34" t="s">
        <v>86</v>
      </c>
      <c r="C15" s="75"/>
      <c r="D15" s="61"/>
      <c r="E15" s="26"/>
      <c r="F15" s="26"/>
      <c r="G15" s="26"/>
    </row>
    <row r="16" spans="1:9" ht="60" customHeight="1" x14ac:dyDescent="0.4">
      <c r="A16" s="73"/>
      <c r="B16" s="6" t="s">
        <v>159</v>
      </c>
      <c r="C16" s="76" t="s">
        <v>161</v>
      </c>
      <c r="D16" s="61"/>
      <c r="E16" s="26"/>
      <c r="F16" s="26"/>
      <c r="G16" s="26"/>
    </row>
    <row r="17" spans="1:7" ht="55" customHeight="1" x14ac:dyDescent="0.4">
      <c r="A17" s="73"/>
      <c r="B17" s="33" t="s">
        <v>85</v>
      </c>
      <c r="C17" s="76"/>
      <c r="D17" s="61"/>
      <c r="E17" s="26"/>
      <c r="F17" s="26"/>
      <c r="G17" s="26"/>
    </row>
    <row r="18" spans="1:7" ht="55" customHeight="1" x14ac:dyDescent="0.4">
      <c r="A18" s="28"/>
      <c r="B18" s="8" t="s">
        <v>163</v>
      </c>
      <c r="C18" s="77" t="s">
        <v>164</v>
      </c>
      <c r="D18" s="61"/>
      <c r="E18" s="26"/>
      <c r="F18" s="26"/>
      <c r="G18" s="26"/>
    </row>
    <row r="19" spans="1:7" ht="49" customHeight="1" x14ac:dyDescent="0.4">
      <c r="A19" s="72" t="s">
        <v>34</v>
      </c>
      <c r="B19" s="36" t="s">
        <v>87</v>
      </c>
      <c r="C19" s="77"/>
      <c r="D19" s="61"/>
      <c r="E19" s="26"/>
      <c r="F19" s="26"/>
      <c r="G19" s="26"/>
    </row>
    <row r="20" spans="1:7" ht="32.5" customHeight="1" x14ac:dyDescent="0.4">
      <c r="A20" s="72"/>
      <c r="B20" s="6" t="s">
        <v>89</v>
      </c>
      <c r="C20" s="78" t="s">
        <v>14</v>
      </c>
      <c r="D20" s="61"/>
      <c r="E20" s="26"/>
      <c r="F20" s="26"/>
      <c r="G20" s="26"/>
    </row>
    <row r="21" spans="1:7" ht="28.5" customHeight="1" x14ac:dyDescent="0.4">
      <c r="A21" s="72"/>
      <c r="B21" s="33" t="s">
        <v>162</v>
      </c>
      <c r="C21" s="78"/>
      <c r="D21" s="111"/>
      <c r="E21" s="26"/>
      <c r="F21" s="26"/>
      <c r="G21" s="26"/>
    </row>
    <row r="22" spans="1:7" s="9" customFormat="1" ht="50.5" customHeight="1" x14ac:dyDescent="0.4">
      <c r="B22" s="20"/>
      <c r="C22" s="10" t="s">
        <v>15</v>
      </c>
      <c r="D22" s="27">
        <f>SUM(D8:D21)</f>
        <v>0</v>
      </c>
      <c r="E22" s="27">
        <f t="shared" ref="E22:G22" si="0">SUM(E8:E21)</f>
        <v>0</v>
      </c>
      <c r="F22" s="27">
        <f t="shared" si="0"/>
        <v>0</v>
      </c>
      <c r="G22" s="27">
        <f t="shared" si="0"/>
        <v>0</v>
      </c>
    </row>
    <row r="23" spans="1:7" x14ac:dyDescent="0.4">
      <c r="D23" s="1" t="str">
        <f>IF(OR(
  AND(D22&gt;=90, COUNTIF($D$22:$Z$22, "&gt;=90")/COUNTA($D$22:$Z$22)&gt;0.05),
  AND(D22&gt;=80,D22&lt;=89, (COUNTIF($D$22:$Z$22, "&gt;=80")-COUNTIF($D$22:$Z$22, "&gt;=90"))/COUNTA($D$22:$Z$22)&gt;0.2),
  AND(D22&gt;=70,D22&lt;=79, (COUNTIF($D$22:$Z$22, "&gt;=70")-COUNTIF($D$22:$Z$22, "&gt;=80"))/COUNTA($D$22:$Z$22)&gt;0.4),
  AND(D22&gt;=60,D22&lt;=69, (COUNTIF($D$22:$Z$22, "&gt;=60")-COUNTIF($D$22:$Z$22, "&gt;=70"))/COUNTA($D$22:$Z$22)&gt;0.3),
  AND(D22&lt;=59, COUNTIF($D$22:$Z$22, "&lt;=59")/COUNTA($D$22:$Z$22)&gt;0.05)
), "⚠ 超標！", "")</f>
        <v>⚠ 超標！</v>
      </c>
      <c r="E23" s="1" t="str">
        <f t="shared" ref="E23" si="1">IF(OR(
  AND(E22&gt;=90, COUNTIF($D$22:$Z$22, "&gt;=90")/COUNTA($D$22:$Z$22)&gt;0.05),
  AND(E22&gt;=80,E22&lt;=89, (COUNTIF($D$22:$Z$22, "&gt;=80")-COUNTIF($D$22:$Z$22, "&gt;=90"))/COUNTA($D$22:$Z$22)&gt;0.2),
  AND(E22&gt;=70,E22&lt;=79, (COUNTIF($D$22:$Z$22, "&gt;=70")-COUNTIF($D$22:$Z$22, "&gt;=80"))/COUNTA($D$22:$Z$22)&gt;0.4),
  AND(E22&gt;=60,E22&lt;=69, (COUNTIF($D$22:$Z$22, "&gt;=60")-COUNTIF($D$22:$Z$22, "&gt;=70"))/COUNTA($D$22:$Z$22)&gt;0.3),
  AND(E22&lt;=59, COUNTIF($D$22:$Z$22, "&lt;=59")/COUNTA($D$22:$Z$22)&gt;0.05)
), "⚠ 超標！", "")</f>
        <v>⚠ 超標！</v>
      </c>
      <c r="F23" s="1" t="str">
        <f t="shared" ref="F23" si="2">IF(OR(
  AND(F22&gt;=90, COUNTIF($D$22:$Z$22, "&gt;=90")/COUNTA($D$22:$Z$22)&gt;0.05),
  AND(F22&gt;=80,F22&lt;=89, (COUNTIF($D$22:$Z$22, "&gt;=80")-COUNTIF($D$22:$Z$22, "&gt;=90"))/COUNTA($D$22:$Z$22)&gt;0.2),
  AND(F22&gt;=70,F22&lt;=79, (COUNTIF($D$22:$Z$22, "&gt;=70")-COUNTIF($D$22:$Z$22, "&gt;=80"))/COUNTA($D$22:$Z$22)&gt;0.4),
  AND(F22&gt;=60,F22&lt;=69, (COUNTIF($D$22:$Z$22, "&gt;=60")-COUNTIF($D$22:$Z$22, "&gt;=70"))/COUNTA($D$22:$Z$22)&gt;0.3),
  AND(F22&lt;=59, COUNTIF($D$22:$Z$22, "&lt;=59")/COUNTA($D$22:$Z$22)&gt;0.05)
), "⚠ 超標！", "")</f>
        <v>⚠ 超標！</v>
      </c>
      <c r="G23" s="1" t="str">
        <f>IF(OR(
  AND(G22&gt;=90, COUNTIF($D$22:$Z$22, "&gt;=90")/COUNTA($D$22:$Z$22)&gt;0.05),
  AND(G22&gt;=80,G22&lt;=89, (COUNTIF($D$22:$Z$22, "&gt;=80")-COUNTIF($D$22:$Z$22, "&gt;=90"))/COUNTA($D$22:$Z$22)&gt;0.2),
  AND(G22&gt;=70,G22&lt;=79, (COUNTIF($D$22:$Z$22, "&gt;=70")-COUNTIF($D$22:$Z$22, "&gt;=80"))/COUNTA($D$22:$Z$22)&gt;0.4),
  AND(G22&gt;=60,G22&lt;=69, (COUNTIF($D$22:$Z$22, "&gt;=60")-COUNTIF($D$22:$Z$22, "&gt;=70"))/COUNTA($D$22:$Z$22)&gt;0.3),
  AND(G22&lt;=59, COUNTIF($D$22:$Z$22, "&lt;=59")/COUNTA($D$22:$Z$22)&gt;0.05)
), "⚠ 超標！", "")</f>
        <v>⚠ 超標！</v>
      </c>
    </row>
  </sheetData>
  <mergeCells count="12">
    <mergeCell ref="C9:C10"/>
    <mergeCell ref="A1:I1"/>
    <mergeCell ref="A2:I2"/>
    <mergeCell ref="A19:A21"/>
    <mergeCell ref="A8:A10"/>
    <mergeCell ref="C12:C13"/>
    <mergeCell ref="C14:C15"/>
    <mergeCell ref="C16:C17"/>
    <mergeCell ref="C18:C19"/>
    <mergeCell ref="C20:C21"/>
    <mergeCell ref="A6:C6"/>
    <mergeCell ref="A13:A17"/>
  </mergeCells>
  <phoneticPr fontId="1" type="noConversion"/>
  <conditionalFormatting sqref="D22:Z22">
    <cfRule type="expression" dxfId="1" priority="1">
      <formula>$D$7="⚠ 超標！"</formula>
    </cfRule>
    <cfRule type="expression" dxfId="0" priority="2">
      <formula>$D$7="⚠ 超標！"</formula>
    </cfRule>
  </conditionalFormatting>
  <pageMargins left="0.7" right="0.7" top="0.75" bottom="0.75" header="0.3" footer="0.3"/>
  <pageSetup paperSize="9" scale="61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K19"/>
  <sheetViews>
    <sheetView topLeftCell="A13" zoomScale="70" zoomScaleNormal="70" workbookViewId="0">
      <selection activeCell="D9" sqref="D9"/>
    </sheetView>
  </sheetViews>
  <sheetFormatPr defaultRowHeight="15.5" x14ac:dyDescent="0.4"/>
  <cols>
    <col min="1" max="1" width="23.54296875" style="1" customWidth="1"/>
    <col min="2" max="2" width="57.36328125" style="1" customWidth="1"/>
    <col min="3" max="3" width="42.7265625" style="1" customWidth="1"/>
    <col min="4" max="4" width="11.08984375" style="1" customWidth="1"/>
    <col min="5" max="16384" width="8.7265625" style="1"/>
  </cols>
  <sheetData>
    <row r="1" spans="1:9" ht="16" x14ac:dyDescent="0.4">
      <c r="A1" s="83" t="s">
        <v>7</v>
      </c>
      <c r="B1" s="84"/>
      <c r="C1" s="84"/>
      <c r="D1" s="84"/>
      <c r="E1" s="84"/>
      <c r="F1" s="84"/>
      <c r="G1" s="84"/>
      <c r="H1" s="84"/>
      <c r="I1" s="84"/>
    </row>
    <row r="2" spans="1:9" ht="16" x14ac:dyDescent="0.4">
      <c r="A2" s="85" t="s">
        <v>18</v>
      </c>
      <c r="B2" s="86"/>
      <c r="C2" s="86"/>
      <c r="D2" s="86"/>
      <c r="E2" s="86"/>
      <c r="F2" s="86"/>
      <c r="G2" s="86"/>
      <c r="H2" s="86"/>
      <c r="I2" s="86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49" customHeight="1" x14ac:dyDescent="0.4">
      <c r="C5" s="2">
        <f>COUNTIF(D6:P6,"&lt;&gt;")</f>
        <v>0</v>
      </c>
    </row>
    <row r="6" spans="1:9" ht="30.5" customHeight="1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11" t="s">
        <v>4</v>
      </c>
      <c r="B7" s="11" t="s">
        <v>5</v>
      </c>
      <c r="C7" s="11" t="s">
        <v>6</v>
      </c>
    </row>
    <row r="8" spans="1:9" ht="33.5" customHeight="1" x14ac:dyDescent="0.4">
      <c r="A8" s="14" t="s">
        <v>19</v>
      </c>
      <c r="B8" s="5" t="s">
        <v>24</v>
      </c>
      <c r="C8" s="5" t="s">
        <v>23</v>
      </c>
    </row>
    <row r="9" spans="1:9" ht="123" customHeight="1" x14ac:dyDescent="0.4">
      <c r="A9" s="14" t="s">
        <v>25</v>
      </c>
      <c r="B9" s="12" t="s">
        <v>27</v>
      </c>
      <c r="C9" s="13" t="s">
        <v>28</v>
      </c>
      <c r="D9" s="62"/>
    </row>
    <row r="10" spans="1:9" ht="58" customHeight="1" x14ac:dyDescent="0.4">
      <c r="A10" s="38"/>
      <c r="B10" s="39" t="s">
        <v>91</v>
      </c>
      <c r="C10" s="77" t="s">
        <v>29</v>
      </c>
      <c r="D10" s="67"/>
    </row>
    <row r="11" spans="1:9" ht="52" customHeight="1" x14ac:dyDescent="0.4">
      <c r="A11" s="81" t="s">
        <v>32</v>
      </c>
      <c r="B11" s="40" t="s">
        <v>100</v>
      </c>
      <c r="C11" s="77"/>
      <c r="D11" s="67"/>
    </row>
    <row r="12" spans="1:9" ht="52" customHeight="1" x14ac:dyDescent="0.4">
      <c r="A12" s="81"/>
      <c r="B12" s="41" t="s">
        <v>92</v>
      </c>
      <c r="C12" s="87" t="s">
        <v>30</v>
      </c>
      <c r="D12" s="67"/>
    </row>
    <row r="13" spans="1:9" ht="44.5" customHeight="1" x14ac:dyDescent="0.4">
      <c r="A13" s="82"/>
      <c r="B13" s="42" t="s">
        <v>90</v>
      </c>
      <c r="C13" s="88"/>
      <c r="D13" s="67"/>
    </row>
    <row r="14" spans="1:9" ht="70" customHeight="1" x14ac:dyDescent="0.4">
      <c r="A14" s="38"/>
      <c r="B14" s="43" t="s">
        <v>94</v>
      </c>
      <c r="C14" s="89" t="s">
        <v>26</v>
      </c>
      <c r="D14" s="67"/>
    </row>
    <row r="15" spans="1:9" ht="62.5" customHeight="1" x14ac:dyDescent="0.4">
      <c r="A15" s="80" t="s">
        <v>31</v>
      </c>
      <c r="B15" s="37" t="s">
        <v>93</v>
      </c>
      <c r="C15" s="90"/>
      <c r="D15" s="67"/>
    </row>
    <row r="16" spans="1:9" ht="62.5" customHeight="1" x14ac:dyDescent="0.4">
      <c r="A16" s="80"/>
      <c r="B16" s="8" t="s">
        <v>95</v>
      </c>
      <c r="C16" s="91" t="s">
        <v>98</v>
      </c>
      <c r="D16" s="67"/>
    </row>
    <row r="17" spans="1:37" ht="55" customHeight="1" x14ac:dyDescent="0.4">
      <c r="A17" s="80"/>
      <c r="B17" s="36" t="s">
        <v>99</v>
      </c>
      <c r="C17" s="91"/>
      <c r="D17" s="67"/>
    </row>
    <row r="18" spans="1:37" s="9" customFormat="1" ht="23.5" x14ac:dyDescent="0.4">
      <c r="C18" s="10" t="s">
        <v>15</v>
      </c>
      <c r="D18" s="9">
        <f>SUM(D8:D17)</f>
        <v>0</v>
      </c>
      <c r="AK18" s="19"/>
    </row>
    <row r="19" spans="1:37" x14ac:dyDescent="0.4">
      <c r="D19" s="1" t="str">
        <f>IF(OR(
  AND(D18&gt;=90, COUNTIF($D$18:$Z$18, "&gt;=90")/COUNTA($D$18:$Z$18)&gt;0.05),
  AND(D18&gt;=80,D18&lt;=89, (COUNTIF($D$18:$Z$18, "&gt;=80")-COUNTIF($D$18:$Z$18, "&gt;=90"))/COUNTA($D$18:$Z$18)&gt;0.2),
  AND(D18&gt;=70,D18&lt;=79, (COUNTIF($D$18:$Z$18, "&gt;=70")-COUNTIF($D$18:$Z$18, "&gt;=80"))/COUNTA($D$18:$Z$18)&gt;0.4),
  AND(D18&gt;=60,D18&lt;=69, (COUNTIF($D$18:$Z$18, "&gt;=60")-COUNTIF($D$18:$Z$18, "&gt;=70"))/COUNTA($D$18:$Z$18)&gt;0.3),
  AND(D18&lt;=59, COUNTIF($D$18:$Z$18, "&lt;=59")/COUNTA($D$18:$Z$18)&gt;0.05)
), "⚠ 超標！", "")</f>
        <v>⚠ 超標！</v>
      </c>
    </row>
  </sheetData>
  <mergeCells count="9">
    <mergeCell ref="A15:A17"/>
    <mergeCell ref="A11:A13"/>
    <mergeCell ref="A1:I1"/>
    <mergeCell ref="A2:I2"/>
    <mergeCell ref="A6:C6"/>
    <mergeCell ref="C10:C11"/>
    <mergeCell ref="C12:C13"/>
    <mergeCell ref="C14:C15"/>
    <mergeCell ref="C16:C17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K21"/>
  <sheetViews>
    <sheetView topLeftCell="A7" zoomScale="80" zoomScaleNormal="80" workbookViewId="0">
      <selection activeCell="B10" sqref="B10:C11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30.54296875" style="1" customWidth="1"/>
    <col min="4" max="4" width="11.08984375" style="1" customWidth="1"/>
    <col min="5" max="16384" width="8.7265625" style="1"/>
  </cols>
  <sheetData>
    <row r="1" spans="1:9" ht="16" x14ac:dyDescent="0.4">
      <c r="A1" s="94" t="s">
        <v>7</v>
      </c>
      <c r="B1" s="95"/>
      <c r="C1" s="95"/>
      <c r="D1" s="95"/>
      <c r="E1" s="95"/>
      <c r="F1" s="95"/>
      <c r="G1" s="95"/>
      <c r="H1" s="95"/>
      <c r="I1" s="95"/>
    </row>
    <row r="2" spans="1:9" ht="16" x14ac:dyDescent="0.4">
      <c r="A2" s="96" t="s">
        <v>36</v>
      </c>
      <c r="B2" s="97"/>
      <c r="C2" s="97"/>
      <c r="D2" s="97"/>
      <c r="E2" s="97"/>
      <c r="F2" s="97"/>
      <c r="G2" s="97"/>
      <c r="H2" s="97"/>
      <c r="I2" s="97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40.5" customHeight="1" x14ac:dyDescent="0.4">
      <c r="C5" s="2">
        <f>COUNTIF(D6:P6,"&lt;&gt;")</f>
        <v>0</v>
      </c>
    </row>
    <row r="6" spans="1:9" ht="30.5" customHeight="1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15" t="s">
        <v>4</v>
      </c>
      <c r="B7" s="15" t="s">
        <v>5</v>
      </c>
      <c r="C7" s="15" t="s">
        <v>6</v>
      </c>
    </row>
    <row r="8" spans="1:9" ht="40" customHeight="1" x14ac:dyDescent="0.4">
      <c r="A8" s="18" t="s">
        <v>21</v>
      </c>
      <c r="B8" s="5" t="s">
        <v>8</v>
      </c>
      <c r="C8" s="5" t="s">
        <v>81</v>
      </c>
    </row>
    <row r="9" spans="1:9" ht="74" customHeight="1" x14ac:dyDescent="0.4">
      <c r="A9" s="18" t="s">
        <v>9</v>
      </c>
      <c r="B9" s="16" t="s">
        <v>10</v>
      </c>
      <c r="C9" s="17" t="s">
        <v>17</v>
      </c>
    </row>
    <row r="10" spans="1:9" ht="74" customHeight="1" x14ac:dyDescent="0.4">
      <c r="A10" s="30"/>
      <c r="B10" s="64" t="s">
        <v>180</v>
      </c>
      <c r="C10" s="100" t="s">
        <v>182</v>
      </c>
      <c r="D10" s="113"/>
      <c r="E10" s="45"/>
      <c r="F10" s="45"/>
      <c r="G10" s="45"/>
    </row>
    <row r="11" spans="1:9" ht="50" customHeight="1" x14ac:dyDescent="0.4">
      <c r="A11" s="98" t="s">
        <v>11</v>
      </c>
      <c r="B11" s="36" t="s">
        <v>84</v>
      </c>
      <c r="C11" s="100"/>
      <c r="D11" s="113"/>
      <c r="E11" s="45"/>
      <c r="F11" s="45"/>
      <c r="G11" s="45"/>
    </row>
    <row r="12" spans="1:9" ht="50" customHeight="1" x14ac:dyDescent="0.4">
      <c r="A12" s="98"/>
      <c r="B12" s="47" t="s">
        <v>167</v>
      </c>
      <c r="C12" s="101" t="s">
        <v>168</v>
      </c>
      <c r="D12" s="67"/>
    </row>
    <row r="13" spans="1:9" ht="67.5" customHeight="1" x14ac:dyDescent="0.4">
      <c r="A13" s="98"/>
      <c r="B13" s="44" t="s">
        <v>85</v>
      </c>
      <c r="C13" s="101"/>
      <c r="D13" s="67"/>
    </row>
    <row r="14" spans="1:9" ht="67.5" customHeight="1" x14ac:dyDescent="0.4">
      <c r="A14" s="98"/>
      <c r="B14" s="46" t="s">
        <v>159</v>
      </c>
      <c r="C14" s="93" t="s">
        <v>158</v>
      </c>
      <c r="D14" s="67"/>
    </row>
    <row r="15" spans="1:9" ht="44.5" customHeight="1" x14ac:dyDescent="0.4">
      <c r="A15" s="98"/>
      <c r="B15" s="36" t="s">
        <v>96</v>
      </c>
      <c r="C15" s="93"/>
      <c r="D15" s="67"/>
    </row>
    <row r="16" spans="1:9" ht="44.5" customHeight="1" x14ac:dyDescent="0.4">
      <c r="A16" s="30"/>
      <c r="B16" s="17" t="s">
        <v>97</v>
      </c>
      <c r="C16" s="101" t="s">
        <v>82</v>
      </c>
      <c r="D16" s="67"/>
    </row>
    <row r="17" spans="1:63" ht="47.5" customHeight="1" x14ac:dyDescent="0.4">
      <c r="A17" s="99" t="s">
        <v>22</v>
      </c>
      <c r="B17" s="44" t="s">
        <v>101</v>
      </c>
      <c r="C17" s="101"/>
      <c r="D17" s="67"/>
    </row>
    <row r="18" spans="1:63" ht="47.5" customHeight="1" x14ac:dyDescent="0.4">
      <c r="A18" s="99"/>
      <c r="B18" s="8" t="s">
        <v>163</v>
      </c>
      <c r="C18" s="93" t="s">
        <v>164</v>
      </c>
      <c r="D18" s="67"/>
    </row>
    <row r="19" spans="1:63" ht="71.5" customHeight="1" x14ac:dyDescent="0.4">
      <c r="A19" s="99"/>
      <c r="B19" s="36" t="s">
        <v>87</v>
      </c>
      <c r="C19" s="93"/>
      <c r="D19" s="67"/>
    </row>
    <row r="20" spans="1:63" s="9" customFormat="1" ht="23.5" x14ac:dyDescent="0.4">
      <c r="C20" s="10" t="s">
        <v>15</v>
      </c>
      <c r="D20" s="9">
        <f>SUM(D8:D19)</f>
        <v>0</v>
      </c>
      <c r="BK20" s="19"/>
    </row>
    <row r="21" spans="1:63" x14ac:dyDescent="0.4">
      <c r="D21" s="1" t="str">
        <f>IF(OR(
  AND(D20&gt;=90, COUNTIF($D$20:$Z$20, "&gt;=90")/COUNTA($D$20:$Z$20)&gt;0.05),
  AND(D20&gt;=80,D20&lt;=89, (COUNTIF($D$20:$Z$20, "&gt;=80")-COUNTIF($D$20:$Z$20, "&gt;=90"))/COUNTA($D$20:$Z$20)&gt;0.2),
  AND(D20&gt;=70,D20&lt;=79, (COUNTIF($D$20:$Z$20, "&gt;=70")-COUNTIF($D$20:$Z$20, "&gt;=80"))/COUNTA($D$20:$Z$20)&gt;0.4),
  AND(D20&gt;=60,D20&lt;=69, (COUNTIF($D$20:$Z$20, "&gt;=60")-COUNTIF($D$20:$Z$20, "&gt;=70"))/COUNTA($D$20:$Z$20)&gt;0.3),
  AND(D20&lt;=59, COUNTIF($D$20:$Z$20, "&lt;=59")/COUNTA($D$20:$Z$20)&gt;0.05)
), "⚠ 超標！", "")</f>
        <v>⚠ 超標！</v>
      </c>
    </row>
  </sheetData>
  <mergeCells count="10">
    <mergeCell ref="C18:C19"/>
    <mergeCell ref="A1:I1"/>
    <mergeCell ref="A2:I2"/>
    <mergeCell ref="A6:C6"/>
    <mergeCell ref="A11:A15"/>
    <mergeCell ref="A17:A19"/>
    <mergeCell ref="C10:C11"/>
    <mergeCell ref="C12:C13"/>
    <mergeCell ref="C14:C15"/>
    <mergeCell ref="C16:C17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23"/>
  <sheetViews>
    <sheetView topLeftCell="A16" zoomScale="90" zoomScaleNormal="90" workbookViewId="0">
      <selection activeCell="B16" sqref="B16:C17"/>
    </sheetView>
  </sheetViews>
  <sheetFormatPr defaultRowHeight="15.5" x14ac:dyDescent="0.4"/>
  <cols>
    <col min="1" max="1" width="24.1796875" style="1" customWidth="1"/>
    <col min="2" max="2" width="57.36328125" style="1" customWidth="1"/>
    <col min="3" max="3" width="36.36328125" style="1" customWidth="1"/>
    <col min="4" max="4" width="23.36328125" style="1" customWidth="1"/>
    <col min="5" max="5" width="8.7265625" style="1"/>
    <col min="6" max="6" width="25.453125" style="1" bestFit="1" customWidth="1"/>
    <col min="7" max="7" width="30.6328125" style="1" bestFit="1" customWidth="1"/>
    <col min="8" max="8" width="32.81640625" style="1" bestFit="1" customWidth="1"/>
    <col min="9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37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4" t="s">
        <v>4</v>
      </c>
      <c r="B7" s="4" t="s">
        <v>5</v>
      </c>
      <c r="C7" s="4" t="s">
        <v>6</v>
      </c>
      <c r="F7" s="50"/>
      <c r="G7" s="50"/>
      <c r="H7" s="50"/>
    </row>
    <row r="8" spans="1:9" ht="33" customHeight="1" x14ac:dyDescent="0.4">
      <c r="A8" s="73" t="s">
        <v>19</v>
      </c>
      <c r="B8" s="8" t="s">
        <v>68</v>
      </c>
      <c r="C8" s="8" t="s">
        <v>69</v>
      </c>
      <c r="F8" s="106"/>
      <c r="G8" s="51"/>
      <c r="H8" s="51"/>
    </row>
    <row r="9" spans="1:9" ht="32" customHeight="1" x14ac:dyDescent="0.4">
      <c r="A9" s="73"/>
      <c r="B9" s="5" t="s">
        <v>24</v>
      </c>
      <c r="C9" s="5" t="s">
        <v>23</v>
      </c>
      <c r="F9" s="106"/>
      <c r="G9" s="52"/>
      <c r="H9" s="52"/>
    </row>
    <row r="10" spans="1:9" ht="115.5" customHeight="1" x14ac:dyDescent="0.4">
      <c r="A10" s="7" t="s">
        <v>9</v>
      </c>
      <c r="B10" s="24" t="s">
        <v>10</v>
      </c>
      <c r="C10" s="25" t="s">
        <v>17</v>
      </c>
      <c r="F10" s="50"/>
      <c r="G10" s="52"/>
      <c r="H10" s="51"/>
    </row>
    <row r="11" spans="1:9" ht="65" customHeight="1" x14ac:dyDescent="0.4">
      <c r="A11" s="28"/>
      <c r="B11" s="6" t="s">
        <v>102</v>
      </c>
      <c r="C11" s="104" t="s">
        <v>70</v>
      </c>
      <c r="D11" s="92"/>
      <c r="F11" s="107"/>
      <c r="G11" s="51"/>
      <c r="H11" s="53"/>
    </row>
    <row r="12" spans="1:9" ht="38" customHeight="1" x14ac:dyDescent="0.4">
      <c r="A12" s="72" t="s">
        <v>76</v>
      </c>
      <c r="B12" s="33" t="s">
        <v>103</v>
      </c>
      <c r="C12" s="104"/>
      <c r="D12" s="92"/>
      <c r="F12" s="106"/>
      <c r="G12" s="51"/>
      <c r="H12" s="51"/>
    </row>
    <row r="13" spans="1:9" ht="76" customHeight="1" x14ac:dyDescent="0.4">
      <c r="A13" s="72"/>
      <c r="B13" s="25" t="s">
        <v>104</v>
      </c>
      <c r="C13" s="103" t="s">
        <v>83</v>
      </c>
      <c r="D13" s="92"/>
      <c r="F13" s="106"/>
      <c r="G13" s="51"/>
      <c r="H13" s="51"/>
    </row>
    <row r="14" spans="1:9" ht="43.5" customHeight="1" x14ac:dyDescent="0.4">
      <c r="A14" s="73"/>
      <c r="B14" s="34" t="s">
        <v>88</v>
      </c>
      <c r="C14" s="103"/>
      <c r="D14" s="92"/>
      <c r="F14" s="107"/>
      <c r="G14" s="51"/>
      <c r="H14" s="53"/>
    </row>
    <row r="15" spans="1:9" ht="126" x14ac:dyDescent="0.4">
      <c r="A15" s="73"/>
      <c r="B15" s="49" t="s">
        <v>175</v>
      </c>
      <c r="C15" s="49" t="s">
        <v>176</v>
      </c>
      <c r="F15" s="107"/>
      <c r="G15" s="51"/>
      <c r="H15" s="51"/>
    </row>
    <row r="16" spans="1:9" ht="57" customHeight="1" x14ac:dyDescent="0.4">
      <c r="A16" s="28"/>
      <c r="B16" s="65" t="s">
        <v>180</v>
      </c>
      <c r="C16" s="105" t="s">
        <v>182</v>
      </c>
      <c r="D16" s="92"/>
      <c r="F16" s="107"/>
      <c r="G16" s="51"/>
      <c r="H16" s="51"/>
    </row>
    <row r="17" spans="1:8" ht="54" customHeight="1" x14ac:dyDescent="0.4">
      <c r="A17" s="72" t="s">
        <v>34</v>
      </c>
      <c r="B17" s="34" t="s">
        <v>84</v>
      </c>
      <c r="C17" s="105"/>
      <c r="D17" s="92"/>
      <c r="G17" s="54"/>
      <c r="H17" s="54"/>
    </row>
    <row r="18" spans="1:8" ht="54" customHeight="1" x14ac:dyDescent="0.4">
      <c r="A18" s="72"/>
      <c r="B18" s="6" t="s">
        <v>171</v>
      </c>
      <c r="C18" s="102" t="s">
        <v>172</v>
      </c>
      <c r="D18" s="92"/>
    </row>
    <row r="19" spans="1:8" ht="57.5" customHeight="1" x14ac:dyDescent="0.4">
      <c r="A19" s="72"/>
      <c r="B19" s="33" t="s">
        <v>105</v>
      </c>
      <c r="C19" s="102"/>
      <c r="D19" s="92"/>
    </row>
    <row r="20" spans="1:8" ht="57.5" customHeight="1" x14ac:dyDescent="0.4">
      <c r="A20" s="72"/>
      <c r="B20" s="25" t="s">
        <v>169</v>
      </c>
      <c r="C20" s="103" t="s">
        <v>170</v>
      </c>
      <c r="D20" s="92"/>
    </row>
    <row r="21" spans="1:8" ht="64" customHeight="1" x14ac:dyDescent="0.4">
      <c r="A21" s="72"/>
      <c r="B21" s="34" t="s">
        <v>106</v>
      </c>
      <c r="C21" s="103"/>
      <c r="D21" s="92"/>
    </row>
    <row r="22" spans="1:8" s="9" customFormat="1" ht="50.5" customHeight="1" x14ac:dyDescent="0.4">
      <c r="B22" s="20"/>
      <c r="C22" s="10" t="s">
        <v>15</v>
      </c>
      <c r="D22" s="9">
        <f>SUM(D8:D21)</f>
        <v>0</v>
      </c>
    </row>
    <row r="23" spans="1:8" x14ac:dyDescent="0.4">
      <c r="D23" s="1" t="str">
        <f>IF(OR(
  AND(D22&gt;=90, COUNTIF($D$22:$Z$22, "&gt;=90")/COUNTA($D$22:$Z$22)&gt;0.05),
  AND(D22&gt;=80,D22&lt;=89, (COUNTIF($D$22:$Z$22, "&gt;=80")-COUNTIF($D$22:$Z$22, "&gt;=90"))/COUNTA($D$22:$Z$22)&gt;0.2),
  AND(D22&gt;=70,D22&lt;=79, (COUNTIF($D$22:$Z$22, "&gt;=70")-COUNTIF($D$22:$Z$22, "&gt;=80"))/COUNTA($D$22:$Z$22)&gt;0.4),
  AND(D22&gt;=60,D22&lt;=69, (COUNTIF($D$22:$Z$22, "&gt;=60")-COUNTIF($D$22:$Z$22, "&gt;=70"))/COUNTA($D$22:$Z$22)&gt;0.3),
  AND(D22&lt;=59, COUNTIF($D$22:$Z$22, "&lt;=59")/COUNTA($D$22:$Z$22)&gt;0.05)
), "⚠ 超標！", "")</f>
        <v>⚠ 超標！</v>
      </c>
    </row>
  </sheetData>
  <mergeCells count="19">
    <mergeCell ref="F8:F9"/>
    <mergeCell ref="F11:F13"/>
    <mergeCell ref="F14:F16"/>
    <mergeCell ref="C18:C19"/>
    <mergeCell ref="D20:D21"/>
    <mergeCell ref="C20:C21"/>
    <mergeCell ref="A1:I1"/>
    <mergeCell ref="A2:I2"/>
    <mergeCell ref="A6:C6"/>
    <mergeCell ref="A12:A15"/>
    <mergeCell ref="A17:A21"/>
    <mergeCell ref="A8:A9"/>
    <mergeCell ref="D11:D12"/>
    <mergeCell ref="C11:C12"/>
    <mergeCell ref="D13:D14"/>
    <mergeCell ref="C13:C14"/>
    <mergeCell ref="D16:D17"/>
    <mergeCell ref="C16:C17"/>
    <mergeCell ref="D18:D19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I19"/>
  <sheetViews>
    <sheetView topLeftCell="A2" zoomScale="70" zoomScaleNormal="70" workbookViewId="0">
      <selection activeCell="D16" sqref="D16:D17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42.726562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43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4" t="s">
        <v>4</v>
      </c>
      <c r="B7" s="4" t="s">
        <v>5</v>
      </c>
      <c r="C7" s="4" t="s">
        <v>6</v>
      </c>
    </row>
    <row r="8" spans="1:9" ht="86" customHeight="1" x14ac:dyDescent="0.4">
      <c r="A8" s="73" t="s">
        <v>20</v>
      </c>
      <c r="B8" s="8" t="s">
        <v>71</v>
      </c>
      <c r="C8" s="8" t="s">
        <v>74</v>
      </c>
    </row>
    <row r="9" spans="1:9" ht="76.5" customHeight="1" x14ac:dyDescent="0.4">
      <c r="A9" s="73"/>
      <c r="B9" s="6" t="s">
        <v>72</v>
      </c>
      <c r="C9" s="6" t="s">
        <v>75</v>
      </c>
    </row>
    <row r="10" spans="1:9" ht="61" customHeight="1" x14ac:dyDescent="0.4">
      <c r="A10" s="7" t="s">
        <v>9</v>
      </c>
      <c r="B10" s="24" t="s">
        <v>10</v>
      </c>
      <c r="C10" s="25" t="s">
        <v>73</v>
      </c>
    </row>
    <row r="11" spans="1:9" ht="61" customHeight="1" x14ac:dyDescent="0.4">
      <c r="A11" s="28"/>
      <c r="B11" s="6" t="s">
        <v>109</v>
      </c>
      <c r="C11" s="104" t="s">
        <v>38</v>
      </c>
      <c r="D11" s="92"/>
    </row>
    <row r="12" spans="1:9" x14ac:dyDescent="0.4">
      <c r="A12" s="72" t="s">
        <v>41</v>
      </c>
      <c r="B12" s="33" t="s">
        <v>107</v>
      </c>
      <c r="C12" s="104"/>
      <c r="D12" s="92"/>
    </row>
    <row r="13" spans="1:9" ht="110" customHeight="1" x14ac:dyDescent="0.4">
      <c r="A13" s="73"/>
      <c r="B13" s="25" t="s">
        <v>39</v>
      </c>
      <c r="C13" s="25" t="s">
        <v>40</v>
      </c>
    </row>
    <row r="14" spans="1:9" ht="71.5" customHeight="1" x14ac:dyDescent="0.4">
      <c r="A14" s="28"/>
      <c r="B14" s="6" t="s">
        <v>111</v>
      </c>
      <c r="C14" s="104" t="s">
        <v>35</v>
      </c>
      <c r="D14" s="92"/>
    </row>
    <row r="15" spans="1:9" ht="27.5" customHeight="1" x14ac:dyDescent="0.4">
      <c r="A15" s="72" t="s">
        <v>42</v>
      </c>
      <c r="B15" s="33" t="s">
        <v>110</v>
      </c>
      <c r="C15" s="104"/>
      <c r="D15" s="92"/>
    </row>
    <row r="16" spans="1:9" ht="27.5" customHeight="1" x14ac:dyDescent="0.4">
      <c r="A16" s="72"/>
      <c r="B16" s="25" t="s">
        <v>112</v>
      </c>
      <c r="C16" s="103" t="s">
        <v>67</v>
      </c>
      <c r="D16" s="92"/>
    </row>
    <row r="17" spans="1:4" x14ac:dyDescent="0.4">
      <c r="A17" s="72"/>
      <c r="B17" s="34" t="s">
        <v>113</v>
      </c>
      <c r="C17" s="103"/>
      <c r="D17" s="92"/>
    </row>
    <row r="18" spans="1:4" s="9" customFormat="1" ht="50.5" customHeight="1" x14ac:dyDescent="0.4">
      <c r="B18" s="20"/>
      <c r="C18" s="10" t="s">
        <v>15</v>
      </c>
      <c r="D18" s="9">
        <f>SUM(D8:D17)</f>
        <v>0</v>
      </c>
    </row>
    <row r="19" spans="1:4" x14ac:dyDescent="0.4">
      <c r="D19" s="1" t="str">
        <f>IF(OR(
  AND(D18&gt;=90, COUNTIF($D$18:$Z$18, "&gt;=90")/COUNTA($D$18:$Z$18)&gt;0.05),
  AND(D18&gt;=80,D18&lt;=89, (COUNTIF($D$18:$Z$18, "&gt;=80")-COUNTIF($D$18:$Z$18, "&gt;=90"))/COUNTA($D$18:$Z$18)&gt;0.2),
  AND(D18&gt;=70,D18&lt;=79, (COUNTIF($D$18:$Z$18, "&gt;=70")-COUNTIF($D$18:$Z$18, "&gt;=80"))/COUNTA($D$18:$Z$18)&gt;0.4),
  AND(D18&gt;=60,D18&lt;=69, (COUNTIF($D$18:$Z$18, "&gt;=60")-COUNTIF($D$18:$Z$18, "&gt;=70"))/COUNTA($D$18:$Z$18)&gt;0.3),
  AND(D18&lt;=59, COUNTIF($D$18:$Z$18, "&lt;=59")/COUNTA($D$18:$Z$18)&gt;0.05)
), "⚠ 超標！", "")</f>
        <v>⚠ 超標！</v>
      </c>
    </row>
  </sheetData>
  <mergeCells count="12">
    <mergeCell ref="A1:I1"/>
    <mergeCell ref="A2:I2"/>
    <mergeCell ref="A6:C6"/>
    <mergeCell ref="A12:A13"/>
    <mergeCell ref="A15:A17"/>
    <mergeCell ref="A8:A9"/>
    <mergeCell ref="D11:D12"/>
    <mergeCell ref="C11:C12"/>
    <mergeCell ref="D14:D15"/>
    <mergeCell ref="C14:C15"/>
    <mergeCell ref="D16:D17"/>
    <mergeCell ref="C16:C17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19"/>
  <sheetViews>
    <sheetView topLeftCell="A13" zoomScale="70" zoomScaleNormal="70" workbookViewId="0">
      <selection activeCell="B17" sqref="B17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36.3632812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44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22" t="s">
        <v>4</v>
      </c>
      <c r="B7" s="22" t="s">
        <v>5</v>
      </c>
      <c r="C7" s="22" t="s">
        <v>6</v>
      </c>
    </row>
    <row r="8" spans="1:9" ht="84" x14ac:dyDescent="0.4">
      <c r="A8" s="73" t="s">
        <v>19</v>
      </c>
      <c r="B8" s="8" t="s">
        <v>71</v>
      </c>
      <c r="C8" s="8" t="s">
        <v>74</v>
      </c>
    </row>
    <row r="9" spans="1:9" ht="84" x14ac:dyDescent="0.4">
      <c r="A9" s="73"/>
      <c r="B9" s="6" t="s">
        <v>72</v>
      </c>
      <c r="C9" s="6" t="s">
        <v>75</v>
      </c>
    </row>
    <row r="10" spans="1:9" ht="53" customHeight="1" x14ac:dyDescent="0.4">
      <c r="A10" s="21" t="s">
        <v>9</v>
      </c>
      <c r="B10" s="24" t="s">
        <v>10</v>
      </c>
      <c r="C10" s="25" t="s">
        <v>17</v>
      </c>
    </row>
    <row r="11" spans="1:9" ht="53" customHeight="1" x14ac:dyDescent="0.4">
      <c r="A11" s="28"/>
      <c r="B11" s="6" t="s">
        <v>108</v>
      </c>
      <c r="C11" s="104" t="s">
        <v>38</v>
      </c>
      <c r="D11" s="92"/>
    </row>
    <row r="12" spans="1:9" ht="53" customHeight="1" x14ac:dyDescent="0.4">
      <c r="A12" s="72" t="s">
        <v>22</v>
      </c>
      <c r="B12" s="33" t="s">
        <v>114</v>
      </c>
      <c r="C12" s="104"/>
      <c r="D12" s="92"/>
    </row>
    <row r="13" spans="1:9" ht="105" x14ac:dyDescent="0.4">
      <c r="A13" s="73"/>
      <c r="B13" s="25" t="s">
        <v>39</v>
      </c>
      <c r="C13" s="25" t="s">
        <v>12</v>
      </c>
    </row>
    <row r="14" spans="1:9" ht="43.5" customHeight="1" x14ac:dyDescent="0.4">
      <c r="A14" s="28"/>
      <c r="B14" s="6" t="s">
        <v>115</v>
      </c>
      <c r="C14" s="104" t="s">
        <v>35</v>
      </c>
      <c r="D14" s="92"/>
    </row>
    <row r="15" spans="1:9" ht="58.5" customHeight="1" x14ac:dyDescent="0.4">
      <c r="A15" s="72" t="s">
        <v>42</v>
      </c>
      <c r="B15" s="33" t="s">
        <v>110</v>
      </c>
      <c r="C15" s="104"/>
      <c r="D15" s="92"/>
    </row>
    <row r="16" spans="1:9" ht="49" customHeight="1" x14ac:dyDescent="0.4">
      <c r="A16" s="72"/>
      <c r="B16" s="25" t="s">
        <v>112</v>
      </c>
      <c r="C16" s="103" t="s">
        <v>66</v>
      </c>
      <c r="D16" s="92"/>
    </row>
    <row r="17" spans="1:4" ht="29" customHeight="1" x14ac:dyDescent="0.4">
      <c r="A17" s="72"/>
      <c r="B17" s="34" t="s">
        <v>116</v>
      </c>
      <c r="C17" s="103"/>
      <c r="D17" s="92"/>
    </row>
    <row r="18" spans="1:4" s="9" customFormat="1" ht="50.5" customHeight="1" x14ac:dyDescent="0.4">
      <c r="B18" s="20"/>
      <c r="C18" s="10" t="s">
        <v>15</v>
      </c>
      <c r="D18" s="9">
        <f>SUM(D8:D17)</f>
        <v>0</v>
      </c>
    </row>
    <row r="19" spans="1:4" x14ac:dyDescent="0.4">
      <c r="D19" s="1" t="str">
        <f>IF(OR(
  AND(D18&gt;=90, COUNTIF($D$18:$Z$18, "&gt;=90")/COUNTA($D$18:$Z$18)&gt;0.05),
  AND(D18&gt;=80,D18&lt;=89, (COUNTIF($D$18:$Z$18, "&gt;=80")-COUNTIF($D$18:$Z$18, "&gt;=90"))/COUNTA($D$18:$Z$18)&gt;0.2),
  AND(D18&gt;=70,D18&lt;=79, (COUNTIF($D$18:$Z$18, "&gt;=70")-COUNTIF($D$18:$Z$18, "&gt;=80"))/COUNTA($D$18:$Z$18)&gt;0.4),
  AND(D18&gt;=60,D18&lt;=69, (COUNTIF($D$18:$Z$18, "&gt;=60")-COUNTIF($D$18:$Z$18, "&gt;=70"))/COUNTA($D$18:$Z$18)&gt;0.3),
  AND(D18&lt;=59, COUNTIF($D$18:$Z$18, "&lt;=59")/COUNTA($D$18:$Z$18)&gt;0.05)
), "⚠ 超標！", "")</f>
        <v>⚠ 超標！</v>
      </c>
    </row>
  </sheetData>
  <mergeCells count="12">
    <mergeCell ref="A1:I1"/>
    <mergeCell ref="A2:I2"/>
    <mergeCell ref="A6:C6"/>
    <mergeCell ref="A12:A13"/>
    <mergeCell ref="A15:A17"/>
    <mergeCell ref="A8:A9"/>
    <mergeCell ref="D11:D12"/>
    <mergeCell ref="C11:C12"/>
    <mergeCell ref="D14:D15"/>
    <mergeCell ref="C14:C15"/>
    <mergeCell ref="D16:D17"/>
    <mergeCell ref="C16:C17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20"/>
  <sheetViews>
    <sheetView topLeftCell="A13" zoomScale="80" zoomScaleNormal="80" workbookViewId="0">
      <selection activeCell="D17" sqref="D17:D18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42.5429687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45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22" t="s">
        <v>4</v>
      </c>
      <c r="B7" s="22" t="s">
        <v>5</v>
      </c>
      <c r="C7" s="22" t="s">
        <v>6</v>
      </c>
    </row>
    <row r="8" spans="1:9" ht="63" x14ac:dyDescent="0.4">
      <c r="A8" s="73" t="s">
        <v>19</v>
      </c>
      <c r="B8" s="8" t="s">
        <v>71</v>
      </c>
      <c r="C8" s="8" t="s">
        <v>74</v>
      </c>
    </row>
    <row r="9" spans="1:9" ht="63" x14ac:dyDescent="0.4">
      <c r="A9" s="73"/>
      <c r="B9" s="6" t="s">
        <v>72</v>
      </c>
      <c r="C9" s="6" t="s">
        <v>75</v>
      </c>
    </row>
    <row r="10" spans="1:9" ht="65.5" customHeight="1" x14ac:dyDescent="0.4">
      <c r="A10" s="21" t="s">
        <v>9</v>
      </c>
      <c r="B10" s="24" t="s">
        <v>10</v>
      </c>
      <c r="C10" s="25" t="s">
        <v>17</v>
      </c>
    </row>
    <row r="11" spans="1:9" ht="65.5" customHeight="1" x14ac:dyDescent="0.4">
      <c r="A11" s="28"/>
      <c r="B11" s="6" t="s">
        <v>118</v>
      </c>
      <c r="C11" s="104" t="s">
        <v>51</v>
      </c>
      <c r="D11" s="92"/>
    </row>
    <row r="12" spans="1:9" ht="49.5" customHeight="1" x14ac:dyDescent="0.4">
      <c r="A12" s="72" t="s">
        <v>22</v>
      </c>
      <c r="B12" s="33" t="s">
        <v>117</v>
      </c>
      <c r="C12" s="104"/>
      <c r="D12" s="92"/>
    </row>
    <row r="13" spans="1:9" ht="49.5" customHeight="1" x14ac:dyDescent="0.4">
      <c r="A13" s="72"/>
      <c r="B13" s="25" t="s">
        <v>119</v>
      </c>
      <c r="C13" s="103" t="s">
        <v>47</v>
      </c>
      <c r="D13" s="92"/>
    </row>
    <row r="14" spans="1:9" ht="38.5" customHeight="1" x14ac:dyDescent="0.4">
      <c r="A14" s="73"/>
      <c r="B14" s="34" t="s">
        <v>120</v>
      </c>
      <c r="C14" s="103"/>
      <c r="D14" s="92"/>
    </row>
    <row r="15" spans="1:9" ht="38.5" customHeight="1" x14ac:dyDescent="0.4">
      <c r="A15" s="28"/>
      <c r="B15" s="6" t="s">
        <v>121</v>
      </c>
      <c r="C15" s="104" t="s">
        <v>35</v>
      </c>
      <c r="D15" s="92"/>
    </row>
    <row r="16" spans="1:9" ht="53.5" customHeight="1" x14ac:dyDescent="0.4">
      <c r="A16" s="72" t="s">
        <v>42</v>
      </c>
      <c r="B16" s="33" t="s">
        <v>122</v>
      </c>
      <c r="C16" s="104"/>
      <c r="D16" s="92"/>
    </row>
    <row r="17" spans="1:4" ht="53.5" customHeight="1" x14ac:dyDescent="0.4">
      <c r="A17" s="72"/>
      <c r="B17" s="25" t="s">
        <v>89</v>
      </c>
      <c r="C17" s="103" t="s">
        <v>65</v>
      </c>
      <c r="D17" s="92"/>
    </row>
    <row r="18" spans="1:4" x14ac:dyDescent="0.4">
      <c r="A18" s="72"/>
      <c r="B18" s="34" t="s">
        <v>113</v>
      </c>
      <c r="C18" s="103"/>
      <c r="D18" s="92"/>
    </row>
    <row r="19" spans="1:4" s="9" customFormat="1" ht="50.5" customHeight="1" x14ac:dyDescent="0.4">
      <c r="B19" s="20"/>
      <c r="C19" s="10" t="s">
        <v>15</v>
      </c>
      <c r="D19" s="9">
        <f>SUM(D8:D18)</f>
        <v>0</v>
      </c>
    </row>
    <row r="20" spans="1:4" x14ac:dyDescent="0.4">
      <c r="D20" s="1" t="str">
        <f>IF(OR(
  AND(D19&gt;=90, COUNTIF($D$19:$Z$19, "&gt;=90")/COUNTA($D$19:$Z$19)&gt;0.05),
  AND(D19&gt;=80,D19&lt;=89, (COUNTIF($D$19:$Z$19, "&gt;=80")-COUNTIF($D$19:$Z$19, "&gt;=90"))/COUNTA($D$19:$Z$19)&gt;0.2),
  AND(D19&gt;=70,D19&lt;=79, (COUNTIF($D$19:$Z$19, "&gt;=70")-COUNTIF($D$19:$Z$19, "&gt;=80"))/COUNTA($D$19:$Z$19)&gt;0.4),
  AND(D19&gt;=60,D19&lt;=69, (COUNTIF($D$19:$Z$19, "&gt;=60")-COUNTIF($D$19:$Z$19, "&gt;=70"))/COUNTA($D$19:$Z$19)&gt;0.3),
  AND(D19&lt;=59, COUNTIF($D$19:$Z$19, "&lt;=59")/COUNTA($D$19:$Z$19)&gt;0.05)
), "⚠ 超標！", "")</f>
        <v>⚠ 超標！</v>
      </c>
    </row>
  </sheetData>
  <mergeCells count="14">
    <mergeCell ref="C17:C18"/>
    <mergeCell ref="A1:I1"/>
    <mergeCell ref="A2:I2"/>
    <mergeCell ref="A6:C6"/>
    <mergeCell ref="A12:A14"/>
    <mergeCell ref="A16:A18"/>
    <mergeCell ref="A8:A9"/>
    <mergeCell ref="D11:D12"/>
    <mergeCell ref="C11:C12"/>
    <mergeCell ref="D13:D14"/>
    <mergeCell ref="C13:C14"/>
    <mergeCell ref="D15:D16"/>
    <mergeCell ref="C15:C16"/>
    <mergeCell ref="D17:D18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I20"/>
  <sheetViews>
    <sheetView topLeftCell="A10" workbookViewId="0">
      <selection activeCell="B18" sqref="B18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36.3632812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49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22" t="s">
        <v>4</v>
      </c>
      <c r="B7" s="22" t="s">
        <v>5</v>
      </c>
      <c r="C7" s="22" t="s">
        <v>6</v>
      </c>
    </row>
    <row r="8" spans="1:9" ht="84" x14ac:dyDescent="0.4">
      <c r="A8" s="73" t="s">
        <v>19</v>
      </c>
      <c r="B8" s="8" t="s">
        <v>71</v>
      </c>
      <c r="C8" s="8" t="s">
        <v>74</v>
      </c>
    </row>
    <row r="9" spans="1:9" ht="84" x14ac:dyDescent="0.4">
      <c r="A9" s="73"/>
      <c r="B9" s="6" t="s">
        <v>72</v>
      </c>
      <c r="C9" s="6" t="s">
        <v>75</v>
      </c>
    </row>
    <row r="10" spans="1:9" ht="53" customHeight="1" x14ac:dyDescent="0.4">
      <c r="A10" s="21" t="s">
        <v>9</v>
      </c>
      <c r="B10" s="24" t="s">
        <v>10</v>
      </c>
      <c r="C10" s="25" t="s">
        <v>17</v>
      </c>
    </row>
    <row r="11" spans="1:9" ht="53" customHeight="1" x14ac:dyDescent="0.4">
      <c r="A11" s="28"/>
      <c r="B11" s="6" t="s">
        <v>123</v>
      </c>
      <c r="C11" s="104" t="s">
        <v>46</v>
      </c>
      <c r="D11" s="92"/>
    </row>
    <row r="12" spans="1:9" ht="57.5" customHeight="1" x14ac:dyDescent="0.4">
      <c r="A12" s="72" t="s">
        <v>22</v>
      </c>
      <c r="B12" s="33" t="s">
        <v>124</v>
      </c>
      <c r="C12" s="104"/>
      <c r="D12" s="92"/>
    </row>
    <row r="13" spans="1:9" ht="46" customHeight="1" x14ac:dyDescent="0.4">
      <c r="A13" s="72"/>
      <c r="B13" s="25" t="s">
        <v>125</v>
      </c>
      <c r="C13" s="103" t="s">
        <v>47</v>
      </c>
      <c r="D13" s="92"/>
    </row>
    <row r="14" spans="1:9" ht="22" customHeight="1" x14ac:dyDescent="0.4">
      <c r="A14" s="73"/>
      <c r="B14" s="34" t="s">
        <v>120</v>
      </c>
      <c r="C14" s="103"/>
      <c r="D14" s="92"/>
    </row>
    <row r="15" spans="1:9" ht="22" customHeight="1" x14ac:dyDescent="0.4">
      <c r="A15" s="28"/>
      <c r="B15" s="6" t="s">
        <v>126</v>
      </c>
      <c r="C15" s="104" t="s">
        <v>35</v>
      </c>
      <c r="D15" s="92"/>
    </row>
    <row r="16" spans="1:9" ht="50" customHeight="1" x14ac:dyDescent="0.4">
      <c r="A16" s="72" t="s">
        <v>42</v>
      </c>
      <c r="B16" s="33" t="s">
        <v>122</v>
      </c>
      <c r="C16" s="104"/>
      <c r="D16" s="92"/>
    </row>
    <row r="17" spans="1:4" ht="50" customHeight="1" x14ac:dyDescent="0.4">
      <c r="A17" s="72"/>
      <c r="B17" s="25" t="s">
        <v>127</v>
      </c>
      <c r="C17" s="103" t="s">
        <v>64</v>
      </c>
      <c r="D17" s="92"/>
    </row>
    <row r="18" spans="1:4" x14ac:dyDescent="0.4">
      <c r="A18" s="72"/>
      <c r="B18" s="34" t="s">
        <v>113</v>
      </c>
      <c r="C18" s="103"/>
      <c r="D18" s="92"/>
    </row>
    <row r="19" spans="1:4" s="9" customFormat="1" ht="50.5" customHeight="1" x14ac:dyDescent="0.4">
      <c r="B19" s="20"/>
      <c r="C19" s="10" t="s">
        <v>15</v>
      </c>
      <c r="D19" s="9">
        <f>SUM(D8:D18)</f>
        <v>0</v>
      </c>
    </row>
    <row r="20" spans="1:4" x14ac:dyDescent="0.4">
      <c r="D20" s="1" t="str">
        <f>IF(OR(
  AND(D19&gt;=90, COUNTIF($D$19:$Z$19, "&gt;=90")/COUNTA($D$19:$Z$19)&gt;0.05),
  AND(D19&gt;=80,D19&lt;=89, (COUNTIF($D$19:$Z$19, "&gt;=80")-COUNTIF($D$19:$Z$19, "&gt;=90"))/COUNTA($D$19:$Z$19)&gt;0.2),
  AND(D19&gt;=70,D19&lt;=79, (COUNTIF($D$19:$Z$19, "&gt;=70")-COUNTIF($D$19:$Z$19, "&gt;=80"))/COUNTA($D$19:$Z$19)&gt;0.4),
  AND(D19&gt;=60,D19&lt;=69, (COUNTIF($D$19:$Z$19, "&gt;=60")-COUNTIF($D$19:$Z$19, "&gt;=70"))/COUNTA($D$19:$Z$19)&gt;0.3),
  AND(D19&lt;=59, COUNTIF($D$19:$Z$19, "&lt;=59")/COUNTA($D$19:$Z$19)&gt;0.05)
), "⚠ 超標！", "")</f>
        <v>⚠ 超標！</v>
      </c>
    </row>
  </sheetData>
  <mergeCells count="14">
    <mergeCell ref="C17:C18"/>
    <mergeCell ref="A1:I1"/>
    <mergeCell ref="A2:I2"/>
    <mergeCell ref="A6:C6"/>
    <mergeCell ref="A12:A14"/>
    <mergeCell ref="A16:A18"/>
    <mergeCell ref="A8:A9"/>
    <mergeCell ref="D11:D12"/>
    <mergeCell ref="C11:C12"/>
    <mergeCell ref="D13:D14"/>
    <mergeCell ref="C13:C14"/>
    <mergeCell ref="D15:D16"/>
    <mergeCell ref="C15:C16"/>
    <mergeCell ref="D17:D18"/>
  </mergeCells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I19"/>
  <sheetViews>
    <sheetView topLeftCell="A10" workbookViewId="0">
      <selection activeCell="B17" sqref="B17"/>
    </sheetView>
  </sheetViews>
  <sheetFormatPr defaultRowHeight="15.5" x14ac:dyDescent="0.4"/>
  <cols>
    <col min="1" max="1" width="22" style="1" customWidth="1"/>
    <col min="2" max="2" width="50.7265625" style="1" customWidth="1"/>
    <col min="3" max="3" width="43.726562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48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22" t="s">
        <v>4</v>
      </c>
      <c r="B7" s="22" t="s">
        <v>5</v>
      </c>
      <c r="C7" s="22" t="s">
        <v>6</v>
      </c>
    </row>
    <row r="8" spans="1:9" ht="63" x14ac:dyDescent="0.4">
      <c r="A8" s="73" t="s">
        <v>19</v>
      </c>
      <c r="B8" s="8" t="s">
        <v>71</v>
      </c>
      <c r="C8" s="8" t="s">
        <v>74</v>
      </c>
    </row>
    <row r="9" spans="1:9" ht="63" x14ac:dyDescent="0.4">
      <c r="A9" s="73"/>
      <c r="B9" s="6" t="s">
        <v>72</v>
      </c>
      <c r="C9" s="6" t="s">
        <v>75</v>
      </c>
    </row>
    <row r="10" spans="1:9" ht="53" customHeight="1" x14ac:dyDescent="0.4">
      <c r="A10" s="21" t="s">
        <v>9</v>
      </c>
      <c r="B10" s="24" t="s">
        <v>10</v>
      </c>
      <c r="C10" s="25" t="s">
        <v>17</v>
      </c>
    </row>
    <row r="11" spans="1:9" ht="53" customHeight="1" x14ac:dyDescent="0.4">
      <c r="A11" s="28"/>
      <c r="B11" s="6" t="s">
        <v>109</v>
      </c>
      <c r="C11" s="104" t="s">
        <v>38</v>
      </c>
      <c r="D11" s="92"/>
    </row>
    <row r="12" spans="1:9" ht="73" customHeight="1" x14ac:dyDescent="0.4">
      <c r="A12" s="72" t="s">
        <v>22</v>
      </c>
      <c r="B12" s="33" t="s">
        <v>107</v>
      </c>
      <c r="C12" s="104"/>
      <c r="D12" s="92"/>
    </row>
    <row r="13" spans="1:9" ht="105" x14ac:dyDescent="0.4">
      <c r="A13" s="73"/>
      <c r="B13" s="25" t="s">
        <v>39</v>
      </c>
      <c r="C13" s="25" t="s">
        <v>12</v>
      </c>
    </row>
    <row r="14" spans="1:9" ht="40" customHeight="1" x14ac:dyDescent="0.4">
      <c r="A14" s="28"/>
      <c r="B14" s="6" t="s">
        <v>111</v>
      </c>
      <c r="C14" s="104" t="s">
        <v>35</v>
      </c>
      <c r="D14" s="92"/>
    </row>
    <row r="15" spans="1:9" ht="41" customHeight="1" x14ac:dyDescent="0.4">
      <c r="A15" s="72" t="s">
        <v>42</v>
      </c>
      <c r="B15" s="33" t="s">
        <v>128</v>
      </c>
      <c r="C15" s="104"/>
      <c r="D15" s="92"/>
    </row>
    <row r="16" spans="1:9" ht="41" customHeight="1" x14ac:dyDescent="0.4">
      <c r="A16" s="72"/>
      <c r="B16" s="25" t="s">
        <v>129</v>
      </c>
      <c r="C16" s="103" t="s">
        <v>63</v>
      </c>
      <c r="D16" s="92"/>
    </row>
    <row r="17" spans="1:4" ht="24" customHeight="1" x14ac:dyDescent="0.4">
      <c r="A17" s="72"/>
      <c r="B17" s="34" t="s">
        <v>116</v>
      </c>
      <c r="C17" s="103"/>
      <c r="D17" s="92"/>
    </row>
    <row r="18" spans="1:4" s="9" customFormat="1" ht="50.5" customHeight="1" x14ac:dyDescent="0.4">
      <c r="B18" s="20"/>
      <c r="C18" s="10" t="s">
        <v>15</v>
      </c>
      <c r="D18" s="9">
        <f>SUM(D8:D17)</f>
        <v>0</v>
      </c>
    </row>
    <row r="19" spans="1:4" x14ac:dyDescent="0.4">
      <c r="D19" s="1" t="str">
        <f>IF(OR(
  AND(D18&gt;=90, COUNTIF($D$18:$Z$18, "&gt;=90")/COUNTA($D$18:$Z$18)&gt;0.05),
  AND(D18&gt;=80,D18&lt;=89, (COUNTIF($D$18:$Z$18, "&gt;=80")-COUNTIF($D$18:$Z$18, "&gt;=90"))/COUNTA($D$18:$Z$18)&gt;0.2),
  AND(D18&gt;=70,D18&lt;=79, (COUNTIF($D$18:$Z$18, "&gt;=70")-COUNTIF($D$18:$Z$18, "&gt;=80"))/COUNTA($D$18:$Z$18)&gt;0.4),
  AND(D18&gt;=60,D18&lt;=69, (COUNTIF($D$18:$Z$18, "&gt;=60")-COUNTIF($D$18:$Z$18, "&gt;=70"))/COUNTA($D$18:$Z$18)&gt;0.3),
  AND(D18&lt;=59, COUNTIF($D$18:$Z$18, "&lt;=59")/COUNTA($D$18:$Z$18)&gt;0.05)
), "⚠ 超標！", "")</f>
        <v>⚠ 超標！</v>
      </c>
    </row>
  </sheetData>
  <mergeCells count="12">
    <mergeCell ref="A1:I1"/>
    <mergeCell ref="A2:I2"/>
    <mergeCell ref="A6:C6"/>
    <mergeCell ref="A12:A13"/>
    <mergeCell ref="A15:A17"/>
    <mergeCell ref="A8:A9"/>
    <mergeCell ref="D11:D12"/>
    <mergeCell ref="C11:C12"/>
    <mergeCell ref="D14:D15"/>
    <mergeCell ref="C14:C15"/>
    <mergeCell ref="D16:D17"/>
    <mergeCell ref="C16:C17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22"/>
  <sheetViews>
    <sheetView topLeftCell="A13" zoomScaleNormal="100" workbookViewId="0">
      <selection activeCell="B17" sqref="B17:C18"/>
    </sheetView>
  </sheetViews>
  <sheetFormatPr defaultRowHeight="15.5" x14ac:dyDescent="0.4"/>
  <cols>
    <col min="1" max="1" width="22" style="1" customWidth="1"/>
    <col min="2" max="2" width="47.7265625" style="1" customWidth="1"/>
    <col min="3" max="3" width="49.36328125" style="1" customWidth="1"/>
    <col min="4" max="4" width="23.36328125" style="1" customWidth="1"/>
    <col min="5" max="6" width="8.7265625" style="1"/>
    <col min="7" max="7" width="25.90625" style="1" bestFit="1" customWidth="1"/>
    <col min="8" max="8" width="32.453125" style="1" bestFit="1" customWidth="1"/>
    <col min="9" max="9" width="28.08984375" style="1" bestFit="1" customWidth="1"/>
    <col min="10" max="16384" width="8.7265625" style="1"/>
  </cols>
  <sheetData>
    <row r="1" spans="1:10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10" ht="16" x14ac:dyDescent="0.4">
      <c r="A2" s="70" t="s">
        <v>50</v>
      </c>
      <c r="B2" s="71"/>
      <c r="C2" s="71"/>
      <c r="D2" s="71"/>
      <c r="E2" s="71"/>
      <c r="F2" s="71"/>
      <c r="G2" s="71"/>
      <c r="H2" s="71"/>
      <c r="I2" s="71"/>
    </row>
    <row r="4" spans="1:10" s="2" customFormat="1" x14ac:dyDescent="0.4">
      <c r="A4" s="2" t="s">
        <v>0</v>
      </c>
      <c r="B4" s="2" t="s">
        <v>1</v>
      </c>
      <c r="C4" s="2" t="s">
        <v>2</v>
      </c>
    </row>
    <row r="5" spans="1:10" s="2" customFormat="1" ht="57.5" customHeight="1" x14ac:dyDescent="0.4">
      <c r="C5" s="2">
        <f>COUNTIF(D6:P6,"&lt;&gt;")</f>
        <v>0</v>
      </c>
    </row>
    <row r="6" spans="1:10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10" x14ac:dyDescent="0.4">
      <c r="A7" s="22" t="s">
        <v>4</v>
      </c>
      <c r="B7" s="22" t="s">
        <v>5</v>
      </c>
      <c r="C7" s="22" t="s">
        <v>6</v>
      </c>
      <c r="G7" s="50"/>
      <c r="H7" s="50"/>
      <c r="I7" s="50"/>
      <c r="J7" s="54"/>
    </row>
    <row r="8" spans="1:10" ht="24.5" customHeight="1" x14ac:dyDescent="0.4">
      <c r="A8" s="73" t="s">
        <v>19</v>
      </c>
      <c r="B8" s="8" t="s">
        <v>68</v>
      </c>
      <c r="C8" s="35" t="s">
        <v>130</v>
      </c>
      <c r="G8" s="106"/>
      <c r="H8" s="51"/>
      <c r="I8" s="51"/>
      <c r="J8" s="54"/>
    </row>
    <row r="9" spans="1:10" ht="31" customHeight="1" x14ac:dyDescent="0.4">
      <c r="A9" s="73"/>
      <c r="B9" s="5" t="s">
        <v>24</v>
      </c>
      <c r="C9" s="5" t="s">
        <v>23</v>
      </c>
      <c r="G9" s="106"/>
      <c r="H9" s="52"/>
      <c r="I9" s="52"/>
      <c r="J9" s="54"/>
    </row>
    <row r="10" spans="1:10" ht="53" customHeight="1" x14ac:dyDescent="0.4">
      <c r="A10" s="21" t="s">
        <v>9</v>
      </c>
      <c r="B10" s="24" t="s">
        <v>10</v>
      </c>
      <c r="C10" s="25" t="s">
        <v>17</v>
      </c>
      <c r="G10" s="50"/>
      <c r="H10" s="52"/>
      <c r="I10" s="51"/>
      <c r="J10" s="54"/>
    </row>
    <row r="11" spans="1:10" ht="53" customHeight="1" x14ac:dyDescent="0.4">
      <c r="A11" s="28"/>
      <c r="B11" s="6" t="s">
        <v>131</v>
      </c>
      <c r="C11" s="104" t="s">
        <v>51</v>
      </c>
      <c r="D11" s="92"/>
      <c r="G11" s="55"/>
      <c r="H11" s="51"/>
      <c r="I11" s="53"/>
      <c r="J11" s="54"/>
    </row>
    <row r="12" spans="1:10" ht="57" customHeight="1" x14ac:dyDescent="0.4">
      <c r="A12" s="23" t="s">
        <v>52</v>
      </c>
      <c r="B12" s="33" t="s">
        <v>132</v>
      </c>
      <c r="C12" s="104"/>
      <c r="D12" s="92"/>
      <c r="G12" s="106"/>
      <c r="H12" s="51"/>
      <c r="I12" s="51"/>
      <c r="J12" s="54"/>
    </row>
    <row r="13" spans="1:10" x14ac:dyDescent="0.4">
      <c r="A13" s="32"/>
      <c r="B13" s="25" t="s">
        <v>104</v>
      </c>
      <c r="C13" s="103" t="s">
        <v>83</v>
      </c>
      <c r="D13" s="92"/>
      <c r="G13" s="106"/>
      <c r="H13" s="51"/>
      <c r="I13" s="53"/>
      <c r="J13" s="54"/>
    </row>
    <row r="14" spans="1:10" ht="47" customHeight="1" x14ac:dyDescent="0.4">
      <c r="A14" s="48" t="s">
        <v>80</v>
      </c>
      <c r="B14" s="34" t="s">
        <v>113</v>
      </c>
      <c r="C14" s="103"/>
      <c r="D14" s="92"/>
      <c r="G14" s="107"/>
      <c r="H14" s="51"/>
      <c r="I14" s="53"/>
      <c r="J14" s="54"/>
    </row>
    <row r="15" spans="1:10" ht="47" customHeight="1" x14ac:dyDescent="0.4">
      <c r="A15" s="48"/>
      <c r="B15" s="6" t="s">
        <v>115</v>
      </c>
      <c r="C15" s="104" t="s">
        <v>79</v>
      </c>
      <c r="D15" s="92"/>
      <c r="G15" s="107"/>
      <c r="H15" s="51"/>
      <c r="I15" s="51"/>
      <c r="J15" s="54"/>
    </row>
    <row r="16" spans="1:10" x14ac:dyDescent="0.4">
      <c r="A16" s="48"/>
      <c r="B16" s="33" t="s">
        <v>133</v>
      </c>
      <c r="C16" s="104"/>
      <c r="D16" s="92"/>
      <c r="G16" s="54"/>
      <c r="H16" s="54"/>
      <c r="I16" s="54"/>
      <c r="J16" s="54"/>
    </row>
    <row r="17" spans="1:10" ht="61.5" customHeight="1" x14ac:dyDescent="0.4">
      <c r="A17" s="28"/>
      <c r="B17" s="65" t="s">
        <v>180</v>
      </c>
      <c r="C17" s="105" t="s">
        <v>182</v>
      </c>
      <c r="D17" s="92"/>
      <c r="G17" s="54"/>
      <c r="H17" s="54"/>
      <c r="I17" s="54"/>
      <c r="J17" s="54"/>
    </row>
    <row r="18" spans="1:10" ht="42.5" customHeight="1" x14ac:dyDescent="0.4">
      <c r="A18" s="72" t="s">
        <v>53</v>
      </c>
      <c r="B18" s="34" t="s">
        <v>84</v>
      </c>
      <c r="C18" s="105"/>
      <c r="D18" s="92"/>
      <c r="G18" s="54"/>
      <c r="H18" s="54"/>
      <c r="I18" s="54"/>
      <c r="J18" s="54"/>
    </row>
    <row r="19" spans="1:10" ht="70.5" customHeight="1" x14ac:dyDescent="0.4">
      <c r="A19" s="72"/>
      <c r="B19" s="108" t="s">
        <v>173</v>
      </c>
      <c r="C19" s="109" t="s">
        <v>174</v>
      </c>
      <c r="D19" s="92"/>
      <c r="G19" s="54"/>
      <c r="H19" s="54"/>
      <c r="I19" s="54"/>
      <c r="J19" s="54"/>
    </row>
    <row r="20" spans="1:10" ht="52" customHeight="1" x14ac:dyDescent="0.4">
      <c r="A20" s="72"/>
      <c r="B20" s="108"/>
      <c r="C20" s="109"/>
      <c r="D20" s="92"/>
    </row>
    <row r="21" spans="1:10" s="9" customFormat="1" ht="50.5" customHeight="1" x14ac:dyDescent="0.4">
      <c r="B21" s="20"/>
      <c r="C21" s="10" t="s">
        <v>15</v>
      </c>
      <c r="D21" s="9">
        <f>SUM(D8:D20)</f>
        <v>0</v>
      </c>
    </row>
    <row r="22" spans="1:10" x14ac:dyDescent="0.4">
      <c r="D22" s="1" t="str">
        <f>IF(OR(
  AND(D21&gt;=90, COUNTIF($D$21:$Z$21, "&gt;=90")/COUNTA($D$21:$Z$21)&gt;0.05),
  AND(D21&gt;=80,D21&lt;=89, (COUNTIF($D$21:$Z$21, "&gt;=80")-COUNTIF($D$21:$Z$21, "&gt;=90"))/COUNTA($D$21:$Z$21)&gt;0.2),
  AND(D21&gt;=70,D21&lt;=79, (COUNTIF($D$21:$Z$21, "&gt;=70")-COUNTIF($D$21:$Z$21, "&gt;=80"))/COUNTA($D$21:$Z$21)&gt;0.4),
  AND(D21&gt;=60,D21&lt;=69, (COUNTIF($D$21:$Z$21, "&gt;=60")-COUNTIF($D$21:$Z$21, "&gt;=70"))/COUNTA($D$21:$Z$21)&gt;0.3),
  AND(D21&lt;=59, COUNTIF($D$21:$Z$21, "&lt;=59")/COUNTA($D$21:$Z$21)&gt;0.05)
), "⚠ 超標！", "")</f>
        <v>⚠ 超標！</v>
      </c>
    </row>
  </sheetData>
  <mergeCells count="19">
    <mergeCell ref="G12:G13"/>
    <mergeCell ref="G14:G15"/>
    <mergeCell ref="C17:C18"/>
    <mergeCell ref="B19:B20"/>
    <mergeCell ref="D19:D20"/>
    <mergeCell ref="C19:C20"/>
    <mergeCell ref="A18:A20"/>
    <mergeCell ref="A1:I1"/>
    <mergeCell ref="A2:I2"/>
    <mergeCell ref="A6:C6"/>
    <mergeCell ref="A8:A9"/>
    <mergeCell ref="D11:D12"/>
    <mergeCell ref="C11:C12"/>
    <mergeCell ref="D13:D14"/>
    <mergeCell ref="C13:C14"/>
    <mergeCell ref="D15:D16"/>
    <mergeCell ref="C15:C16"/>
    <mergeCell ref="D17:D18"/>
    <mergeCell ref="G8:G9"/>
  </mergeCells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I22"/>
  <sheetViews>
    <sheetView topLeftCell="A12" zoomScale="70" zoomScaleNormal="70" workbookViewId="0">
      <selection activeCell="B17" sqref="B17:C18"/>
    </sheetView>
  </sheetViews>
  <sheetFormatPr defaultRowHeight="15.5" x14ac:dyDescent="0.4"/>
  <cols>
    <col min="1" max="1" width="22" style="1" customWidth="1"/>
    <col min="2" max="2" width="52" style="1" customWidth="1"/>
    <col min="3" max="3" width="45.7265625" style="1" customWidth="1"/>
    <col min="4" max="4" width="23.36328125" style="1" customWidth="1"/>
    <col min="5" max="5" width="8.7265625" style="1"/>
    <col min="6" max="6" width="24.453125" style="1" bestFit="1" customWidth="1"/>
    <col min="7" max="7" width="65.36328125" style="1" bestFit="1" customWidth="1"/>
    <col min="8" max="8" width="30.81640625" style="1" bestFit="1" customWidth="1"/>
    <col min="9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54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56"/>
      <c r="G6" s="56"/>
      <c r="H6" s="56"/>
      <c r="I6" s="56"/>
    </row>
    <row r="7" spans="1:9" x14ac:dyDescent="0.4">
      <c r="A7" s="22" t="s">
        <v>4</v>
      </c>
      <c r="B7" s="22" t="s">
        <v>5</v>
      </c>
      <c r="C7" s="22" t="s">
        <v>6</v>
      </c>
      <c r="F7" s="50"/>
      <c r="G7" s="50"/>
      <c r="H7" s="50"/>
      <c r="I7" s="54"/>
    </row>
    <row r="8" spans="1:9" x14ac:dyDescent="0.4">
      <c r="A8" s="73" t="s">
        <v>19</v>
      </c>
      <c r="B8" s="8" t="s">
        <v>68</v>
      </c>
      <c r="C8" s="35" t="s">
        <v>135</v>
      </c>
      <c r="F8" s="106"/>
      <c r="G8" s="51"/>
      <c r="H8" s="51"/>
      <c r="I8" s="54"/>
    </row>
    <row r="9" spans="1:9" ht="26.5" customHeight="1" x14ac:dyDescent="0.4">
      <c r="A9" s="73"/>
      <c r="B9" s="5" t="s">
        <v>24</v>
      </c>
      <c r="C9" s="5" t="s">
        <v>23</v>
      </c>
      <c r="F9" s="106"/>
      <c r="G9" s="52"/>
      <c r="H9" s="52"/>
      <c r="I9" s="54"/>
    </row>
    <row r="10" spans="1:9" ht="53" customHeight="1" x14ac:dyDescent="0.4">
      <c r="A10" s="21" t="s">
        <v>9</v>
      </c>
      <c r="B10" s="24" t="s">
        <v>10</v>
      </c>
      <c r="C10" s="25" t="s">
        <v>17</v>
      </c>
      <c r="F10" s="50"/>
      <c r="G10" s="52"/>
      <c r="H10" s="51"/>
      <c r="I10" s="54"/>
    </row>
    <row r="11" spans="1:9" ht="53" customHeight="1" x14ac:dyDescent="0.4">
      <c r="A11" s="28"/>
      <c r="B11" s="6" t="s">
        <v>131</v>
      </c>
      <c r="C11" s="104" t="s">
        <v>51</v>
      </c>
      <c r="D11" s="92"/>
      <c r="F11" s="55"/>
      <c r="G11" s="51"/>
      <c r="H11" s="53"/>
      <c r="I11" s="54"/>
    </row>
    <row r="12" spans="1:9" ht="65.5" customHeight="1" x14ac:dyDescent="0.4">
      <c r="A12" s="23" t="s">
        <v>52</v>
      </c>
      <c r="B12" s="33" t="s">
        <v>136</v>
      </c>
      <c r="C12" s="104"/>
      <c r="D12" s="92"/>
      <c r="F12" s="106"/>
      <c r="G12" s="51"/>
      <c r="H12" s="51"/>
      <c r="I12" s="54"/>
    </row>
    <row r="13" spans="1:9" ht="48" customHeight="1" x14ac:dyDescent="0.4">
      <c r="A13" s="29"/>
      <c r="B13" s="25" t="s">
        <v>137</v>
      </c>
      <c r="C13" s="103" t="s">
        <v>83</v>
      </c>
      <c r="D13" s="92"/>
      <c r="F13" s="106"/>
      <c r="G13" s="51"/>
      <c r="H13" s="53"/>
      <c r="I13" s="54"/>
    </row>
    <row r="14" spans="1:9" ht="65" customHeight="1" x14ac:dyDescent="0.4">
      <c r="A14" s="73" t="s">
        <v>80</v>
      </c>
      <c r="B14" s="34" t="s">
        <v>116</v>
      </c>
      <c r="C14" s="103"/>
      <c r="D14" s="92"/>
      <c r="F14" s="107"/>
      <c r="G14" s="51"/>
      <c r="H14" s="53"/>
      <c r="I14" s="54"/>
    </row>
    <row r="15" spans="1:9" ht="31.5" customHeight="1" x14ac:dyDescent="0.4">
      <c r="A15" s="73"/>
      <c r="B15" s="6" t="s">
        <v>115</v>
      </c>
      <c r="C15" s="102" t="s">
        <v>79</v>
      </c>
      <c r="D15" s="92"/>
      <c r="F15" s="107"/>
      <c r="G15" s="51"/>
      <c r="H15" s="51"/>
      <c r="I15" s="54"/>
    </row>
    <row r="16" spans="1:9" ht="28.5" customHeight="1" x14ac:dyDescent="0.4">
      <c r="A16" s="73"/>
      <c r="B16" s="33" t="s">
        <v>138</v>
      </c>
      <c r="C16" s="102"/>
      <c r="D16" s="92"/>
      <c r="F16" s="54"/>
      <c r="G16" s="54"/>
      <c r="H16" s="54"/>
      <c r="I16" s="54"/>
    </row>
    <row r="17" spans="1:9" ht="60.5" customHeight="1" x14ac:dyDescent="0.4">
      <c r="A17" s="28"/>
      <c r="B17" s="65" t="s">
        <v>180</v>
      </c>
      <c r="C17" s="105" t="s">
        <v>182</v>
      </c>
      <c r="D17" s="92"/>
      <c r="F17" s="54"/>
      <c r="G17" s="54"/>
      <c r="H17" s="54"/>
      <c r="I17" s="54"/>
    </row>
    <row r="18" spans="1:9" ht="51.5" customHeight="1" x14ac:dyDescent="0.4">
      <c r="A18" s="72" t="s">
        <v>53</v>
      </c>
      <c r="B18" s="34" t="s">
        <v>84</v>
      </c>
      <c r="C18" s="105"/>
      <c r="D18" s="92"/>
      <c r="F18" s="54"/>
      <c r="G18" s="54"/>
      <c r="H18" s="54"/>
      <c r="I18" s="54"/>
    </row>
    <row r="19" spans="1:9" ht="40" customHeight="1" x14ac:dyDescent="0.4">
      <c r="A19" s="72"/>
      <c r="B19" s="108" t="s">
        <v>165</v>
      </c>
      <c r="C19" s="109" t="s">
        <v>166</v>
      </c>
      <c r="D19" s="92"/>
    </row>
    <row r="20" spans="1:9" ht="74" customHeight="1" x14ac:dyDescent="0.4">
      <c r="A20" s="72"/>
      <c r="B20" s="108"/>
      <c r="C20" s="109"/>
      <c r="D20" s="92"/>
    </row>
    <row r="21" spans="1:9" s="9" customFormat="1" ht="50.5" customHeight="1" x14ac:dyDescent="0.4">
      <c r="B21" s="20"/>
      <c r="C21" s="10" t="s">
        <v>15</v>
      </c>
      <c r="D21" s="9">
        <f>SUM(D8:D20)</f>
        <v>0</v>
      </c>
    </row>
    <row r="22" spans="1:9" x14ac:dyDescent="0.4">
      <c r="D22" s="1" t="str">
        <f>IF(OR(
  AND(D21&gt;=90, COUNTIF($D$21:$Z$21, "&gt;=90")/COUNTA($D$21:$Z$21)&gt;0.05),
  AND(D21&gt;=80,D21&lt;=89, (COUNTIF($D$21:$Z$21, "&gt;=80")-COUNTIF($D$21:$Z$21, "&gt;=90"))/COUNTA($D$21:$Z$21)&gt;0.2),
  AND(D21&gt;=70,D21&lt;=79, (COUNTIF($D$21:$Z$21, "&gt;=70")-COUNTIF($D$21:$Z$21, "&gt;=80"))/COUNTA($D$21:$Z$21)&gt;0.4),
  AND(D21&gt;=60,D21&lt;=69, (COUNTIF($D$21:$Z$21, "&gt;=60")-COUNTIF($D$21:$Z$21, "&gt;=70"))/COUNTA($D$21:$Z$21)&gt;0.3),
  AND(D21&lt;=59, COUNTIF($D$21:$Z$21, "&lt;=59")/COUNTA($D$21:$Z$21)&gt;0.05)
), "⚠ 超標！", "")</f>
        <v>⚠ 超標！</v>
      </c>
    </row>
  </sheetData>
  <mergeCells count="20">
    <mergeCell ref="D17:D18"/>
    <mergeCell ref="F8:F9"/>
    <mergeCell ref="F12:F13"/>
    <mergeCell ref="F14:F15"/>
    <mergeCell ref="B19:B20"/>
    <mergeCell ref="C17:C18"/>
    <mergeCell ref="D19:D20"/>
    <mergeCell ref="C19:C20"/>
    <mergeCell ref="A1:I1"/>
    <mergeCell ref="A2:I2"/>
    <mergeCell ref="A6:C6"/>
    <mergeCell ref="A14:A16"/>
    <mergeCell ref="A18:A20"/>
    <mergeCell ref="A8:A9"/>
    <mergeCell ref="D11:D12"/>
    <mergeCell ref="C11:C12"/>
    <mergeCell ref="D13:D14"/>
    <mergeCell ref="C13:C14"/>
    <mergeCell ref="D15:D16"/>
    <mergeCell ref="C15:C16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I22"/>
  <sheetViews>
    <sheetView topLeftCell="B11" zoomScale="70" zoomScaleNormal="70" workbookViewId="0">
      <selection activeCell="B17" sqref="B17:C18"/>
    </sheetView>
  </sheetViews>
  <sheetFormatPr defaultRowHeight="15.5" x14ac:dyDescent="0.4"/>
  <cols>
    <col min="1" max="1" width="22" style="1" customWidth="1"/>
    <col min="2" max="2" width="48.90625" style="1" customWidth="1"/>
    <col min="3" max="3" width="45.6328125" style="1" customWidth="1"/>
    <col min="4" max="4" width="23.36328125" style="1" customWidth="1"/>
    <col min="5" max="5" width="8.7265625" style="1"/>
    <col min="6" max="6" width="24.453125" style="1" bestFit="1" customWidth="1"/>
    <col min="7" max="7" width="33" style="1" bestFit="1" customWidth="1"/>
    <col min="8" max="8" width="30.81640625" style="1" bestFit="1" customWidth="1"/>
    <col min="9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55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56"/>
      <c r="G6" s="56"/>
      <c r="H6" s="56"/>
      <c r="I6" s="56"/>
    </row>
    <row r="7" spans="1:9" x14ac:dyDescent="0.4">
      <c r="A7" s="22" t="s">
        <v>4</v>
      </c>
      <c r="B7" s="22" t="s">
        <v>5</v>
      </c>
      <c r="C7" s="22" t="s">
        <v>6</v>
      </c>
      <c r="F7" s="50"/>
      <c r="G7" s="50"/>
      <c r="H7" s="50"/>
      <c r="I7" s="54"/>
    </row>
    <row r="8" spans="1:9" ht="32.5" customHeight="1" x14ac:dyDescent="0.4">
      <c r="A8" s="73" t="s">
        <v>19</v>
      </c>
      <c r="B8" s="8" t="s">
        <v>68</v>
      </c>
      <c r="C8" s="8" t="s">
        <v>139</v>
      </c>
      <c r="F8" s="106"/>
      <c r="G8" s="51"/>
      <c r="H8" s="51"/>
      <c r="I8" s="54"/>
    </row>
    <row r="9" spans="1:9" ht="28.5" customHeight="1" x14ac:dyDescent="0.4">
      <c r="A9" s="73"/>
      <c r="B9" s="5" t="s">
        <v>24</v>
      </c>
      <c r="C9" s="5" t="s">
        <v>23</v>
      </c>
      <c r="F9" s="106"/>
      <c r="G9" s="52"/>
      <c r="H9" s="52"/>
      <c r="I9" s="54"/>
    </row>
    <row r="10" spans="1:9" ht="53" customHeight="1" x14ac:dyDescent="0.4">
      <c r="A10" s="21" t="s">
        <v>9</v>
      </c>
      <c r="B10" s="24" t="s">
        <v>10</v>
      </c>
      <c r="C10" s="25" t="s">
        <v>17</v>
      </c>
      <c r="F10" s="50"/>
      <c r="G10" s="52"/>
      <c r="H10" s="51"/>
      <c r="I10" s="54"/>
    </row>
    <row r="11" spans="1:9" ht="53" customHeight="1" x14ac:dyDescent="0.4">
      <c r="A11" s="28"/>
      <c r="B11" s="6" t="s">
        <v>140</v>
      </c>
      <c r="C11" s="104" t="s">
        <v>51</v>
      </c>
      <c r="D11" s="92"/>
      <c r="F11" s="55"/>
      <c r="G11" s="51"/>
      <c r="H11" s="53"/>
      <c r="I11" s="54"/>
    </row>
    <row r="12" spans="1:9" ht="44" customHeight="1" x14ac:dyDescent="0.4">
      <c r="A12" s="23" t="s">
        <v>52</v>
      </c>
      <c r="B12" s="33" t="s">
        <v>141</v>
      </c>
      <c r="C12" s="104"/>
      <c r="D12" s="92"/>
      <c r="F12" s="106"/>
      <c r="G12" s="51"/>
      <c r="H12" s="51"/>
      <c r="I12" s="54"/>
    </row>
    <row r="13" spans="1:9" ht="44" customHeight="1" x14ac:dyDescent="0.4">
      <c r="A13" s="29"/>
      <c r="B13" s="25" t="s">
        <v>143</v>
      </c>
      <c r="C13" s="103" t="s">
        <v>83</v>
      </c>
      <c r="D13" s="92"/>
      <c r="F13" s="106"/>
      <c r="G13" s="51"/>
      <c r="H13" s="53"/>
      <c r="I13" s="54"/>
    </row>
    <row r="14" spans="1:9" ht="74" customHeight="1" x14ac:dyDescent="0.4">
      <c r="A14" s="73" t="s">
        <v>80</v>
      </c>
      <c r="B14" s="34" t="s">
        <v>142</v>
      </c>
      <c r="C14" s="103"/>
      <c r="D14" s="92"/>
      <c r="F14" s="107"/>
      <c r="G14" s="51"/>
      <c r="H14" s="53"/>
      <c r="I14" s="54"/>
    </row>
    <row r="15" spans="1:9" ht="52.5" customHeight="1" x14ac:dyDescent="0.4">
      <c r="A15" s="73"/>
      <c r="B15" s="6" t="s">
        <v>144</v>
      </c>
      <c r="C15" s="104" t="s">
        <v>79</v>
      </c>
      <c r="D15" s="92"/>
      <c r="F15" s="107"/>
      <c r="G15" s="51"/>
      <c r="H15" s="51"/>
      <c r="I15" s="54"/>
    </row>
    <row r="16" spans="1:9" x14ac:dyDescent="0.4">
      <c r="A16" s="73"/>
      <c r="B16" s="33" t="s">
        <v>145</v>
      </c>
      <c r="C16" s="104"/>
      <c r="D16" s="92"/>
      <c r="F16" s="54"/>
      <c r="G16" s="54"/>
      <c r="H16" s="54"/>
      <c r="I16" s="54"/>
    </row>
    <row r="17" spans="1:9" ht="51" customHeight="1" x14ac:dyDescent="0.4">
      <c r="A17" s="28"/>
      <c r="B17" s="65" t="s">
        <v>180</v>
      </c>
      <c r="C17" s="105" t="s">
        <v>182</v>
      </c>
      <c r="D17" s="92"/>
      <c r="F17" s="54"/>
      <c r="G17" s="54"/>
      <c r="H17" s="54"/>
      <c r="I17" s="54"/>
    </row>
    <row r="18" spans="1:9" ht="60" customHeight="1" x14ac:dyDescent="0.4">
      <c r="A18" s="72" t="s">
        <v>53</v>
      </c>
      <c r="B18" s="34" t="s">
        <v>84</v>
      </c>
      <c r="C18" s="105"/>
      <c r="D18" s="92"/>
      <c r="F18" s="54"/>
      <c r="G18" s="54"/>
      <c r="H18" s="54"/>
      <c r="I18" s="54"/>
    </row>
    <row r="19" spans="1:9" ht="60" customHeight="1" x14ac:dyDescent="0.4">
      <c r="A19" s="72"/>
      <c r="B19" s="108" t="s">
        <v>165</v>
      </c>
      <c r="C19" s="109" t="s">
        <v>166</v>
      </c>
      <c r="D19" s="92"/>
      <c r="F19" s="54"/>
      <c r="G19" s="54"/>
      <c r="H19" s="54"/>
      <c r="I19" s="54"/>
    </row>
    <row r="20" spans="1:9" ht="60" customHeight="1" x14ac:dyDescent="0.4">
      <c r="A20" s="72"/>
      <c r="B20" s="108"/>
      <c r="C20" s="109"/>
      <c r="D20" s="92"/>
    </row>
    <row r="21" spans="1:9" s="9" customFormat="1" ht="50.5" customHeight="1" x14ac:dyDescent="0.4">
      <c r="B21" s="20"/>
      <c r="C21" s="10" t="s">
        <v>15</v>
      </c>
      <c r="D21" s="9">
        <f>SUM(D8:D20)</f>
        <v>0</v>
      </c>
    </row>
    <row r="22" spans="1:9" x14ac:dyDescent="0.4">
      <c r="D22" s="1" t="str">
        <f>IF(OR(
  AND(D21&gt;=90, COUNTIF($D$21:$Z$21, "&gt;=90")/COUNTA($D$21:$Z$21)&gt;0.05),
  AND(D21&gt;=80,D21&lt;=89, (COUNTIF($D$21:$Z$21, "&gt;=80")-COUNTIF($D$21:$Z$21, "&gt;=90"))/COUNTA($D$21:$Z$21)&gt;0.2),
  AND(D21&gt;=70,D21&lt;=79, (COUNTIF($D$21:$Z$21, "&gt;=70")-COUNTIF($D$21:$Z$21, "&gt;=80"))/COUNTA($D$21:$Z$21)&gt;0.4),
  AND(D21&gt;=60,D21&lt;=69, (COUNTIF($D$21:$Z$21, "&gt;=60")-COUNTIF($D$21:$Z$21, "&gt;=70"))/COUNTA($D$21:$Z$21)&gt;0.3),
  AND(D21&lt;=59, COUNTIF($D$21:$Z$21, "&lt;=59")/COUNTA($D$21:$Z$21)&gt;0.05)
), "⚠ 超標！", "")</f>
        <v>⚠ 超標！</v>
      </c>
    </row>
  </sheetData>
  <mergeCells count="20">
    <mergeCell ref="D17:D18"/>
    <mergeCell ref="F8:F9"/>
    <mergeCell ref="F12:F13"/>
    <mergeCell ref="F14:F15"/>
    <mergeCell ref="B19:B20"/>
    <mergeCell ref="C17:C18"/>
    <mergeCell ref="D19:D20"/>
    <mergeCell ref="C19:C20"/>
    <mergeCell ref="A1:I1"/>
    <mergeCell ref="A2:I2"/>
    <mergeCell ref="A6:C6"/>
    <mergeCell ref="A14:A16"/>
    <mergeCell ref="A18:A20"/>
    <mergeCell ref="A8:A9"/>
    <mergeCell ref="D11:D12"/>
    <mergeCell ref="C11:C12"/>
    <mergeCell ref="D13:D14"/>
    <mergeCell ref="C13:C14"/>
    <mergeCell ref="D15:D16"/>
    <mergeCell ref="C15:C16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I22"/>
  <sheetViews>
    <sheetView tabSelected="1" zoomScale="70" zoomScaleNormal="70" workbookViewId="0">
      <selection activeCell="D19" sqref="D19:D20"/>
    </sheetView>
  </sheetViews>
  <sheetFormatPr defaultRowHeight="15.5" x14ac:dyDescent="0.4"/>
  <cols>
    <col min="1" max="1" width="22" style="1" customWidth="1"/>
    <col min="2" max="2" width="57.36328125" style="1" customWidth="1"/>
    <col min="3" max="3" width="45.08984375" style="1" customWidth="1"/>
    <col min="4" max="4" width="23.36328125" style="1" customWidth="1"/>
    <col min="5" max="16384" width="8.7265625" style="1"/>
  </cols>
  <sheetData>
    <row r="1" spans="1:9" ht="16" x14ac:dyDescent="0.4">
      <c r="A1" s="68" t="s">
        <v>7</v>
      </c>
      <c r="B1" s="69"/>
      <c r="C1" s="69"/>
      <c r="D1" s="69"/>
      <c r="E1" s="69"/>
      <c r="F1" s="69"/>
      <c r="G1" s="69"/>
      <c r="H1" s="69"/>
      <c r="I1" s="69"/>
    </row>
    <row r="2" spans="1:9" ht="16" x14ac:dyDescent="0.4">
      <c r="A2" s="70" t="s">
        <v>146</v>
      </c>
      <c r="B2" s="71"/>
      <c r="C2" s="71"/>
      <c r="D2" s="71"/>
      <c r="E2" s="71"/>
      <c r="F2" s="71"/>
      <c r="G2" s="71"/>
      <c r="H2" s="71"/>
      <c r="I2" s="71"/>
    </row>
    <row r="4" spans="1:9" s="2" customFormat="1" x14ac:dyDescent="0.4">
      <c r="A4" s="2" t="s">
        <v>0</v>
      </c>
      <c r="B4" s="2" t="s">
        <v>1</v>
      </c>
      <c r="C4" s="2" t="s">
        <v>2</v>
      </c>
    </row>
    <row r="5" spans="1:9" s="2" customFormat="1" ht="57.5" customHeight="1" x14ac:dyDescent="0.4">
      <c r="C5" s="2">
        <f>COUNTIF(D6:P6,"&lt;&gt;")</f>
        <v>0</v>
      </c>
    </row>
    <row r="6" spans="1:9" x14ac:dyDescent="0.4">
      <c r="A6" s="79" t="s">
        <v>3</v>
      </c>
      <c r="B6" s="79"/>
      <c r="C6" s="79"/>
      <c r="D6" s="3"/>
      <c r="E6" s="3"/>
      <c r="F6" s="3"/>
      <c r="G6" s="3"/>
      <c r="H6" s="3"/>
      <c r="I6" s="3"/>
    </row>
    <row r="7" spans="1:9" x14ac:dyDescent="0.4">
      <c r="A7" s="22" t="s">
        <v>4</v>
      </c>
      <c r="B7" s="22" t="s">
        <v>5</v>
      </c>
      <c r="C7" s="22" t="s">
        <v>6</v>
      </c>
    </row>
    <row r="8" spans="1:9" ht="41" customHeight="1" x14ac:dyDescent="0.4">
      <c r="A8" s="21" t="s">
        <v>56</v>
      </c>
      <c r="B8" s="8" t="s">
        <v>77</v>
      </c>
      <c r="C8" s="8" t="s">
        <v>78</v>
      </c>
    </row>
    <row r="9" spans="1:9" ht="41" customHeight="1" x14ac:dyDescent="0.4">
      <c r="A9" s="28"/>
      <c r="B9" s="25" t="s">
        <v>147</v>
      </c>
      <c r="C9" s="105" t="s">
        <v>12</v>
      </c>
      <c r="D9" s="92"/>
    </row>
    <row r="10" spans="1:9" ht="77" customHeight="1" x14ac:dyDescent="0.4">
      <c r="A10" s="73" t="s">
        <v>57</v>
      </c>
      <c r="B10" s="34" t="s">
        <v>84</v>
      </c>
      <c r="C10" s="105"/>
      <c r="D10" s="92"/>
    </row>
    <row r="11" spans="1:9" ht="77" customHeight="1" x14ac:dyDescent="0.4">
      <c r="A11" s="73"/>
      <c r="B11" s="6" t="s">
        <v>148</v>
      </c>
      <c r="C11" s="102" t="s">
        <v>12</v>
      </c>
      <c r="D11" s="92"/>
    </row>
    <row r="12" spans="1:9" ht="38.5" customHeight="1" x14ac:dyDescent="0.4">
      <c r="A12" s="73"/>
      <c r="B12" s="33" t="s">
        <v>134</v>
      </c>
      <c r="C12" s="102"/>
      <c r="D12" s="92"/>
    </row>
    <row r="13" spans="1:9" ht="38.5" customHeight="1" x14ac:dyDescent="0.4">
      <c r="A13" s="73"/>
      <c r="B13" s="25" t="s">
        <v>149</v>
      </c>
      <c r="C13" s="103" t="s">
        <v>62</v>
      </c>
      <c r="D13" s="110"/>
    </row>
    <row r="14" spans="1:9" ht="30.5" customHeight="1" x14ac:dyDescent="0.4">
      <c r="A14" s="73"/>
      <c r="B14" s="34" t="s">
        <v>150</v>
      </c>
      <c r="C14" s="103"/>
      <c r="D14" s="110"/>
    </row>
    <row r="15" spans="1:9" ht="30.5" customHeight="1" x14ac:dyDescent="0.4">
      <c r="A15" s="73"/>
      <c r="B15" s="6" t="s">
        <v>151</v>
      </c>
      <c r="C15" s="104" t="s">
        <v>59</v>
      </c>
      <c r="D15" s="110"/>
    </row>
    <row r="16" spans="1:9" ht="42" customHeight="1" x14ac:dyDescent="0.4">
      <c r="A16" s="73"/>
      <c r="B16" s="33" t="s">
        <v>152</v>
      </c>
      <c r="C16" s="104"/>
      <c r="D16" s="110"/>
    </row>
    <row r="17" spans="1:4" ht="56.5" customHeight="1" x14ac:dyDescent="0.4">
      <c r="A17" s="28"/>
      <c r="B17" s="25" t="s">
        <v>153</v>
      </c>
      <c r="C17" s="105" t="s">
        <v>60</v>
      </c>
      <c r="D17" s="110"/>
    </row>
    <row r="18" spans="1:4" x14ac:dyDescent="0.4">
      <c r="A18" s="72" t="s">
        <v>58</v>
      </c>
      <c r="B18" s="34" t="s">
        <v>154</v>
      </c>
      <c r="C18" s="105"/>
      <c r="D18" s="110"/>
    </row>
    <row r="19" spans="1:4" ht="45.5" customHeight="1" x14ac:dyDescent="0.4">
      <c r="A19" s="72"/>
      <c r="B19" s="6" t="s">
        <v>155</v>
      </c>
      <c r="C19" s="102" t="s">
        <v>61</v>
      </c>
      <c r="D19" s="110"/>
    </row>
    <row r="20" spans="1:4" x14ac:dyDescent="0.4">
      <c r="A20" s="72"/>
      <c r="B20" s="33" t="s">
        <v>156</v>
      </c>
      <c r="C20" s="102"/>
      <c r="D20" s="110"/>
    </row>
    <row r="21" spans="1:4" s="9" customFormat="1" ht="50.5" customHeight="1" x14ac:dyDescent="0.4">
      <c r="B21" s="20"/>
      <c r="C21" s="10" t="s">
        <v>15</v>
      </c>
      <c r="D21" s="9">
        <f>SUM(D8:D20)</f>
        <v>0</v>
      </c>
    </row>
    <row r="22" spans="1:4" x14ac:dyDescent="0.4">
      <c r="D22" s="1" t="str">
        <f>IF(OR(
  AND(D21&gt;=90, COUNTIF($D$21:$Z$21, "&gt;=90")/COUNTA($D$21:$Z$21)&gt;0.05),
  AND(D21&gt;=80,D21&lt;=89, (COUNTIF($D$21:$Z$21, "&gt;=80")-COUNTIF($D$21:$Z$21, "&gt;=90"))/COUNTA($D$21:$Z$21)&gt;0.2),
  AND(D21&gt;=70,D21&lt;=79, (COUNTIF($D$21:$Z$21, "&gt;=70")-COUNTIF($D$21:$Z$21, "&gt;=80"))/COUNTA($D$21:$Z$21)&gt;0.4),
  AND(D21&gt;=60,D21&lt;=69, (COUNTIF($D$21:$Z$21, "&gt;=60")-COUNTIF($D$21:$Z$21, "&gt;=70"))/COUNTA($D$21:$Z$21)&gt;0.3),
  AND(D21&lt;=59, COUNTIF($D$21:$Z$21, "&lt;=59")/COUNTA($D$21:$Z$21)&gt;0.05)
), "⚠ 超標！", "")</f>
        <v>⚠ 超標！</v>
      </c>
    </row>
  </sheetData>
  <mergeCells count="17">
    <mergeCell ref="C15:C16"/>
    <mergeCell ref="D17:D18"/>
    <mergeCell ref="C17:C18"/>
    <mergeCell ref="D19:D20"/>
    <mergeCell ref="C19:C20"/>
    <mergeCell ref="A1:I1"/>
    <mergeCell ref="A2:I2"/>
    <mergeCell ref="A6:C6"/>
    <mergeCell ref="A18:A20"/>
    <mergeCell ref="A10:A16"/>
    <mergeCell ref="D9:D10"/>
    <mergeCell ref="C9:C10"/>
    <mergeCell ref="D11:D12"/>
    <mergeCell ref="C11:C12"/>
    <mergeCell ref="D13:D14"/>
    <mergeCell ref="C13:C14"/>
    <mergeCell ref="D15:D16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行政部內共評</vt:lpstr>
      <vt:lpstr>跨部門共評</vt:lpstr>
      <vt:lpstr>主管複評行政</vt:lpstr>
      <vt:lpstr>副理 經理共評</vt:lpstr>
      <vt:lpstr>組長初評班長</vt:lpstr>
      <vt:lpstr>班長共評</vt:lpstr>
      <vt:lpstr>課級初評組長</vt:lpstr>
      <vt:lpstr>組長共評</vt:lpstr>
      <vt:lpstr>課級複評班長</vt:lpstr>
      <vt:lpstr>課級共評</vt:lpstr>
      <vt:lpstr>部級初評課級</vt:lpstr>
      <vt:lpstr>總經理複評課級</vt:lpstr>
      <vt:lpstr>現場組長初評&amp;主管複評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2026-01-06T06:28:36Z</cp:lastPrinted>
  <dcterms:created xsi:type="dcterms:W3CDTF">2025-11-17T08:09:30Z</dcterms:created>
  <dcterms:modified xsi:type="dcterms:W3CDTF">2026-05-28T00:31:37Z</dcterms:modified>
</cp:coreProperties>
</file>