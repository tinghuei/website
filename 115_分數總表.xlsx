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2.xml" ContentType="application/vnd.ms-excel.slicer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licers/slicer3.xml" ContentType="application/vnd.ms-excel.slicer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licers/slicer4.xml" ContentType="application/vnd.ms-excel.slicer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slicers/slicer5.xml" ContentType="application/vnd.ms-excel.slicer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Nancy\3.績效考核-Nancy\115上半年績效考核\"/>
    </mc:Choice>
  </mc:AlternateContent>
  <bookViews>
    <workbookView xWindow="0" yWindow="0" windowWidth="14380" windowHeight="4040" tabRatio="768" firstSheet="1" activeTab="3"/>
  </bookViews>
  <sheets>
    <sheet name="等級分配表" sheetId="5" r:id="rId1"/>
    <sheet name="名次排序" sheetId="7" r:id="rId2"/>
    <sheet name="包含獎懲等級分配" sheetId="8" r:id="rId3"/>
    <sheet name="員工資料" sheetId="1" r:id="rId4"/>
    <sheet name="計算成績" sheetId="2" r:id="rId5"/>
    <sheet name="員工資料 (2)" sheetId="9" r:id="rId6"/>
    <sheet name="面談名單" sheetId="6" r:id="rId7"/>
    <sheet name="工作表1" sheetId="16" r:id="rId8"/>
    <sheet name="員工資料 (3)" sheetId="13" r:id="rId9"/>
    <sheet name="員工資料 (4)" sheetId="14" r:id="rId10"/>
    <sheet name="員工資料 (5)" sheetId="15" r:id="rId11"/>
  </sheets>
  <definedNames>
    <definedName name="_xlnm._FilterDatabase" localSheetId="3" hidden="1">員工資料!$B$1:$M$5000</definedName>
    <definedName name="_xlnm._FilterDatabase" localSheetId="5" hidden="1">'員工資料 (2)'!$B$1:$M$5000</definedName>
    <definedName name="_xlnm._FilterDatabase" localSheetId="8" hidden="1">'員工資料 (3)'!$B$1:$M$5000</definedName>
    <definedName name="_xlnm._FilterDatabase" localSheetId="9" hidden="1">'員工資料 (4)'!$B$1:$M$5000</definedName>
    <definedName name="_xlnm._FilterDatabase" localSheetId="10" hidden="1">'員工資料 (5)'!$B$1:$M$5000</definedName>
    <definedName name="Slicer_部門">#N/A</definedName>
    <definedName name="Slicer_部門1">#N/A</definedName>
    <definedName name="Slicer_部門2">#N/A</definedName>
    <definedName name="Slicer_部門3">#N/A</definedName>
    <definedName name="Slicer_部門4">#N/A</definedName>
    <definedName name="Slicer_等級2">#N/A</definedName>
    <definedName name="Slicer_等級21">#N/A</definedName>
    <definedName name="Slicer_等級22">#N/A</definedName>
    <definedName name="Slicer_等級23">#N/A</definedName>
    <definedName name="Slicer_等級24">#N/A</definedName>
  </definedNames>
  <calcPr calcId="162913"/>
  <pivotCaches>
    <pivotCache cacheId="0" r:id="rId12"/>
    <pivotCache cacheId="1" r:id="rId13"/>
    <pivotCache cacheId="2" r:id="rId1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3" i="1" l="1"/>
  <c r="J103" i="1" s="1"/>
  <c r="N103" i="1"/>
  <c r="O103" i="1"/>
  <c r="M104" i="1"/>
  <c r="J104" i="1" s="1"/>
  <c r="N104" i="1"/>
  <c r="O104" i="1"/>
  <c r="M102" i="1"/>
  <c r="J102" i="1" s="1"/>
  <c r="N102" i="1"/>
  <c r="O102" i="1"/>
  <c r="M96" i="1"/>
  <c r="J96" i="1" s="1"/>
  <c r="O96" i="1"/>
  <c r="M89" i="1"/>
  <c r="J89" i="1" s="1"/>
  <c r="N89" i="1"/>
  <c r="O89" i="1"/>
  <c r="M80" i="1"/>
  <c r="J80" i="1" s="1"/>
  <c r="N80" i="1"/>
  <c r="O80" i="1"/>
  <c r="J81" i="1"/>
  <c r="K81" i="1" s="1"/>
  <c r="M81" i="1"/>
  <c r="N81" i="1"/>
  <c r="O81" i="1"/>
  <c r="M82" i="1"/>
  <c r="J82" i="1" s="1"/>
  <c r="N82" i="1"/>
  <c r="O82" i="1"/>
  <c r="M83" i="1"/>
  <c r="J83" i="1" s="1"/>
  <c r="N83" i="1"/>
  <c r="O83" i="1"/>
  <c r="M84" i="1"/>
  <c r="J84" i="1" s="1"/>
  <c r="N84" i="1"/>
  <c r="O84" i="1"/>
  <c r="J85" i="1"/>
  <c r="K85" i="1" s="1"/>
  <c r="M85" i="1"/>
  <c r="N85" i="1"/>
  <c r="O85" i="1"/>
  <c r="M86" i="1"/>
  <c r="J86" i="1" s="1"/>
  <c r="N86" i="1"/>
  <c r="O86" i="1"/>
  <c r="M87" i="1"/>
  <c r="J87" i="1" s="1"/>
  <c r="N87" i="1"/>
  <c r="O87" i="1"/>
  <c r="M88" i="1"/>
  <c r="J88" i="1" s="1"/>
  <c r="N88" i="1"/>
  <c r="O88" i="1"/>
  <c r="M71" i="1"/>
  <c r="J71" i="1" s="1"/>
  <c r="N71" i="1"/>
  <c r="O71" i="1"/>
  <c r="M72" i="1"/>
  <c r="J72" i="1" s="1"/>
  <c r="N72" i="1"/>
  <c r="O72" i="1"/>
  <c r="J73" i="1"/>
  <c r="G73" i="1" s="1"/>
  <c r="M73" i="1"/>
  <c r="N73" i="1"/>
  <c r="O73" i="1"/>
  <c r="M74" i="1"/>
  <c r="J74" i="1" s="1"/>
  <c r="N74" i="1"/>
  <c r="O74" i="1"/>
  <c r="M75" i="1"/>
  <c r="J75" i="1" s="1"/>
  <c r="N75" i="1"/>
  <c r="O75" i="1"/>
  <c r="M76" i="1"/>
  <c r="J76" i="1" s="1"/>
  <c r="N76" i="1"/>
  <c r="O76" i="1"/>
  <c r="J77" i="1"/>
  <c r="G77" i="1" s="1"/>
  <c r="L77" i="1"/>
  <c r="M77" i="1"/>
  <c r="N77" i="1"/>
  <c r="O77" i="1"/>
  <c r="M78" i="1"/>
  <c r="J78" i="1" s="1"/>
  <c r="N78" i="1"/>
  <c r="O78" i="1"/>
  <c r="M66" i="1"/>
  <c r="J66" i="1" s="1"/>
  <c r="N66" i="1"/>
  <c r="O66" i="1"/>
  <c r="M67" i="1"/>
  <c r="J67" i="1" s="1"/>
  <c r="N67" i="1"/>
  <c r="O67" i="1"/>
  <c r="J68" i="1"/>
  <c r="G68" i="1" s="1"/>
  <c r="M68" i="1"/>
  <c r="N68" i="1"/>
  <c r="O68" i="1"/>
  <c r="M69" i="1"/>
  <c r="J69" i="1" s="1"/>
  <c r="N69" i="1"/>
  <c r="O69" i="1"/>
  <c r="M70" i="1"/>
  <c r="J70" i="1" s="1"/>
  <c r="N70" i="1"/>
  <c r="O70" i="1"/>
  <c r="M57" i="1"/>
  <c r="J57" i="1" s="1"/>
  <c r="N57" i="1"/>
  <c r="O57" i="1"/>
  <c r="M53" i="1"/>
  <c r="J53" i="1" s="1"/>
  <c r="N53" i="1"/>
  <c r="O53" i="1"/>
  <c r="M48" i="1"/>
  <c r="J48" i="1" s="1"/>
  <c r="N48" i="1"/>
  <c r="O48" i="1"/>
  <c r="M46" i="1"/>
  <c r="J46" i="1" s="1"/>
  <c r="N46" i="1"/>
  <c r="O46" i="1"/>
  <c r="O58" i="1"/>
  <c r="O54" i="1"/>
  <c r="O55" i="1"/>
  <c r="O56" i="1"/>
  <c r="O39" i="1"/>
  <c r="O37" i="1"/>
  <c r="O44" i="1"/>
  <c r="O45" i="1"/>
  <c r="O47" i="1"/>
  <c r="M33" i="1"/>
  <c r="J33" i="1" s="1"/>
  <c r="O33" i="1"/>
  <c r="K104" i="1" l="1"/>
  <c r="L104" i="1"/>
  <c r="G104" i="1"/>
  <c r="G103" i="1"/>
  <c r="L103" i="1"/>
  <c r="K103" i="1"/>
  <c r="G102" i="1"/>
  <c r="K102" i="1"/>
  <c r="L102" i="1"/>
  <c r="G96" i="1"/>
  <c r="K96" i="1"/>
  <c r="L96" i="1"/>
  <c r="G89" i="1"/>
  <c r="K89" i="1"/>
  <c r="L89" i="1"/>
  <c r="L83" i="1"/>
  <c r="G83" i="1"/>
  <c r="K83" i="1"/>
  <c r="G86" i="1"/>
  <c r="L86" i="1"/>
  <c r="K86" i="1"/>
  <c r="K87" i="1"/>
  <c r="G87" i="1"/>
  <c r="L87" i="1"/>
  <c r="G88" i="1"/>
  <c r="K88" i="1"/>
  <c r="L88" i="1"/>
  <c r="L82" i="1"/>
  <c r="G82" i="1"/>
  <c r="K82" i="1"/>
  <c r="G84" i="1"/>
  <c r="K84" i="1"/>
  <c r="L84" i="1"/>
  <c r="G80" i="1"/>
  <c r="K80" i="1"/>
  <c r="L80" i="1"/>
  <c r="G81" i="1"/>
  <c r="G85" i="1"/>
  <c r="L85" i="1"/>
  <c r="L81" i="1"/>
  <c r="H73" i="1"/>
  <c r="I73" i="1"/>
  <c r="L74" i="1"/>
  <c r="G74" i="1"/>
  <c r="K74" i="1"/>
  <c r="K72" i="1"/>
  <c r="L72" i="1"/>
  <c r="G72" i="1"/>
  <c r="H77" i="1"/>
  <c r="I77" i="1"/>
  <c r="K76" i="1"/>
  <c r="L76" i="1"/>
  <c r="G76" i="1"/>
  <c r="G75" i="1"/>
  <c r="K75" i="1"/>
  <c r="L75" i="1"/>
  <c r="G78" i="1"/>
  <c r="L78" i="1"/>
  <c r="K78" i="1"/>
  <c r="G71" i="1"/>
  <c r="K71" i="1"/>
  <c r="L71" i="1"/>
  <c r="K77" i="1"/>
  <c r="L73" i="1"/>
  <c r="K73" i="1"/>
  <c r="G70" i="1"/>
  <c r="K70" i="1"/>
  <c r="L70" i="1"/>
  <c r="G69" i="1"/>
  <c r="K69" i="1"/>
  <c r="L69" i="1"/>
  <c r="I68" i="1"/>
  <c r="H68" i="1"/>
  <c r="K67" i="1"/>
  <c r="L67" i="1"/>
  <c r="G67" i="1"/>
  <c r="G66" i="1"/>
  <c r="K66" i="1"/>
  <c r="L66" i="1"/>
  <c r="L68" i="1"/>
  <c r="K68" i="1"/>
  <c r="G57" i="1"/>
  <c r="K57" i="1"/>
  <c r="L57" i="1"/>
  <c r="G53" i="1"/>
  <c r="K53" i="1"/>
  <c r="L53" i="1"/>
  <c r="G48" i="1"/>
  <c r="K48" i="1"/>
  <c r="L48" i="1"/>
  <c r="G46" i="1"/>
  <c r="L46" i="1"/>
  <c r="K46" i="1"/>
  <c r="G33" i="1"/>
  <c r="L33" i="1"/>
  <c r="K33" i="1"/>
  <c r="H142" i="15"/>
  <c r="G133" i="15"/>
  <c r="G132" i="15"/>
  <c r="G131" i="15"/>
  <c r="G129" i="15"/>
  <c r="H129" i="15" s="1"/>
  <c r="G128" i="15"/>
  <c r="H128" i="15" s="1"/>
  <c r="G126" i="15"/>
  <c r="H126" i="15" s="1"/>
  <c r="H102" i="15"/>
  <c r="H96" i="15"/>
  <c r="G78" i="15"/>
  <c r="H78" i="15" s="1"/>
  <c r="G77" i="15"/>
  <c r="H77" i="15" s="1"/>
  <c r="G76" i="15"/>
  <c r="G75" i="15"/>
  <c r="H75" i="15" s="1"/>
  <c r="H48" i="15"/>
  <c r="H142" i="14"/>
  <c r="G133" i="14"/>
  <c r="G132" i="14"/>
  <c r="H132" i="14" s="1"/>
  <c r="G131" i="14"/>
  <c r="G129" i="14"/>
  <c r="G128" i="14"/>
  <c r="G126" i="14"/>
  <c r="H126" i="14" s="1"/>
  <c r="H102" i="14"/>
  <c r="H96" i="14"/>
  <c r="G78" i="14"/>
  <c r="H78" i="14" s="1"/>
  <c r="G77" i="14"/>
  <c r="G76" i="14"/>
  <c r="H76" i="14" s="1"/>
  <c r="G75" i="14"/>
  <c r="H48" i="14"/>
  <c r="H142" i="13"/>
  <c r="G133" i="13"/>
  <c r="G132" i="13"/>
  <c r="H132" i="13" s="1"/>
  <c r="G131" i="13"/>
  <c r="G129" i="13"/>
  <c r="H129" i="13" s="1"/>
  <c r="G128" i="13"/>
  <c r="H128" i="13" s="1"/>
  <c r="G126" i="13"/>
  <c r="H126" i="13" s="1"/>
  <c r="H102" i="13"/>
  <c r="H96" i="13"/>
  <c r="G78" i="13"/>
  <c r="H78" i="13" s="1"/>
  <c r="G77" i="13"/>
  <c r="G76" i="13"/>
  <c r="H76" i="13" s="1"/>
  <c r="G75" i="13"/>
  <c r="H48" i="13"/>
  <c r="H142" i="9"/>
  <c r="G133" i="9"/>
  <c r="G132" i="9"/>
  <c r="G131" i="9"/>
  <c r="G129" i="9"/>
  <c r="G128" i="9"/>
  <c r="G126" i="9"/>
  <c r="H126" i="9" s="1"/>
  <c r="H102" i="9"/>
  <c r="H96" i="9"/>
  <c r="G78" i="9"/>
  <c r="H78" i="9" s="1"/>
  <c r="G77" i="9"/>
  <c r="G76" i="9"/>
  <c r="G75" i="9"/>
  <c r="H48" i="9"/>
  <c r="H103" i="1" l="1"/>
  <c r="I103" i="1"/>
  <c r="H104" i="1"/>
  <c r="I104" i="1"/>
  <c r="H102" i="1"/>
  <c r="I102" i="1"/>
  <c r="I96" i="1"/>
  <c r="H96" i="1"/>
  <c r="H89" i="1"/>
  <c r="I89" i="1"/>
  <c r="I85" i="1"/>
  <c r="H85" i="1"/>
  <c r="H88" i="1"/>
  <c r="I88" i="1"/>
  <c r="I87" i="1"/>
  <c r="H87" i="1"/>
  <c r="H84" i="1"/>
  <c r="I84" i="1"/>
  <c r="I86" i="1"/>
  <c r="H86" i="1"/>
  <c r="H81" i="1"/>
  <c r="I81" i="1"/>
  <c r="H80" i="1"/>
  <c r="I80" i="1"/>
  <c r="H82" i="1"/>
  <c r="I82" i="1"/>
  <c r="I83" i="1"/>
  <c r="H83" i="1"/>
  <c r="H71" i="1"/>
  <c r="I71" i="1"/>
  <c r="I78" i="1"/>
  <c r="H78" i="1"/>
  <c r="H72" i="1"/>
  <c r="I72" i="1"/>
  <c r="H74" i="1"/>
  <c r="I74" i="1"/>
  <c r="H75" i="1"/>
  <c r="I75" i="1"/>
  <c r="I76" i="1"/>
  <c r="H76" i="1"/>
  <c r="H67" i="1"/>
  <c r="I67" i="1"/>
  <c r="I66" i="1"/>
  <c r="H66" i="1"/>
  <c r="H69" i="1"/>
  <c r="I69" i="1"/>
  <c r="H70" i="1"/>
  <c r="I70" i="1"/>
  <c r="H57" i="1"/>
  <c r="I57" i="1"/>
  <c r="I53" i="1"/>
  <c r="H53" i="1"/>
  <c r="H48" i="1"/>
  <c r="I48" i="1"/>
  <c r="H46" i="1"/>
  <c r="I46" i="1"/>
  <c r="H33" i="1"/>
  <c r="I33" i="1"/>
  <c r="H76" i="15"/>
  <c r="H132" i="15"/>
  <c r="H133" i="15"/>
  <c r="H131" i="15"/>
  <c r="H128" i="14"/>
  <c r="H129" i="14"/>
  <c r="H75" i="14"/>
  <c r="H77" i="14"/>
  <c r="H131" i="14"/>
  <c r="H133" i="14"/>
  <c r="H75" i="13"/>
  <c r="H77" i="13"/>
  <c r="H131" i="13"/>
  <c r="H133" i="13"/>
  <c r="H76" i="9"/>
  <c r="H132" i="9"/>
  <c r="H128" i="9"/>
  <c r="H129" i="9"/>
  <c r="H75" i="9"/>
  <c r="H77" i="9"/>
  <c r="H131" i="9"/>
  <c r="H133" i="9"/>
  <c r="K25" i="5" l="1"/>
  <c r="G126" i="1" l="1"/>
  <c r="H126" i="1" s="1"/>
  <c r="G128" i="1"/>
  <c r="H128" i="1" s="1"/>
  <c r="G129" i="1"/>
  <c r="H129" i="1" s="1"/>
  <c r="G131" i="1"/>
  <c r="H131" i="1" s="1"/>
  <c r="G132" i="1"/>
  <c r="H132" i="1" s="1"/>
  <c r="G133" i="1"/>
  <c r="H133" i="1" s="1"/>
  <c r="I28" i="5" l="1"/>
  <c r="I27" i="5"/>
  <c r="I26" i="5"/>
  <c r="I25" i="5"/>
  <c r="I24" i="5"/>
  <c r="F83" i="2" l="1"/>
  <c r="N83" i="15" l="1"/>
  <c r="J83" i="15" s="1"/>
  <c r="N83" i="14"/>
  <c r="J83" i="14" s="1"/>
  <c r="N83" i="13"/>
  <c r="J83" i="13" s="1"/>
  <c r="N83" i="9"/>
  <c r="J83" i="9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M116" i="15" l="1"/>
  <c r="M116" i="14"/>
  <c r="M116" i="13"/>
  <c r="M116" i="9"/>
  <c r="M56" i="15"/>
  <c r="M56" i="9"/>
  <c r="M56" i="13"/>
  <c r="J56" i="13" s="1"/>
  <c r="M56" i="14"/>
  <c r="M44" i="15"/>
  <c r="M44" i="9"/>
  <c r="M44" i="14"/>
  <c r="J44" i="14" s="1"/>
  <c r="M44" i="13"/>
  <c r="M32" i="14"/>
  <c r="M32" i="15"/>
  <c r="M32" i="13"/>
  <c r="J32" i="13" s="1"/>
  <c r="M32" i="9"/>
  <c r="M20" i="15"/>
  <c r="M20" i="14"/>
  <c r="M20" i="13"/>
  <c r="M20" i="9"/>
  <c r="M8" i="14"/>
  <c r="M8" i="15"/>
  <c r="M8" i="13"/>
  <c r="J8" i="13" s="1"/>
  <c r="M8" i="9"/>
  <c r="N141" i="14"/>
  <c r="N141" i="15"/>
  <c r="N141" i="9"/>
  <c r="N141" i="13"/>
  <c r="N105" i="14"/>
  <c r="N105" i="15"/>
  <c r="N105" i="9"/>
  <c r="N105" i="13"/>
  <c r="N80" i="15"/>
  <c r="N80" i="14"/>
  <c r="N80" i="13"/>
  <c r="N80" i="9"/>
  <c r="N68" i="15"/>
  <c r="N68" i="13"/>
  <c r="N68" i="9"/>
  <c r="N68" i="14"/>
  <c r="N56" i="15"/>
  <c r="N56" i="13"/>
  <c r="N56" i="9"/>
  <c r="N56" i="14"/>
  <c r="N44" i="15"/>
  <c r="N44" i="14"/>
  <c r="N44" i="9"/>
  <c r="N44" i="13"/>
  <c r="N20" i="15"/>
  <c r="N20" i="9"/>
  <c r="N20" i="14"/>
  <c r="N20" i="13"/>
  <c r="O141" i="14"/>
  <c r="O141" i="15"/>
  <c r="O141" i="9"/>
  <c r="O141" i="13"/>
  <c r="O129" i="15"/>
  <c r="O129" i="14"/>
  <c r="O129" i="9"/>
  <c r="O129" i="13"/>
  <c r="O117" i="15"/>
  <c r="O117" i="14"/>
  <c r="O117" i="13"/>
  <c r="O117" i="9"/>
  <c r="O105" i="14"/>
  <c r="O105" i="15"/>
  <c r="O105" i="13"/>
  <c r="O105" i="9"/>
  <c r="O93" i="14"/>
  <c r="O93" i="15"/>
  <c r="O93" i="13"/>
  <c r="O93" i="9"/>
  <c r="O81" i="15"/>
  <c r="O81" i="14"/>
  <c r="O81" i="13"/>
  <c r="O81" i="9"/>
  <c r="O69" i="15"/>
  <c r="O69" i="14"/>
  <c r="O69" i="13"/>
  <c r="O69" i="9"/>
  <c r="O33" i="14"/>
  <c r="O33" i="15"/>
  <c r="O33" i="13"/>
  <c r="O33" i="9"/>
  <c r="O21" i="14"/>
  <c r="O21" i="15"/>
  <c r="O21" i="13"/>
  <c r="O21" i="9"/>
  <c r="O9" i="15"/>
  <c r="O9" i="14"/>
  <c r="O9" i="13"/>
  <c r="O9" i="9"/>
  <c r="M127" i="14"/>
  <c r="J127" i="14" s="1"/>
  <c r="M127" i="15"/>
  <c r="J127" i="15" s="1"/>
  <c r="M127" i="13"/>
  <c r="J127" i="13" s="1"/>
  <c r="M127" i="9"/>
  <c r="J127" i="9" s="1"/>
  <c r="O128" i="15"/>
  <c r="O128" i="14"/>
  <c r="O128" i="13"/>
  <c r="O128" i="9"/>
  <c r="O116" i="15"/>
  <c r="O116" i="14"/>
  <c r="O116" i="9"/>
  <c r="O116" i="13"/>
  <c r="O92" i="15"/>
  <c r="O92" i="13"/>
  <c r="O92" i="14"/>
  <c r="O92" i="9"/>
  <c r="O32" i="15"/>
  <c r="J32" i="15" s="1"/>
  <c r="O32" i="13"/>
  <c r="O32" i="14"/>
  <c r="O32" i="9"/>
  <c r="O20" i="15"/>
  <c r="O20" i="14"/>
  <c r="O20" i="9"/>
  <c r="O20" i="13"/>
  <c r="O8" i="15"/>
  <c r="O8" i="9"/>
  <c r="O8" i="14"/>
  <c r="O8" i="13"/>
  <c r="M139" i="15"/>
  <c r="M139" i="14"/>
  <c r="M139" i="13"/>
  <c r="M139" i="9"/>
  <c r="M31" i="15"/>
  <c r="M31" i="9"/>
  <c r="M31" i="14"/>
  <c r="M31" i="13"/>
  <c r="M126" i="15"/>
  <c r="M126" i="14"/>
  <c r="M126" i="13"/>
  <c r="M126" i="9"/>
  <c r="M18" i="15"/>
  <c r="M18" i="9"/>
  <c r="M18" i="13"/>
  <c r="M18" i="14"/>
  <c r="M6" i="15"/>
  <c r="M6" i="14"/>
  <c r="M6" i="13"/>
  <c r="M6" i="9"/>
  <c r="N139" i="15"/>
  <c r="N139" i="14"/>
  <c r="N139" i="13"/>
  <c r="N139" i="9"/>
  <c r="N103" i="15"/>
  <c r="N103" i="14"/>
  <c r="N103" i="13"/>
  <c r="N103" i="9"/>
  <c r="N66" i="14"/>
  <c r="N66" i="15"/>
  <c r="N66" i="13"/>
  <c r="N66" i="9"/>
  <c r="N54" i="14"/>
  <c r="N54" i="15"/>
  <c r="N54" i="13"/>
  <c r="N54" i="9"/>
  <c r="O139" i="15"/>
  <c r="O139" i="14"/>
  <c r="O139" i="13"/>
  <c r="O139" i="9"/>
  <c r="O127" i="15"/>
  <c r="O127" i="14"/>
  <c r="O127" i="13"/>
  <c r="O127" i="9"/>
  <c r="O115" i="15"/>
  <c r="O115" i="14"/>
  <c r="O115" i="13"/>
  <c r="O115" i="9"/>
  <c r="O103" i="15"/>
  <c r="O103" i="14"/>
  <c r="O103" i="13"/>
  <c r="O103" i="9"/>
  <c r="O91" i="14"/>
  <c r="O91" i="13"/>
  <c r="O91" i="15"/>
  <c r="O91" i="9"/>
  <c r="O79" i="14"/>
  <c r="O79" i="15"/>
  <c r="O79" i="13"/>
  <c r="O79" i="9"/>
  <c r="O67" i="15"/>
  <c r="O67" i="13"/>
  <c r="O67" i="14"/>
  <c r="O67" i="9"/>
  <c r="O43" i="14"/>
  <c r="O43" i="15"/>
  <c r="O43" i="13"/>
  <c r="O43" i="9"/>
  <c r="O31" i="15"/>
  <c r="O31" i="14"/>
  <c r="J31" i="14" s="1"/>
  <c r="O31" i="13"/>
  <c r="O31" i="9"/>
  <c r="O19" i="14"/>
  <c r="O19" i="15"/>
  <c r="O19" i="13"/>
  <c r="O19" i="9"/>
  <c r="O7" i="15"/>
  <c r="O7" i="13"/>
  <c r="O7" i="14"/>
  <c r="O7" i="9"/>
  <c r="M115" i="15"/>
  <c r="J115" i="15" s="1"/>
  <c r="M115" i="14"/>
  <c r="J115" i="14" s="1"/>
  <c r="M115" i="13"/>
  <c r="J115" i="13" s="1"/>
  <c r="M115" i="9"/>
  <c r="J115" i="9" s="1"/>
  <c r="M7" i="13"/>
  <c r="M7" i="15"/>
  <c r="M7" i="14"/>
  <c r="M7" i="9"/>
  <c r="N79" i="15"/>
  <c r="N79" i="14"/>
  <c r="N79" i="13"/>
  <c r="N79" i="9"/>
  <c r="M54" i="14"/>
  <c r="J54" i="14" s="1"/>
  <c r="M54" i="13"/>
  <c r="M54" i="15"/>
  <c r="J54" i="15" s="1"/>
  <c r="M54" i="9"/>
  <c r="J54" i="9" s="1"/>
  <c r="M65" i="15"/>
  <c r="M65" i="14"/>
  <c r="M65" i="13"/>
  <c r="M65" i="9"/>
  <c r="M29" i="14"/>
  <c r="M29" i="15"/>
  <c r="M29" i="13"/>
  <c r="M29" i="9"/>
  <c r="M17" i="15"/>
  <c r="J17" i="15" s="1"/>
  <c r="M17" i="13"/>
  <c r="M17" i="14"/>
  <c r="J17" i="14" s="1"/>
  <c r="M17" i="9"/>
  <c r="J17" i="9" s="1"/>
  <c r="M5" i="15"/>
  <c r="M5" i="13"/>
  <c r="M5" i="14"/>
  <c r="M5" i="9"/>
  <c r="N138" i="15"/>
  <c r="N138" i="14"/>
  <c r="N138" i="9"/>
  <c r="N138" i="13"/>
  <c r="N102" i="15"/>
  <c r="N102" i="14"/>
  <c r="N102" i="9"/>
  <c r="N102" i="13"/>
  <c r="N65" i="15"/>
  <c r="N65" i="14"/>
  <c r="N65" i="13"/>
  <c r="N65" i="9"/>
  <c r="N53" i="14"/>
  <c r="N53" i="15"/>
  <c r="N53" i="13"/>
  <c r="N53" i="9"/>
  <c r="O138" i="15"/>
  <c r="O138" i="14"/>
  <c r="O138" i="13"/>
  <c r="O138" i="9"/>
  <c r="O126" i="15"/>
  <c r="O126" i="14"/>
  <c r="O126" i="13"/>
  <c r="O126" i="9"/>
  <c r="O114" i="15"/>
  <c r="O114" i="14"/>
  <c r="O114" i="13"/>
  <c r="O114" i="9"/>
  <c r="O102" i="15"/>
  <c r="O102" i="14"/>
  <c r="O102" i="9"/>
  <c r="O102" i="13"/>
  <c r="O90" i="14"/>
  <c r="O90" i="15"/>
  <c r="O90" i="13"/>
  <c r="O90" i="9"/>
  <c r="O78" i="15"/>
  <c r="O78" i="14"/>
  <c r="O78" i="13"/>
  <c r="O78" i="9"/>
  <c r="O42" i="15"/>
  <c r="O42" i="14"/>
  <c r="O42" i="9"/>
  <c r="O42" i="13"/>
  <c r="O30" i="15"/>
  <c r="O30" i="9"/>
  <c r="O30" i="14"/>
  <c r="J30" i="14" s="1"/>
  <c r="O30" i="13"/>
  <c r="O18" i="15"/>
  <c r="O18" i="13"/>
  <c r="O18" i="14"/>
  <c r="O18" i="9"/>
  <c r="O6" i="15"/>
  <c r="O6" i="13"/>
  <c r="O6" i="14"/>
  <c r="O6" i="9"/>
  <c r="M140" i="15"/>
  <c r="M140" i="14"/>
  <c r="M140" i="9"/>
  <c r="M140" i="13"/>
  <c r="M103" i="15"/>
  <c r="M103" i="14"/>
  <c r="M103" i="9"/>
  <c r="J103" i="9" s="1"/>
  <c r="M103" i="13"/>
  <c r="J103" i="13" s="1"/>
  <c r="N140" i="15"/>
  <c r="N140" i="14"/>
  <c r="N140" i="9"/>
  <c r="N140" i="13"/>
  <c r="M138" i="15"/>
  <c r="M138" i="14"/>
  <c r="M138" i="9"/>
  <c r="M138" i="13"/>
  <c r="M30" i="15"/>
  <c r="J30" i="15" s="1"/>
  <c r="M30" i="14"/>
  <c r="M30" i="13"/>
  <c r="J30" i="13" s="1"/>
  <c r="M30" i="9"/>
  <c r="J30" i="9" s="1"/>
  <c r="M53" i="14"/>
  <c r="M53" i="15"/>
  <c r="M53" i="13"/>
  <c r="M53" i="9"/>
  <c r="M76" i="14"/>
  <c r="M76" i="15"/>
  <c r="M76" i="13"/>
  <c r="M76" i="9"/>
  <c r="M64" i="15"/>
  <c r="M64" i="9"/>
  <c r="M64" i="13"/>
  <c r="M64" i="14"/>
  <c r="M52" i="13"/>
  <c r="M52" i="15"/>
  <c r="J52" i="15" s="1"/>
  <c r="M52" i="9"/>
  <c r="J52" i="9" s="1"/>
  <c r="M52" i="14"/>
  <c r="M40" i="15"/>
  <c r="M40" i="9"/>
  <c r="M40" i="13"/>
  <c r="M40" i="14"/>
  <c r="M28" i="15"/>
  <c r="M28" i="14"/>
  <c r="M28" i="13"/>
  <c r="M28" i="9"/>
  <c r="M16" i="14"/>
  <c r="J16" i="14" s="1"/>
  <c r="M16" i="15"/>
  <c r="J16" i="15" s="1"/>
  <c r="M16" i="9"/>
  <c r="J16" i="9" s="1"/>
  <c r="M16" i="13"/>
  <c r="M4" i="15"/>
  <c r="M4" i="9"/>
  <c r="M4" i="14"/>
  <c r="M4" i="13"/>
  <c r="N137" i="15"/>
  <c r="N137" i="14"/>
  <c r="N137" i="9"/>
  <c r="N137" i="13"/>
  <c r="N101" i="15"/>
  <c r="N101" i="9"/>
  <c r="N101" i="13"/>
  <c r="N101" i="14"/>
  <c r="N89" i="14"/>
  <c r="N89" i="15"/>
  <c r="N89" i="13"/>
  <c r="J89" i="13" s="1"/>
  <c r="N89" i="9"/>
  <c r="N64" i="15"/>
  <c r="N64" i="9"/>
  <c r="N64" i="13"/>
  <c r="N64" i="14"/>
  <c r="N52" i="15"/>
  <c r="N52" i="9"/>
  <c r="N52" i="13"/>
  <c r="N52" i="14"/>
  <c r="N40" i="15"/>
  <c r="N40" i="9"/>
  <c r="N40" i="13"/>
  <c r="N40" i="14"/>
  <c r="N4" i="15"/>
  <c r="N4" i="13"/>
  <c r="N4" i="14"/>
  <c r="N4" i="9"/>
  <c r="O137" i="15"/>
  <c r="O137" i="14"/>
  <c r="O137" i="9"/>
  <c r="O137" i="13"/>
  <c r="O125" i="15"/>
  <c r="O125" i="14"/>
  <c r="O125" i="9"/>
  <c r="O125" i="13"/>
  <c r="O113" i="15"/>
  <c r="O113" i="14"/>
  <c r="O113" i="13"/>
  <c r="O113" i="9"/>
  <c r="O101" i="15"/>
  <c r="O101" i="9"/>
  <c r="O101" i="13"/>
  <c r="O101" i="14"/>
  <c r="O89" i="14"/>
  <c r="O89" i="15"/>
  <c r="O89" i="9"/>
  <c r="O89" i="13"/>
  <c r="O77" i="15"/>
  <c r="O77" i="9"/>
  <c r="O77" i="14"/>
  <c r="O77" i="13"/>
  <c r="O65" i="15"/>
  <c r="O65" i="13"/>
  <c r="O65" i="14"/>
  <c r="O65" i="9"/>
  <c r="O53" i="15"/>
  <c r="O53" i="13"/>
  <c r="O53" i="14"/>
  <c r="O53" i="9"/>
  <c r="O41" i="14"/>
  <c r="O41" i="15"/>
  <c r="O41" i="9"/>
  <c r="O41" i="13"/>
  <c r="O29" i="15"/>
  <c r="O29" i="14"/>
  <c r="O29" i="13"/>
  <c r="O29" i="9"/>
  <c r="O17" i="15"/>
  <c r="O17" i="9"/>
  <c r="O17" i="13"/>
  <c r="O17" i="14"/>
  <c r="O5" i="15"/>
  <c r="O5" i="13"/>
  <c r="O5" i="14"/>
  <c r="O5" i="9"/>
  <c r="M91" i="14"/>
  <c r="M91" i="15"/>
  <c r="J91" i="15" s="1"/>
  <c r="M91" i="13"/>
  <c r="J91" i="13" s="1"/>
  <c r="M91" i="9"/>
  <c r="J91" i="9" s="1"/>
  <c r="M114" i="13"/>
  <c r="M114" i="15"/>
  <c r="M114" i="9"/>
  <c r="J114" i="9" s="1"/>
  <c r="M114" i="14"/>
  <c r="J114" i="14" s="1"/>
  <c r="M113" i="15"/>
  <c r="J113" i="15" s="1"/>
  <c r="M113" i="14"/>
  <c r="J113" i="14" s="1"/>
  <c r="M113" i="13"/>
  <c r="J113" i="13" s="1"/>
  <c r="M113" i="9"/>
  <c r="J113" i="9" s="1"/>
  <c r="M136" i="15"/>
  <c r="M136" i="14"/>
  <c r="M136" i="13"/>
  <c r="M136" i="9"/>
  <c r="M99" i="15"/>
  <c r="M99" i="14"/>
  <c r="M99" i="9"/>
  <c r="M99" i="13"/>
  <c r="M39" i="14"/>
  <c r="M39" i="15"/>
  <c r="M39" i="13"/>
  <c r="J39" i="13" s="1"/>
  <c r="M39" i="9"/>
  <c r="J39" i="9" s="1"/>
  <c r="M27" i="14"/>
  <c r="M27" i="15"/>
  <c r="M27" i="13"/>
  <c r="M27" i="9"/>
  <c r="M15" i="15"/>
  <c r="M15" i="14"/>
  <c r="M15" i="9"/>
  <c r="M15" i="13"/>
  <c r="M3" i="15"/>
  <c r="M3" i="14"/>
  <c r="M3" i="13"/>
  <c r="M3" i="9"/>
  <c r="N136" i="15"/>
  <c r="N136" i="14"/>
  <c r="N136" i="13"/>
  <c r="N136" i="9"/>
  <c r="N88" i="15"/>
  <c r="N88" i="9"/>
  <c r="N88" i="14"/>
  <c r="N88" i="13"/>
  <c r="N63" i="15"/>
  <c r="N63" i="14"/>
  <c r="N63" i="13"/>
  <c r="N63" i="9"/>
  <c r="N51" i="15"/>
  <c r="N51" i="14"/>
  <c r="N51" i="13"/>
  <c r="N51" i="9"/>
  <c r="N39" i="15"/>
  <c r="N39" i="13"/>
  <c r="N39" i="14"/>
  <c r="N39" i="9"/>
  <c r="N3" i="14"/>
  <c r="J3" i="14" s="1"/>
  <c r="N3" i="15"/>
  <c r="N3" i="9"/>
  <c r="N3" i="13"/>
  <c r="O136" i="13"/>
  <c r="O136" i="15"/>
  <c r="O136" i="14"/>
  <c r="O136" i="9"/>
  <c r="O124" i="14"/>
  <c r="O124" i="15"/>
  <c r="O124" i="9"/>
  <c r="O124" i="13"/>
  <c r="O112" i="14"/>
  <c r="O112" i="15"/>
  <c r="O112" i="13"/>
  <c r="O112" i="9"/>
  <c r="O100" i="15"/>
  <c r="O100" i="14"/>
  <c r="O100" i="13"/>
  <c r="O100" i="9"/>
  <c r="O88" i="13"/>
  <c r="O88" i="15"/>
  <c r="O88" i="14"/>
  <c r="O88" i="9"/>
  <c r="O76" i="13"/>
  <c r="O76" i="15"/>
  <c r="O76" i="14"/>
  <c r="O76" i="9"/>
  <c r="O64" i="15"/>
  <c r="O64" i="13"/>
  <c r="O64" i="14"/>
  <c r="O64" i="9"/>
  <c r="O52" i="15"/>
  <c r="O52" i="14"/>
  <c r="O52" i="13"/>
  <c r="O52" i="9"/>
  <c r="O40" i="15"/>
  <c r="O40" i="13"/>
  <c r="O40" i="14"/>
  <c r="O40" i="9"/>
  <c r="O28" i="15"/>
  <c r="J28" i="15" s="1"/>
  <c r="O28" i="14"/>
  <c r="J28" i="14" s="1"/>
  <c r="O28" i="13"/>
  <c r="O28" i="9"/>
  <c r="O16" i="15"/>
  <c r="O16" i="14"/>
  <c r="O16" i="13"/>
  <c r="O16" i="9"/>
  <c r="M92" i="15"/>
  <c r="J92" i="15" s="1"/>
  <c r="M92" i="14"/>
  <c r="M92" i="13"/>
  <c r="J92" i="13" s="1"/>
  <c r="M92" i="9"/>
  <c r="J92" i="9" s="1"/>
  <c r="M43" i="14"/>
  <c r="J43" i="14" s="1"/>
  <c r="M43" i="15"/>
  <c r="J43" i="15" s="1"/>
  <c r="M43" i="13"/>
  <c r="J43" i="13" s="1"/>
  <c r="M43" i="9"/>
  <c r="J43" i="9" s="1"/>
  <c r="M90" i="14"/>
  <c r="J90" i="14" s="1"/>
  <c r="M90" i="15"/>
  <c r="J90" i="15" s="1"/>
  <c r="M90" i="9"/>
  <c r="J90" i="9" s="1"/>
  <c r="M90" i="13"/>
  <c r="J90" i="13" s="1"/>
  <c r="M137" i="15"/>
  <c r="M137" i="14"/>
  <c r="M137" i="9"/>
  <c r="M137" i="13"/>
  <c r="M124" i="15"/>
  <c r="J124" i="15" s="1"/>
  <c r="M124" i="14"/>
  <c r="J124" i="14" s="1"/>
  <c r="M124" i="9"/>
  <c r="J124" i="9" s="1"/>
  <c r="M124" i="13"/>
  <c r="J124" i="13" s="1"/>
  <c r="M111" i="13"/>
  <c r="M111" i="14"/>
  <c r="M111" i="15"/>
  <c r="M111" i="9"/>
  <c r="M134" i="15"/>
  <c r="J134" i="15" s="1"/>
  <c r="M134" i="14"/>
  <c r="M134" i="13"/>
  <c r="M134" i="9"/>
  <c r="M110" i="14"/>
  <c r="M110" i="15"/>
  <c r="J110" i="15" s="1"/>
  <c r="M110" i="9"/>
  <c r="J110" i="9" s="1"/>
  <c r="M110" i="13"/>
  <c r="M98" i="15"/>
  <c r="M98" i="14"/>
  <c r="M98" i="13"/>
  <c r="M98" i="9"/>
  <c r="M74" i="15"/>
  <c r="M74" i="14"/>
  <c r="M74" i="13"/>
  <c r="M74" i="9"/>
  <c r="M62" i="15"/>
  <c r="J62" i="15" s="1"/>
  <c r="M62" i="13"/>
  <c r="J62" i="13" s="1"/>
  <c r="M62" i="14"/>
  <c r="J62" i="14" s="1"/>
  <c r="M62" i="9"/>
  <c r="M50" i="13"/>
  <c r="M50" i="15"/>
  <c r="M50" i="14"/>
  <c r="M50" i="9"/>
  <c r="M38" i="14"/>
  <c r="J38" i="14" s="1"/>
  <c r="M38" i="15"/>
  <c r="M38" i="9"/>
  <c r="J38" i="9" s="1"/>
  <c r="M38" i="13"/>
  <c r="M26" i="15"/>
  <c r="M26" i="9"/>
  <c r="J26" i="9" s="1"/>
  <c r="M26" i="14"/>
  <c r="J26" i="14" s="1"/>
  <c r="M26" i="13"/>
  <c r="J26" i="13" s="1"/>
  <c r="M14" i="15"/>
  <c r="M14" i="14"/>
  <c r="M14" i="13"/>
  <c r="M14" i="9"/>
  <c r="M2" i="15"/>
  <c r="J2" i="15" s="1"/>
  <c r="M2" i="13"/>
  <c r="M2" i="14"/>
  <c r="M2" i="9"/>
  <c r="N87" i="14"/>
  <c r="N87" i="15"/>
  <c r="N87" i="13"/>
  <c r="N87" i="9"/>
  <c r="N62" i="14"/>
  <c r="N62" i="15"/>
  <c r="N62" i="13"/>
  <c r="N62" i="9"/>
  <c r="N50" i="14"/>
  <c r="N50" i="15"/>
  <c r="N50" i="13"/>
  <c r="N50" i="9"/>
  <c r="N2" i="15"/>
  <c r="N2" i="13"/>
  <c r="N2" i="14"/>
  <c r="N2" i="9"/>
  <c r="O135" i="15"/>
  <c r="O135" i="14"/>
  <c r="O135" i="13"/>
  <c r="O135" i="9"/>
  <c r="O123" i="15"/>
  <c r="O123" i="13"/>
  <c r="O123" i="14"/>
  <c r="O123" i="9"/>
  <c r="O111" i="14"/>
  <c r="O111" i="15"/>
  <c r="O111" i="9"/>
  <c r="O111" i="13"/>
  <c r="O99" i="15"/>
  <c r="O99" i="14"/>
  <c r="O99" i="13"/>
  <c r="O99" i="9"/>
  <c r="O87" i="14"/>
  <c r="O87" i="15"/>
  <c r="O87" i="13"/>
  <c r="O87" i="9"/>
  <c r="O75" i="14"/>
  <c r="O75" i="15"/>
  <c r="O75" i="9"/>
  <c r="O75" i="13"/>
  <c r="O63" i="13"/>
  <c r="O63" i="15"/>
  <c r="O63" i="14"/>
  <c r="O63" i="9"/>
  <c r="O51" i="15"/>
  <c r="O51" i="14"/>
  <c r="O51" i="9"/>
  <c r="O51" i="13"/>
  <c r="O27" i="14"/>
  <c r="O27" i="15"/>
  <c r="O27" i="13"/>
  <c r="O27" i="9"/>
  <c r="O15" i="15"/>
  <c r="O15" i="14"/>
  <c r="O15" i="9"/>
  <c r="O15" i="13"/>
  <c r="O3" i="15"/>
  <c r="O3" i="14"/>
  <c r="O3" i="13"/>
  <c r="O3" i="9"/>
  <c r="M77" i="15"/>
  <c r="M77" i="9"/>
  <c r="M77" i="14"/>
  <c r="M77" i="13"/>
  <c r="M75" i="15"/>
  <c r="M75" i="14"/>
  <c r="M75" i="13"/>
  <c r="M75" i="9"/>
  <c r="M73" i="15"/>
  <c r="J73" i="15" s="1"/>
  <c r="M73" i="9"/>
  <c r="M73" i="13"/>
  <c r="M73" i="14"/>
  <c r="N61" i="15"/>
  <c r="N61" i="14"/>
  <c r="N61" i="13"/>
  <c r="N61" i="9"/>
  <c r="J61" i="9" s="1"/>
  <c r="N49" i="14"/>
  <c r="N49" i="15"/>
  <c r="N49" i="13"/>
  <c r="N49" i="9"/>
  <c r="N37" i="15"/>
  <c r="N37" i="13"/>
  <c r="N37" i="14"/>
  <c r="N37" i="9"/>
  <c r="O134" i="15"/>
  <c r="O134" i="14"/>
  <c r="O134" i="13"/>
  <c r="O134" i="9"/>
  <c r="O122" i="15"/>
  <c r="O122" i="14"/>
  <c r="O122" i="13"/>
  <c r="O122" i="9"/>
  <c r="O110" i="14"/>
  <c r="O110" i="15"/>
  <c r="O110" i="13"/>
  <c r="O110" i="9"/>
  <c r="O98" i="15"/>
  <c r="O98" i="14"/>
  <c r="O98" i="13"/>
  <c r="O98" i="9"/>
  <c r="O74" i="15"/>
  <c r="O74" i="14"/>
  <c r="O74" i="13"/>
  <c r="J74" i="13" s="1"/>
  <c r="O74" i="9"/>
  <c r="O62" i="14"/>
  <c r="O62" i="15"/>
  <c r="O62" i="9"/>
  <c r="O62" i="13"/>
  <c r="O50" i="14"/>
  <c r="O50" i="15"/>
  <c r="O50" i="13"/>
  <c r="O50" i="9"/>
  <c r="O38" i="14"/>
  <c r="O38" i="15"/>
  <c r="J38" i="15" s="1"/>
  <c r="O38" i="13"/>
  <c r="O38" i="9"/>
  <c r="O26" i="15"/>
  <c r="J26" i="15" s="1"/>
  <c r="O26" i="9"/>
  <c r="O26" i="14"/>
  <c r="O26" i="13"/>
  <c r="O14" i="15"/>
  <c r="O14" i="14"/>
  <c r="O14" i="9"/>
  <c r="O14" i="13"/>
  <c r="O2" i="13"/>
  <c r="O2" i="14"/>
  <c r="O2" i="9"/>
  <c r="O2" i="15"/>
  <c r="M104" i="15"/>
  <c r="M104" i="14"/>
  <c r="M104" i="13"/>
  <c r="J104" i="13" s="1"/>
  <c r="M104" i="9"/>
  <c r="J104" i="9" s="1"/>
  <c r="M55" i="15"/>
  <c r="M55" i="14"/>
  <c r="M55" i="13"/>
  <c r="J55" i="13" s="1"/>
  <c r="M55" i="9"/>
  <c r="N104" i="15"/>
  <c r="N104" i="14"/>
  <c r="N104" i="13"/>
  <c r="N104" i="9"/>
  <c r="M102" i="15"/>
  <c r="M102" i="14"/>
  <c r="M102" i="9"/>
  <c r="M102" i="13"/>
  <c r="M125" i="15"/>
  <c r="J125" i="15" s="1"/>
  <c r="M125" i="14"/>
  <c r="J125" i="14" s="1"/>
  <c r="M125" i="9"/>
  <c r="J125" i="9" s="1"/>
  <c r="M125" i="13"/>
  <c r="J125" i="13" s="1"/>
  <c r="M112" i="14"/>
  <c r="M112" i="15"/>
  <c r="J112" i="15" s="1"/>
  <c r="M112" i="9"/>
  <c r="J112" i="9" s="1"/>
  <c r="M112" i="13"/>
  <c r="J112" i="13" s="1"/>
  <c r="M123" i="13"/>
  <c r="J123" i="13" s="1"/>
  <c r="M123" i="15"/>
  <c r="M123" i="14"/>
  <c r="J123" i="14" s="1"/>
  <c r="M123" i="9"/>
  <c r="J123" i="9" s="1"/>
  <c r="M146" i="15"/>
  <c r="M146" i="14"/>
  <c r="M146" i="13"/>
  <c r="M146" i="9"/>
  <c r="M121" i="14"/>
  <c r="M121" i="15"/>
  <c r="J121" i="15" s="1"/>
  <c r="M121" i="9"/>
  <c r="J121" i="9" s="1"/>
  <c r="M121" i="13"/>
  <c r="M61" i="15"/>
  <c r="J61" i="15" s="1"/>
  <c r="M61" i="14"/>
  <c r="M61" i="13"/>
  <c r="M61" i="9"/>
  <c r="M13" i="15"/>
  <c r="J13" i="15" s="1"/>
  <c r="M13" i="13"/>
  <c r="J13" i="13" s="1"/>
  <c r="M13" i="9"/>
  <c r="J13" i="9" s="1"/>
  <c r="M13" i="14"/>
  <c r="J13" i="14" s="1"/>
  <c r="M132" i="13"/>
  <c r="M132" i="15"/>
  <c r="M132" i="9"/>
  <c r="M132" i="14"/>
  <c r="M108" i="15"/>
  <c r="M108" i="14"/>
  <c r="M108" i="13"/>
  <c r="M108" i="9"/>
  <c r="M96" i="15"/>
  <c r="M96" i="14"/>
  <c r="M96" i="13"/>
  <c r="M96" i="9"/>
  <c r="M84" i="14"/>
  <c r="M84" i="15"/>
  <c r="M84" i="13"/>
  <c r="M84" i="9"/>
  <c r="M72" i="14"/>
  <c r="M72" i="15"/>
  <c r="M72" i="13"/>
  <c r="J72" i="13" s="1"/>
  <c r="M72" i="9"/>
  <c r="M60" i="15"/>
  <c r="M60" i="14"/>
  <c r="M60" i="13"/>
  <c r="M60" i="9"/>
  <c r="J60" i="9" s="1"/>
  <c r="M48" i="13"/>
  <c r="M48" i="15"/>
  <c r="M48" i="14"/>
  <c r="M48" i="9"/>
  <c r="M36" i="15"/>
  <c r="M36" i="14"/>
  <c r="M36" i="13"/>
  <c r="J36" i="13" s="1"/>
  <c r="M36" i="9"/>
  <c r="M24" i="14"/>
  <c r="M24" i="15"/>
  <c r="M24" i="13"/>
  <c r="M24" i="9"/>
  <c r="J24" i="9" s="1"/>
  <c r="M12" i="14"/>
  <c r="M12" i="13"/>
  <c r="M12" i="15"/>
  <c r="M12" i="9"/>
  <c r="N145" i="15"/>
  <c r="N145" i="14"/>
  <c r="N145" i="9"/>
  <c r="N145" i="13"/>
  <c r="N85" i="15"/>
  <c r="N85" i="9"/>
  <c r="N85" i="13"/>
  <c r="N85" i="14"/>
  <c r="N60" i="15"/>
  <c r="N60" i="9"/>
  <c r="N60" i="14"/>
  <c r="N60" i="13"/>
  <c r="N48" i="15"/>
  <c r="N48" i="14"/>
  <c r="N48" i="13"/>
  <c r="N48" i="9"/>
  <c r="O145" i="15"/>
  <c r="O145" i="14"/>
  <c r="O145" i="9"/>
  <c r="O145" i="13"/>
  <c r="O133" i="15"/>
  <c r="O133" i="14"/>
  <c r="O133" i="13"/>
  <c r="O133" i="9"/>
  <c r="O121" i="14"/>
  <c r="O121" i="15"/>
  <c r="O121" i="13"/>
  <c r="O121" i="9"/>
  <c r="O109" i="15"/>
  <c r="O109" i="13"/>
  <c r="O109" i="14"/>
  <c r="O109" i="9"/>
  <c r="O97" i="15"/>
  <c r="O97" i="13"/>
  <c r="O97" i="9"/>
  <c r="O97" i="14"/>
  <c r="O85" i="15"/>
  <c r="O85" i="14"/>
  <c r="O85" i="13"/>
  <c r="O85" i="9"/>
  <c r="O73" i="15"/>
  <c r="O73" i="13"/>
  <c r="O73" i="14"/>
  <c r="O73" i="9"/>
  <c r="O61" i="13"/>
  <c r="O61" i="15"/>
  <c r="O61" i="14"/>
  <c r="O61" i="9"/>
  <c r="O49" i="14"/>
  <c r="O49" i="15"/>
  <c r="O49" i="13"/>
  <c r="O49" i="9"/>
  <c r="O25" i="15"/>
  <c r="J25" i="15" s="1"/>
  <c r="O25" i="14"/>
  <c r="O25" i="13"/>
  <c r="O25" i="9"/>
  <c r="O13" i="15"/>
  <c r="O13" i="13"/>
  <c r="O13" i="9"/>
  <c r="O13" i="14"/>
  <c r="K83" i="9"/>
  <c r="G83" i="9"/>
  <c r="L83" i="9"/>
  <c r="M68" i="15"/>
  <c r="M68" i="9"/>
  <c r="J68" i="9" s="1"/>
  <c r="M68" i="14"/>
  <c r="M68" i="13"/>
  <c r="J68" i="13" s="1"/>
  <c r="M19" i="14"/>
  <c r="J19" i="14" s="1"/>
  <c r="M19" i="15"/>
  <c r="J19" i="15" s="1"/>
  <c r="M19" i="13"/>
  <c r="J19" i="13" s="1"/>
  <c r="M19" i="9"/>
  <c r="J19" i="9" s="1"/>
  <c r="M78" i="15"/>
  <c r="M78" i="14"/>
  <c r="M78" i="13"/>
  <c r="M78" i="9"/>
  <c r="M101" i="15"/>
  <c r="J101" i="15" s="1"/>
  <c r="M101" i="14"/>
  <c r="J101" i="14" s="1"/>
  <c r="M101" i="13"/>
  <c r="J101" i="13" s="1"/>
  <c r="M101" i="9"/>
  <c r="J101" i="9" s="1"/>
  <c r="M88" i="15"/>
  <c r="J88" i="15" s="1"/>
  <c r="M88" i="9"/>
  <c r="M88" i="14"/>
  <c r="J88" i="14" s="1"/>
  <c r="M88" i="13"/>
  <c r="J88" i="13" s="1"/>
  <c r="M51" i="14"/>
  <c r="J51" i="14" s="1"/>
  <c r="M51" i="15"/>
  <c r="J51" i="15" s="1"/>
  <c r="M51" i="13"/>
  <c r="M51" i="9"/>
  <c r="M133" i="15"/>
  <c r="M133" i="14"/>
  <c r="M133" i="13"/>
  <c r="M133" i="9"/>
  <c r="M85" i="15"/>
  <c r="M85" i="9"/>
  <c r="M85" i="13"/>
  <c r="M85" i="14"/>
  <c r="M25" i="15"/>
  <c r="M25" i="14"/>
  <c r="M25" i="9"/>
  <c r="M25" i="13"/>
  <c r="M120" i="14"/>
  <c r="M120" i="13"/>
  <c r="M120" i="15"/>
  <c r="M120" i="9"/>
  <c r="M143" i="15"/>
  <c r="J143" i="15" s="1"/>
  <c r="M143" i="13"/>
  <c r="J143" i="13" s="1"/>
  <c r="M143" i="14"/>
  <c r="J143" i="14" s="1"/>
  <c r="M143" i="9"/>
  <c r="J143" i="9" s="1"/>
  <c r="M131" i="14"/>
  <c r="M131" i="15"/>
  <c r="M131" i="13"/>
  <c r="M131" i="9"/>
  <c r="M119" i="15"/>
  <c r="M119" i="9"/>
  <c r="M119" i="13"/>
  <c r="J119" i="13" s="1"/>
  <c r="M119" i="14"/>
  <c r="J119" i="14" s="1"/>
  <c r="M107" i="14"/>
  <c r="M107" i="15"/>
  <c r="M107" i="9"/>
  <c r="M107" i="13"/>
  <c r="M95" i="14"/>
  <c r="M95" i="15"/>
  <c r="J95" i="15" s="1"/>
  <c r="M95" i="13"/>
  <c r="M95" i="9"/>
  <c r="M71" i="14"/>
  <c r="M71" i="15"/>
  <c r="M71" i="9"/>
  <c r="J71" i="9" s="1"/>
  <c r="M71" i="13"/>
  <c r="J71" i="13" s="1"/>
  <c r="M59" i="14"/>
  <c r="M59" i="15"/>
  <c r="M59" i="9"/>
  <c r="M59" i="13"/>
  <c r="J59" i="13" s="1"/>
  <c r="M47" i="14"/>
  <c r="M47" i="15"/>
  <c r="J47" i="15" s="1"/>
  <c r="M47" i="9"/>
  <c r="M47" i="1"/>
  <c r="M47" i="13"/>
  <c r="J47" i="13" s="1"/>
  <c r="M35" i="15"/>
  <c r="M35" i="9"/>
  <c r="M35" i="13"/>
  <c r="J35" i="13" s="1"/>
  <c r="M35" i="14"/>
  <c r="M23" i="14"/>
  <c r="M23" i="15"/>
  <c r="M23" i="13"/>
  <c r="M23" i="9"/>
  <c r="M11" i="15"/>
  <c r="J11" i="15" s="1"/>
  <c r="M11" i="13"/>
  <c r="M11" i="14"/>
  <c r="J11" i="14" s="1"/>
  <c r="M11" i="9"/>
  <c r="N144" i="13"/>
  <c r="N144" i="15"/>
  <c r="N144" i="14"/>
  <c r="N144" i="9"/>
  <c r="N84" i="15"/>
  <c r="N84" i="14"/>
  <c r="N84" i="13"/>
  <c r="N84" i="9"/>
  <c r="N59" i="14"/>
  <c r="N59" i="15"/>
  <c r="N59" i="9"/>
  <c r="N59" i="13"/>
  <c r="N47" i="14"/>
  <c r="N47" i="15"/>
  <c r="N47" i="9"/>
  <c r="N47" i="1"/>
  <c r="N47" i="13"/>
  <c r="N23" i="15"/>
  <c r="N23" i="13"/>
  <c r="N23" i="14"/>
  <c r="N23" i="9"/>
  <c r="O132" i="15"/>
  <c r="O132" i="13"/>
  <c r="O132" i="9"/>
  <c r="O132" i="14"/>
  <c r="O120" i="14"/>
  <c r="O120" i="15"/>
  <c r="O120" i="9"/>
  <c r="O120" i="13"/>
  <c r="O108" i="15"/>
  <c r="O108" i="13"/>
  <c r="O108" i="14"/>
  <c r="O108" i="9"/>
  <c r="O96" i="15"/>
  <c r="O96" i="14"/>
  <c r="O96" i="13"/>
  <c r="O96" i="9"/>
  <c r="O72" i="15"/>
  <c r="O72" i="14"/>
  <c r="O72" i="9"/>
  <c r="O72" i="13"/>
  <c r="O60" i="15"/>
  <c r="O60" i="14"/>
  <c r="O60" i="9"/>
  <c r="O60" i="13"/>
  <c r="O48" i="15"/>
  <c r="O48" i="9"/>
  <c r="O48" i="14"/>
  <c r="O48" i="13"/>
  <c r="O36" i="14"/>
  <c r="O36" i="15"/>
  <c r="O36" i="9"/>
  <c r="O36" i="13"/>
  <c r="O24" i="14"/>
  <c r="O24" i="15"/>
  <c r="O24" i="9"/>
  <c r="O24" i="13"/>
  <c r="O12" i="13"/>
  <c r="O12" i="15"/>
  <c r="O12" i="14"/>
  <c r="O12" i="9"/>
  <c r="K83" i="13"/>
  <c r="G83" i="13"/>
  <c r="L83" i="13"/>
  <c r="M128" i="13"/>
  <c r="M128" i="15"/>
  <c r="M128" i="14"/>
  <c r="M128" i="9"/>
  <c r="M79" i="15"/>
  <c r="J79" i="15" s="1"/>
  <c r="M79" i="14"/>
  <c r="J79" i="14" s="1"/>
  <c r="M79" i="13"/>
  <c r="J79" i="13" s="1"/>
  <c r="M79" i="9"/>
  <c r="J79" i="9" s="1"/>
  <c r="N55" i="15"/>
  <c r="N55" i="13"/>
  <c r="N55" i="14"/>
  <c r="N55" i="9"/>
  <c r="M66" i="14"/>
  <c r="J66" i="14" s="1"/>
  <c r="M66" i="15"/>
  <c r="J66" i="15" s="1"/>
  <c r="M66" i="13"/>
  <c r="J66" i="13" s="1"/>
  <c r="M66" i="9"/>
  <c r="J66" i="9" s="1"/>
  <c r="M100" i="15"/>
  <c r="J100" i="15" s="1"/>
  <c r="M100" i="14"/>
  <c r="J100" i="14" s="1"/>
  <c r="M100" i="13"/>
  <c r="J100" i="13" s="1"/>
  <c r="M100" i="9"/>
  <c r="J100" i="9" s="1"/>
  <c r="M87" i="14"/>
  <c r="J87" i="14" s="1"/>
  <c r="M87" i="15"/>
  <c r="J87" i="15" s="1"/>
  <c r="M87" i="13"/>
  <c r="J87" i="13" s="1"/>
  <c r="M87" i="9"/>
  <c r="J87" i="9" s="1"/>
  <c r="M122" i="15"/>
  <c r="J122" i="15" s="1"/>
  <c r="M122" i="14"/>
  <c r="J122" i="14" s="1"/>
  <c r="M122" i="13"/>
  <c r="J122" i="13" s="1"/>
  <c r="M122" i="9"/>
  <c r="J122" i="9" s="1"/>
  <c r="M109" i="13"/>
  <c r="J109" i="13" s="1"/>
  <c r="M109" i="15"/>
  <c r="M109" i="14"/>
  <c r="M109" i="9"/>
  <c r="M49" i="15"/>
  <c r="J49" i="15" s="1"/>
  <c r="M49" i="14"/>
  <c r="M49" i="13"/>
  <c r="J49" i="13" s="1"/>
  <c r="M49" i="9"/>
  <c r="J49" i="9" s="1"/>
  <c r="N146" i="15"/>
  <c r="N146" i="14"/>
  <c r="N146" i="13"/>
  <c r="N146" i="9"/>
  <c r="N86" i="13"/>
  <c r="J86" i="13" s="1"/>
  <c r="N86" i="15"/>
  <c r="J86" i="15" s="1"/>
  <c r="N86" i="14"/>
  <c r="J86" i="14" s="1"/>
  <c r="N86" i="9"/>
  <c r="J86" i="9" s="1"/>
  <c r="M142" i="14"/>
  <c r="M142" i="15"/>
  <c r="M142" i="9"/>
  <c r="M142" i="13"/>
  <c r="M118" i="15"/>
  <c r="M118" i="13"/>
  <c r="M118" i="14"/>
  <c r="M118" i="9"/>
  <c r="M106" i="13"/>
  <c r="J106" i="13" s="1"/>
  <c r="M106" i="14"/>
  <c r="M106" i="15"/>
  <c r="J106" i="15" s="1"/>
  <c r="M106" i="9"/>
  <c r="M94" i="14"/>
  <c r="M94" i="15"/>
  <c r="J94" i="15" s="1"/>
  <c r="M94" i="9"/>
  <c r="J94" i="9" s="1"/>
  <c r="M94" i="13"/>
  <c r="M82" i="15"/>
  <c r="M82" i="14"/>
  <c r="M82" i="13"/>
  <c r="M82" i="9"/>
  <c r="M70" i="15"/>
  <c r="M70" i="14"/>
  <c r="M70" i="13"/>
  <c r="M70" i="9"/>
  <c r="M58" i="14"/>
  <c r="M58" i="15"/>
  <c r="J58" i="15" s="1"/>
  <c r="M58" i="9"/>
  <c r="J58" i="9" s="1"/>
  <c r="M58" i="13"/>
  <c r="M46" i="14"/>
  <c r="M46" i="15"/>
  <c r="M46" i="13"/>
  <c r="M46" i="9"/>
  <c r="M34" i="14"/>
  <c r="M34" i="15"/>
  <c r="M34" i="13"/>
  <c r="J34" i="13" s="1"/>
  <c r="M34" i="9"/>
  <c r="M22" i="15"/>
  <c r="M22" i="9"/>
  <c r="M22" i="14"/>
  <c r="J22" i="14" s="1"/>
  <c r="M22" i="13"/>
  <c r="M10" i="15"/>
  <c r="M10" i="14"/>
  <c r="M10" i="13"/>
  <c r="M10" i="9"/>
  <c r="N82" i="15"/>
  <c r="N82" i="14"/>
  <c r="N82" i="13"/>
  <c r="N82" i="9"/>
  <c r="N58" i="15"/>
  <c r="N58" i="14"/>
  <c r="N58" i="13"/>
  <c r="N58" i="9"/>
  <c r="N46" i="14"/>
  <c r="N46" i="15"/>
  <c r="N46" i="13"/>
  <c r="N46" i="9"/>
  <c r="N22" i="15"/>
  <c r="N22" i="9"/>
  <c r="N22" i="14"/>
  <c r="N22" i="13"/>
  <c r="O131" i="15"/>
  <c r="O131" i="14"/>
  <c r="O131" i="13"/>
  <c r="O131" i="9"/>
  <c r="O119" i="14"/>
  <c r="O119" i="15"/>
  <c r="O119" i="9"/>
  <c r="O119" i="13"/>
  <c r="O107" i="14"/>
  <c r="O107" i="15"/>
  <c r="O107" i="13"/>
  <c r="O107" i="9"/>
  <c r="O95" i="14"/>
  <c r="O95" i="15"/>
  <c r="O95" i="13"/>
  <c r="O95" i="9"/>
  <c r="O71" i="13"/>
  <c r="O71" i="14"/>
  <c r="J71" i="14" s="1"/>
  <c r="O71" i="15"/>
  <c r="O71" i="9"/>
  <c r="O59" i="14"/>
  <c r="J59" i="14" s="1"/>
  <c r="O59" i="13"/>
  <c r="O59" i="15"/>
  <c r="O59" i="9"/>
  <c r="O35" i="15"/>
  <c r="O35" i="13"/>
  <c r="O35" i="9"/>
  <c r="O35" i="14"/>
  <c r="O23" i="1"/>
  <c r="O23" i="15"/>
  <c r="O23" i="13"/>
  <c r="O23" i="14"/>
  <c r="O23" i="9"/>
  <c r="O11" i="14"/>
  <c r="O11" i="15"/>
  <c r="O11" i="13"/>
  <c r="O11" i="9"/>
  <c r="J11" i="9" s="1"/>
  <c r="G83" i="14"/>
  <c r="K83" i="14"/>
  <c r="L83" i="14"/>
  <c r="M80" i="15"/>
  <c r="J80" i="15" s="1"/>
  <c r="M80" i="14"/>
  <c r="J80" i="14" s="1"/>
  <c r="M80" i="13"/>
  <c r="J80" i="13" s="1"/>
  <c r="M80" i="9"/>
  <c r="J80" i="9" s="1"/>
  <c r="M67" i="15"/>
  <c r="J67" i="15" s="1"/>
  <c r="M67" i="14"/>
  <c r="J67" i="14" s="1"/>
  <c r="M67" i="13"/>
  <c r="J67" i="13" s="1"/>
  <c r="M67" i="9"/>
  <c r="J67" i="9" s="1"/>
  <c r="M42" i="15"/>
  <c r="J42" i="15" s="1"/>
  <c r="M42" i="14"/>
  <c r="J42" i="14" s="1"/>
  <c r="M42" i="9"/>
  <c r="J42" i="9" s="1"/>
  <c r="M42" i="13"/>
  <c r="J42" i="13" s="1"/>
  <c r="M41" i="15"/>
  <c r="J41" i="15" s="1"/>
  <c r="M41" i="14"/>
  <c r="J41" i="14" s="1"/>
  <c r="M41" i="13"/>
  <c r="J41" i="13" s="1"/>
  <c r="M41" i="9"/>
  <c r="J41" i="9" s="1"/>
  <c r="M135" i="15"/>
  <c r="J135" i="15" s="1"/>
  <c r="M135" i="14"/>
  <c r="J135" i="14" s="1"/>
  <c r="M135" i="13"/>
  <c r="J135" i="13" s="1"/>
  <c r="M135" i="9"/>
  <c r="J135" i="9" s="1"/>
  <c r="M63" i="14"/>
  <c r="M63" i="15"/>
  <c r="J63" i="15" s="1"/>
  <c r="M63" i="9"/>
  <c r="M63" i="13"/>
  <c r="J63" i="13" s="1"/>
  <c r="M145" i="15"/>
  <c r="M145" i="14"/>
  <c r="J145" i="14" s="1"/>
  <c r="M145" i="9"/>
  <c r="M145" i="13"/>
  <c r="J145" i="13" s="1"/>
  <c r="M97" i="13"/>
  <c r="J97" i="13" s="1"/>
  <c r="M97" i="15"/>
  <c r="J97" i="15" s="1"/>
  <c r="M97" i="14"/>
  <c r="J97" i="14" s="1"/>
  <c r="M97" i="9"/>
  <c r="J97" i="9" s="1"/>
  <c r="M37" i="14"/>
  <c r="M37" i="15"/>
  <c r="J37" i="15" s="1"/>
  <c r="M37" i="9"/>
  <c r="J37" i="9" s="1"/>
  <c r="M37" i="13"/>
  <c r="J37" i="13" s="1"/>
  <c r="M144" i="15"/>
  <c r="M144" i="9"/>
  <c r="J144" i="9" s="1"/>
  <c r="M144" i="14"/>
  <c r="M144" i="13"/>
  <c r="J144" i="13" s="1"/>
  <c r="M130" i="15"/>
  <c r="M130" i="14"/>
  <c r="M130" i="13"/>
  <c r="M130" i="9"/>
  <c r="M141" i="14"/>
  <c r="J141" i="14" s="1"/>
  <c r="M141" i="15"/>
  <c r="J141" i="15" s="1"/>
  <c r="M141" i="9"/>
  <c r="J141" i="9" s="1"/>
  <c r="M141" i="13"/>
  <c r="J141" i="13" s="1"/>
  <c r="M129" i="15"/>
  <c r="M129" i="14"/>
  <c r="M129" i="9"/>
  <c r="M129" i="13"/>
  <c r="M117" i="14"/>
  <c r="J117" i="14" s="1"/>
  <c r="M117" i="13"/>
  <c r="J117" i="13" s="1"/>
  <c r="M117" i="15"/>
  <c r="J117" i="15" s="1"/>
  <c r="M117" i="9"/>
  <c r="J117" i="9" s="1"/>
  <c r="M105" i="14"/>
  <c r="J105" i="14" s="1"/>
  <c r="M105" i="15"/>
  <c r="M105" i="9"/>
  <c r="M105" i="13"/>
  <c r="J105" i="13" s="1"/>
  <c r="M93" i="14"/>
  <c r="J93" i="14" s="1"/>
  <c r="M93" i="15"/>
  <c r="J93" i="15" s="1"/>
  <c r="M93" i="13"/>
  <c r="J93" i="13" s="1"/>
  <c r="M93" i="9"/>
  <c r="J93" i="9" s="1"/>
  <c r="M81" i="13"/>
  <c r="J81" i="13" s="1"/>
  <c r="M81" i="15"/>
  <c r="M81" i="14"/>
  <c r="J81" i="14" s="1"/>
  <c r="M81" i="9"/>
  <c r="M69" i="15"/>
  <c r="J69" i="15" s="1"/>
  <c r="M69" i="14"/>
  <c r="J69" i="14" s="1"/>
  <c r="M69" i="13"/>
  <c r="J69" i="13" s="1"/>
  <c r="M69" i="9"/>
  <c r="J69" i="9" s="1"/>
  <c r="M57" i="13"/>
  <c r="M57" i="15"/>
  <c r="M57" i="14"/>
  <c r="M57" i="9"/>
  <c r="M45" i="15"/>
  <c r="M45" i="13"/>
  <c r="M45" i="14"/>
  <c r="J45" i="14" s="1"/>
  <c r="M45" i="9"/>
  <c r="M33" i="15"/>
  <c r="J33" i="15" s="1"/>
  <c r="M33" i="14"/>
  <c r="J33" i="14" s="1"/>
  <c r="M33" i="13"/>
  <c r="J33" i="13" s="1"/>
  <c r="M33" i="9"/>
  <c r="J33" i="9" s="1"/>
  <c r="M21" i="14"/>
  <c r="J21" i="14" s="1"/>
  <c r="M21" i="15"/>
  <c r="J21" i="15" s="1"/>
  <c r="M21" i="13"/>
  <c r="J21" i="13" s="1"/>
  <c r="M21" i="9"/>
  <c r="J21" i="9" s="1"/>
  <c r="M9" i="15"/>
  <c r="J9" i="15" s="1"/>
  <c r="M9" i="14"/>
  <c r="J9" i="14" s="1"/>
  <c r="M9" i="13"/>
  <c r="J9" i="13" s="1"/>
  <c r="M9" i="9"/>
  <c r="J9" i="9" s="1"/>
  <c r="N142" i="14"/>
  <c r="N142" i="15"/>
  <c r="N142" i="13"/>
  <c r="N142" i="9"/>
  <c r="N81" i="15"/>
  <c r="N81" i="14"/>
  <c r="N81" i="9"/>
  <c r="N81" i="13"/>
  <c r="N57" i="15"/>
  <c r="N57" i="14"/>
  <c r="N57" i="13"/>
  <c r="N57" i="9"/>
  <c r="N45" i="14"/>
  <c r="N45" i="15"/>
  <c r="N45" i="13"/>
  <c r="N45" i="9"/>
  <c r="J45" i="9" s="1"/>
  <c r="O142" i="14"/>
  <c r="O142" i="15"/>
  <c r="O142" i="13"/>
  <c r="O142" i="9"/>
  <c r="O130" i="15"/>
  <c r="O130" i="14"/>
  <c r="O130" i="13"/>
  <c r="O130" i="9"/>
  <c r="O118" i="15"/>
  <c r="O118" i="13"/>
  <c r="O118" i="14"/>
  <c r="O118" i="9"/>
  <c r="O106" i="14"/>
  <c r="O106" i="15"/>
  <c r="O106" i="9"/>
  <c r="O106" i="13"/>
  <c r="O94" i="14"/>
  <c r="O94" i="15"/>
  <c r="O94" i="13"/>
  <c r="O94" i="9"/>
  <c r="O82" i="15"/>
  <c r="O82" i="14"/>
  <c r="O82" i="13"/>
  <c r="O82" i="9"/>
  <c r="O70" i="15"/>
  <c r="O70" i="14"/>
  <c r="O70" i="13"/>
  <c r="O70" i="9"/>
  <c r="O34" i="15"/>
  <c r="O34" i="13"/>
  <c r="O34" i="14"/>
  <c r="O34" i="9"/>
  <c r="O22" i="15"/>
  <c r="O22" i="14"/>
  <c r="O22" i="13"/>
  <c r="O22" i="9"/>
  <c r="O10" i="15"/>
  <c r="O10" i="13"/>
  <c r="O10" i="14"/>
  <c r="O10" i="9"/>
  <c r="K83" i="15"/>
  <c r="G83" i="15"/>
  <c r="L83" i="15"/>
  <c r="O13" i="1"/>
  <c r="O36" i="1"/>
  <c r="O24" i="1"/>
  <c r="O12" i="1"/>
  <c r="O11" i="1"/>
  <c r="O34" i="1"/>
  <c r="O10" i="1"/>
  <c r="O21" i="1"/>
  <c r="O9" i="1"/>
  <c r="O32" i="1"/>
  <c r="O20" i="1"/>
  <c r="O8" i="1"/>
  <c r="O43" i="1"/>
  <c r="O31" i="1"/>
  <c r="O7" i="1"/>
  <c r="O114" i="1"/>
  <c r="O42" i="1"/>
  <c r="O30" i="1"/>
  <c r="O18" i="1"/>
  <c r="O6" i="1"/>
  <c r="O65" i="1"/>
  <c r="O41" i="1"/>
  <c r="O29" i="1"/>
  <c r="O5" i="1"/>
  <c r="O64" i="1"/>
  <c r="O52" i="1"/>
  <c r="O40" i="1"/>
  <c r="O28" i="1"/>
  <c r="O16" i="1"/>
  <c r="O27" i="1"/>
  <c r="O15" i="1"/>
  <c r="O38" i="1"/>
  <c r="O26" i="1"/>
  <c r="O139" i="1"/>
  <c r="O127" i="1"/>
  <c r="O115" i="1"/>
  <c r="O19" i="1"/>
  <c r="O138" i="1"/>
  <c r="O126" i="1"/>
  <c r="O17" i="1"/>
  <c r="O112" i="1"/>
  <c r="O123" i="1"/>
  <c r="O111" i="1"/>
  <c r="O134" i="1"/>
  <c r="O122" i="1"/>
  <c r="N63" i="1"/>
  <c r="N51" i="1"/>
  <c r="N39" i="1"/>
  <c r="N62" i="1"/>
  <c r="N50" i="1"/>
  <c r="O97" i="1"/>
  <c r="O145" i="1"/>
  <c r="N22" i="1"/>
  <c r="N23" i="1"/>
  <c r="N58" i="1"/>
  <c r="N59" i="1"/>
  <c r="N60" i="1"/>
  <c r="N144" i="1"/>
  <c r="O2" i="1"/>
  <c r="O3" i="1"/>
  <c r="O14" i="1"/>
  <c r="O22" i="1"/>
  <c r="O25" i="1"/>
  <c r="O35" i="1"/>
  <c r="O49" i="1"/>
  <c r="O50" i="1"/>
  <c r="O51" i="1"/>
  <c r="O59" i="1"/>
  <c r="O60" i="1"/>
  <c r="O61" i="1"/>
  <c r="O62" i="1"/>
  <c r="O63" i="1"/>
  <c r="O79" i="1"/>
  <c r="O90" i="1"/>
  <c r="O91" i="1"/>
  <c r="O92" i="1"/>
  <c r="O93" i="1"/>
  <c r="O94" i="1"/>
  <c r="O95" i="1"/>
  <c r="O98" i="1"/>
  <c r="O99" i="1"/>
  <c r="O100" i="1"/>
  <c r="O101" i="1"/>
  <c r="O105" i="1"/>
  <c r="O106" i="1"/>
  <c r="O107" i="1"/>
  <c r="O108" i="1"/>
  <c r="O109" i="1"/>
  <c r="O110" i="1"/>
  <c r="O113" i="1"/>
  <c r="O116" i="1"/>
  <c r="O117" i="1"/>
  <c r="O118" i="1"/>
  <c r="O119" i="1"/>
  <c r="O121" i="1"/>
  <c r="O124" i="1"/>
  <c r="O125" i="1"/>
  <c r="O128" i="1"/>
  <c r="O129" i="1"/>
  <c r="O130" i="1"/>
  <c r="O131" i="1"/>
  <c r="O132" i="1"/>
  <c r="O133" i="1"/>
  <c r="O135" i="1"/>
  <c r="O137" i="1"/>
  <c r="O141" i="1"/>
  <c r="N2" i="1"/>
  <c r="N3" i="1"/>
  <c r="N4" i="1"/>
  <c r="N20" i="1"/>
  <c r="N37" i="1"/>
  <c r="N40" i="1"/>
  <c r="N44" i="1"/>
  <c r="N45" i="1"/>
  <c r="N49" i="1"/>
  <c r="N52" i="1"/>
  <c r="N54" i="1"/>
  <c r="N55" i="1"/>
  <c r="N56" i="1"/>
  <c r="N61" i="1"/>
  <c r="N64" i="1"/>
  <c r="N65" i="1"/>
  <c r="N79" i="1"/>
  <c r="N101" i="1"/>
  <c r="N105" i="1"/>
  <c r="N137" i="1"/>
  <c r="N138" i="1"/>
  <c r="N139" i="1"/>
  <c r="N140" i="1"/>
  <c r="N141" i="1"/>
  <c r="N145" i="1"/>
  <c r="N146" i="1"/>
  <c r="J146" i="13" l="1"/>
  <c r="J120" i="9"/>
  <c r="J120" i="13"/>
  <c r="J70" i="15"/>
  <c r="K81" i="13"/>
  <c r="G81" i="13"/>
  <c r="L81" i="13"/>
  <c r="K79" i="15"/>
  <c r="G79" i="15"/>
  <c r="L79" i="15"/>
  <c r="K45" i="9"/>
  <c r="G45" i="9"/>
  <c r="L45" i="9"/>
  <c r="G33" i="9"/>
  <c r="K33" i="9"/>
  <c r="L33" i="9"/>
  <c r="K69" i="9"/>
  <c r="G69" i="9"/>
  <c r="L69" i="9"/>
  <c r="G105" i="13"/>
  <c r="L105" i="13"/>
  <c r="K105" i="13"/>
  <c r="G141" i="13"/>
  <c r="K141" i="13"/>
  <c r="L141" i="13"/>
  <c r="K37" i="13"/>
  <c r="G37" i="13"/>
  <c r="L37" i="13"/>
  <c r="G63" i="13"/>
  <c r="L63" i="13"/>
  <c r="K63" i="13"/>
  <c r="K42" i="13"/>
  <c r="G42" i="13"/>
  <c r="L42" i="13"/>
  <c r="J22" i="13"/>
  <c r="J58" i="13"/>
  <c r="J94" i="13"/>
  <c r="G49" i="9"/>
  <c r="K49" i="9"/>
  <c r="L49" i="9"/>
  <c r="K87" i="9"/>
  <c r="G87" i="9"/>
  <c r="L87" i="9"/>
  <c r="J35" i="14"/>
  <c r="J107" i="14"/>
  <c r="K143" i="15"/>
  <c r="G143" i="15"/>
  <c r="L143" i="15"/>
  <c r="J85" i="15"/>
  <c r="G88" i="15"/>
  <c r="K88" i="15"/>
  <c r="L88" i="15"/>
  <c r="K19" i="14"/>
  <c r="G19" i="14"/>
  <c r="L19" i="14"/>
  <c r="G24" i="9"/>
  <c r="K24" i="9"/>
  <c r="L24" i="9"/>
  <c r="G60" i="9"/>
  <c r="K60" i="9"/>
  <c r="L60" i="9"/>
  <c r="G13" i="14"/>
  <c r="K13" i="14"/>
  <c r="L13" i="14"/>
  <c r="J146" i="9"/>
  <c r="G125" i="13"/>
  <c r="K125" i="13"/>
  <c r="L125" i="13"/>
  <c r="J55" i="9"/>
  <c r="G61" i="9"/>
  <c r="K61" i="9"/>
  <c r="L61" i="9"/>
  <c r="G26" i="13"/>
  <c r="K26" i="13"/>
  <c r="L26" i="13"/>
  <c r="J62" i="9"/>
  <c r="J110" i="13"/>
  <c r="K124" i="13"/>
  <c r="L124" i="13"/>
  <c r="G124" i="13"/>
  <c r="G43" i="9"/>
  <c r="K43" i="9"/>
  <c r="L43" i="9"/>
  <c r="J27" i="9"/>
  <c r="G91" i="9"/>
  <c r="K91" i="9"/>
  <c r="L91" i="9"/>
  <c r="J16" i="13"/>
  <c r="J52" i="14"/>
  <c r="G17" i="9"/>
  <c r="K17" i="9"/>
  <c r="L17" i="9"/>
  <c r="G54" i="9"/>
  <c r="K54" i="9"/>
  <c r="L54" i="9"/>
  <c r="K115" i="9"/>
  <c r="G115" i="9"/>
  <c r="L115" i="9"/>
  <c r="G127" i="9"/>
  <c r="K127" i="9"/>
  <c r="L127" i="9"/>
  <c r="J8" i="9"/>
  <c r="J44" i="13"/>
  <c r="G87" i="13"/>
  <c r="K87" i="13"/>
  <c r="L87" i="13"/>
  <c r="K35" i="13"/>
  <c r="L35" i="13"/>
  <c r="G35" i="13"/>
  <c r="K119" i="14"/>
  <c r="G119" i="14"/>
  <c r="L119" i="14"/>
  <c r="G68" i="13"/>
  <c r="K68" i="13"/>
  <c r="L68" i="13"/>
  <c r="J24" i="13"/>
  <c r="J60" i="13"/>
  <c r="K13" i="9"/>
  <c r="G13" i="9"/>
  <c r="L13" i="9"/>
  <c r="G146" i="13"/>
  <c r="K146" i="13"/>
  <c r="L146" i="13"/>
  <c r="G125" i="9"/>
  <c r="K125" i="9"/>
  <c r="L125" i="9"/>
  <c r="K55" i="13"/>
  <c r="G55" i="13"/>
  <c r="L55" i="13"/>
  <c r="K26" i="14"/>
  <c r="G26" i="14"/>
  <c r="L26" i="14"/>
  <c r="G62" i="14"/>
  <c r="K62" i="14"/>
  <c r="L62" i="14"/>
  <c r="G110" i="9"/>
  <c r="K110" i="9"/>
  <c r="L110" i="9"/>
  <c r="G124" i="9"/>
  <c r="K124" i="9"/>
  <c r="L124" i="9"/>
  <c r="G43" i="13"/>
  <c r="L43" i="13"/>
  <c r="K43" i="13"/>
  <c r="J27" i="13"/>
  <c r="K91" i="13"/>
  <c r="G91" i="13"/>
  <c r="L91" i="13"/>
  <c r="K16" i="9"/>
  <c r="G16" i="9"/>
  <c r="L16" i="9"/>
  <c r="G52" i="9"/>
  <c r="K52" i="9"/>
  <c r="L52" i="9"/>
  <c r="G17" i="14"/>
  <c r="K17" i="14"/>
  <c r="L17" i="14"/>
  <c r="K54" i="15"/>
  <c r="G54" i="15"/>
  <c r="L54" i="15"/>
  <c r="K115" i="13"/>
  <c r="G115" i="13"/>
  <c r="L115" i="13"/>
  <c r="G127" i="13"/>
  <c r="L127" i="13"/>
  <c r="K127" i="13"/>
  <c r="K8" i="13"/>
  <c r="G8" i="13"/>
  <c r="L8" i="13"/>
  <c r="K44" i="14"/>
  <c r="G44" i="14"/>
  <c r="L44" i="14"/>
  <c r="K22" i="14"/>
  <c r="G22" i="14"/>
  <c r="L22" i="14"/>
  <c r="G58" i="9"/>
  <c r="K58" i="9"/>
  <c r="L58" i="9"/>
  <c r="K71" i="13"/>
  <c r="L71" i="13"/>
  <c r="G71" i="13"/>
  <c r="G33" i="14"/>
  <c r="K33" i="14"/>
  <c r="L33" i="14"/>
  <c r="K69" i="14"/>
  <c r="G69" i="14"/>
  <c r="L69" i="14"/>
  <c r="K37" i="15"/>
  <c r="G37" i="15"/>
  <c r="L37" i="15"/>
  <c r="K63" i="15"/>
  <c r="G63" i="15"/>
  <c r="L63" i="15"/>
  <c r="G42" i="14"/>
  <c r="K42" i="14"/>
  <c r="L42" i="14"/>
  <c r="H83" i="14"/>
  <c r="I83" i="14"/>
  <c r="J22" i="9"/>
  <c r="G58" i="15"/>
  <c r="K58" i="15"/>
  <c r="L58" i="15"/>
  <c r="G94" i="15"/>
  <c r="K94" i="15"/>
  <c r="L94" i="15"/>
  <c r="J49" i="14"/>
  <c r="K87" i="15"/>
  <c r="G87" i="15"/>
  <c r="L87" i="15"/>
  <c r="J35" i="9"/>
  <c r="G71" i="9"/>
  <c r="K71" i="9"/>
  <c r="L71" i="9"/>
  <c r="G119" i="13"/>
  <c r="L119" i="13"/>
  <c r="K119" i="13"/>
  <c r="J120" i="15"/>
  <c r="G101" i="13"/>
  <c r="K101" i="13"/>
  <c r="L101" i="13"/>
  <c r="J25" i="14"/>
  <c r="J24" i="15"/>
  <c r="J60" i="14"/>
  <c r="K13" i="13"/>
  <c r="G13" i="13"/>
  <c r="L13" i="13"/>
  <c r="J146" i="14"/>
  <c r="K125" i="14"/>
  <c r="G125" i="14"/>
  <c r="L125" i="14"/>
  <c r="J55" i="14"/>
  <c r="G26" i="9"/>
  <c r="K26" i="9"/>
  <c r="L26" i="9"/>
  <c r="G62" i="13"/>
  <c r="L62" i="13"/>
  <c r="K62" i="13"/>
  <c r="K110" i="15"/>
  <c r="G110" i="15"/>
  <c r="L110" i="15"/>
  <c r="G124" i="14"/>
  <c r="K124" i="14"/>
  <c r="L124" i="14"/>
  <c r="L43" i="15"/>
  <c r="K43" i="15"/>
  <c r="G43" i="15"/>
  <c r="K28" i="14"/>
  <c r="G28" i="14"/>
  <c r="L28" i="14"/>
  <c r="J27" i="15"/>
  <c r="G91" i="15"/>
  <c r="K91" i="15"/>
  <c r="L91" i="15"/>
  <c r="K16" i="15"/>
  <c r="G16" i="15"/>
  <c r="L16" i="15"/>
  <c r="L52" i="15"/>
  <c r="K52" i="15"/>
  <c r="G52" i="15"/>
  <c r="J17" i="13"/>
  <c r="J54" i="13"/>
  <c r="G115" i="14"/>
  <c r="K115" i="14"/>
  <c r="L115" i="14"/>
  <c r="K31" i="14"/>
  <c r="G31" i="14"/>
  <c r="L31" i="14"/>
  <c r="K127" i="15"/>
  <c r="G127" i="15"/>
  <c r="L127" i="15"/>
  <c r="J8" i="15"/>
  <c r="J44" i="9"/>
  <c r="K37" i="9"/>
  <c r="G37" i="9"/>
  <c r="L37" i="9"/>
  <c r="G49" i="13"/>
  <c r="K49" i="13"/>
  <c r="L49" i="13"/>
  <c r="G101" i="9"/>
  <c r="K101" i="9"/>
  <c r="L101" i="9"/>
  <c r="K33" i="15"/>
  <c r="G33" i="15"/>
  <c r="L33" i="15"/>
  <c r="K69" i="15"/>
  <c r="G69" i="15"/>
  <c r="L69" i="15"/>
  <c r="G105" i="14"/>
  <c r="K105" i="14"/>
  <c r="L105" i="14"/>
  <c r="K141" i="14"/>
  <c r="G141" i="14"/>
  <c r="L141" i="14"/>
  <c r="G42" i="15"/>
  <c r="K42" i="15"/>
  <c r="L42" i="15"/>
  <c r="G11" i="9"/>
  <c r="K11" i="9"/>
  <c r="L11" i="9"/>
  <c r="J22" i="15"/>
  <c r="J58" i="14"/>
  <c r="J94" i="14"/>
  <c r="K49" i="15"/>
  <c r="G49" i="15"/>
  <c r="L49" i="15"/>
  <c r="K87" i="14"/>
  <c r="G87" i="14"/>
  <c r="L87" i="14"/>
  <c r="J35" i="15"/>
  <c r="J71" i="15"/>
  <c r="J119" i="9"/>
  <c r="K120" i="13"/>
  <c r="G120" i="13"/>
  <c r="L120" i="13"/>
  <c r="G101" i="14"/>
  <c r="K101" i="14"/>
  <c r="L101" i="14"/>
  <c r="G68" i="9"/>
  <c r="K68" i="9"/>
  <c r="L68" i="9"/>
  <c r="G25" i="15"/>
  <c r="K25" i="15"/>
  <c r="L25" i="15"/>
  <c r="J24" i="14"/>
  <c r="G13" i="15"/>
  <c r="K13" i="15"/>
  <c r="L13" i="15"/>
  <c r="J146" i="15"/>
  <c r="G125" i="15"/>
  <c r="K125" i="15"/>
  <c r="L125" i="15"/>
  <c r="J55" i="15"/>
  <c r="K62" i="15"/>
  <c r="G62" i="15"/>
  <c r="L62" i="15"/>
  <c r="J110" i="14"/>
  <c r="K124" i="15"/>
  <c r="G124" i="15"/>
  <c r="L124" i="15"/>
  <c r="G43" i="14"/>
  <c r="K43" i="14"/>
  <c r="L43" i="14"/>
  <c r="K28" i="15"/>
  <c r="G28" i="15"/>
  <c r="L28" i="15"/>
  <c r="J27" i="14"/>
  <c r="K16" i="14"/>
  <c r="G16" i="14"/>
  <c r="L16" i="14"/>
  <c r="J52" i="13"/>
  <c r="G17" i="15"/>
  <c r="K17" i="15"/>
  <c r="L17" i="15"/>
  <c r="G54" i="14"/>
  <c r="K54" i="14"/>
  <c r="L54" i="14"/>
  <c r="G115" i="15"/>
  <c r="K115" i="15"/>
  <c r="L115" i="15"/>
  <c r="G127" i="14"/>
  <c r="K127" i="14"/>
  <c r="L127" i="14"/>
  <c r="J8" i="14"/>
  <c r="J44" i="15"/>
  <c r="K69" i="13"/>
  <c r="G69" i="13"/>
  <c r="L69" i="13"/>
  <c r="K141" i="15"/>
  <c r="G141" i="15"/>
  <c r="L141" i="15"/>
  <c r="L9" i="9"/>
  <c r="K9" i="9"/>
  <c r="G9" i="9"/>
  <c r="J81" i="9"/>
  <c r="G117" i="9"/>
  <c r="K117" i="9"/>
  <c r="L117" i="9"/>
  <c r="J130" i="9"/>
  <c r="K97" i="9"/>
  <c r="G97" i="9"/>
  <c r="L97" i="9"/>
  <c r="G135" i="9"/>
  <c r="K135" i="9"/>
  <c r="L135" i="9"/>
  <c r="G67" i="9"/>
  <c r="K67" i="9"/>
  <c r="L67" i="9"/>
  <c r="J59" i="9"/>
  <c r="J34" i="9"/>
  <c r="J70" i="9"/>
  <c r="J106" i="9"/>
  <c r="K86" i="9"/>
  <c r="G86" i="9"/>
  <c r="L86" i="9"/>
  <c r="J109" i="9"/>
  <c r="G100" i="9"/>
  <c r="K100" i="9"/>
  <c r="L100" i="9"/>
  <c r="K79" i="9"/>
  <c r="G79" i="9"/>
  <c r="L79" i="9"/>
  <c r="K47" i="13"/>
  <c r="G47" i="13"/>
  <c r="L47" i="13"/>
  <c r="J119" i="15"/>
  <c r="J120" i="14"/>
  <c r="K101" i="15"/>
  <c r="G101" i="15"/>
  <c r="L101" i="15"/>
  <c r="J36" i="9"/>
  <c r="J72" i="9"/>
  <c r="J108" i="9"/>
  <c r="G123" i="9"/>
  <c r="K123" i="9"/>
  <c r="L123" i="9"/>
  <c r="K104" i="9"/>
  <c r="G104" i="9"/>
  <c r="L104" i="9"/>
  <c r="J73" i="14"/>
  <c r="J2" i="9"/>
  <c r="J38" i="13"/>
  <c r="J74" i="9"/>
  <c r="J134" i="9"/>
  <c r="K92" i="9"/>
  <c r="G92" i="9"/>
  <c r="L92" i="9"/>
  <c r="J3" i="9"/>
  <c r="G39" i="9"/>
  <c r="K39" i="9"/>
  <c r="L39" i="9"/>
  <c r="G113" i="9"/>
  <c r="K113" i="9"/>
  <c r="L113" i="9"/>
  <c r="J28" i="9"/>
  <c r="J64" i="14"/>
  <c r="G30" i="9"/>
  <c r="K30" i="9"/>
  <c r="L30" i="9"/>
  <c r="G103" i="13"/>
  <c r="K103" i="13"/>
  <c r="L103" i="13"/>
  <c r="J29" i="9"/>
  <c r="J6" i="9"/>
  <c r="J31" i="13"/>
  <c r="J56" i="14"/>
  <c r="G141" i="9"/>
  <c r="K141" i="9"/>
  <c r="L141" i="9"/>
  <c r="G120" i="9"/>
  <c r="K120" i="9"/>
  <c r="L120" i="9"/>
  <c r="J34" i="14"/>
  <c r="K81" i="14"/>
  <c r="G81" i="14"/>
  <c r="L81" i="14"/>
  <c r="J130" i="13"/>
  <c r="K135" i="13"/>
  <c r="G135" i="13"/>
  <c r="L135" i="13"/>
  <c r="L34" i="13"/>
  <c r="K34" i="13"/>
  <c r="G34" i="13"/>
  <c r="J70" i="13"/>
  <c r="L106" i="15"/>
  <c r="K106" i="15"/>
  <c r="G106" i="15"/>
  <c r="G86" i="14"/>
  <c r="K86" i="14"/>
  <c r="L86" i="14"/>
  <c r="J109" i="14"/>
  <c r="K79" i="13"/>
  <c r="G79" i="13"/>
  <c r="L79" i="13"/>
  <c r="G11" i="14"/>
  <c r="K11" i="14"/>
  <c r="L11" i="14"/>
  <c r="J95" i="9"/>
  <c r="J25" i="13"/>
  <c r="G36" i="13"/>
  <c r="K36" i="13"/>
  <c r="L36" i="13"/>
  <c r="G72" i="13"/>
  <c r="K72" i="13"/>
  <c r="L72" i="13"/>
  <c r="J108" i="13"/>
  <c r="J61" i="13"/>
  <c r="G123" i="14"/>
  <c r="K123" i="14"/>
  <c r="L123" i="14"/>
  <c r="K104" i="13"/>
  <c r="G104" i="13"/>
  <c r="L104" i="13"/>
  <c r="J37" i="14"/>
  <c r="J73" i="13"/>
  <c r="J51" i="9"/>
  <c r="J2" i="14"/>
  <c r="G38" i="9"/>
  <c r="K38" i="9"/>
  <c r="L38" i="9"/>
  <c r="J134" i="13"/>
  <c r="K92" i="13"/>
  <c r="G92" i="13"/>
  <c r="L92" i="13"/>
  <c r="J3" i="13"/>
  <c r="G39" i="13"/>
  <c r="K39" i="13"/>
  <c r="L39" i="13"/>
  <c r="G113" i="13"/>
  <c r="K113" i="13"/>
  <c r="L113" i="13"/>
  <c r="J28" i="13"/>
  <c r="J64" i="13"/>
  <c r="G30" i="13"/>
  <c r="K30" i="13"/>
  <c r="L30" i="13"/>
  <c r="K103" i="9"/>
  <c r="G103" i="9"/>
  <c r="L103" i="9"/>
  <c r="J29" i="13"/>
  <c r="J6" i="13"/>
  <c r="J105" i="9"/>
  <c r="J20" i="13"/>
  <c r="K56" i="13"/>
  <c r="G56" i="13"/>
  <c r="L56" i="13"/>
  <c r="G33" i="13"/>
  <c r="L33" i="13"/>
  <c r="K33" i="13"/>
  <c r="G42" i="9"/>
  <c r="K42" i="9"/>
  <c r="L42" i="9"/>
  <c r="G94" i="9"/>
  <c r="K94" i="9"/>
  <c r="L94" i="9"/>
  <c r="H83" i="13"/>
  <c r="I83" i="13"/>
  <c r="J45" i="15"/>
  <c r="K9" i="13"/>
  <c r="G9" i="13"/>
  <c r="L9" i="13"/>
  <c r="G45" i="14"/>
  <c r="K45" i="14"/>
  <c r="L45" i="14"/>
  <c r="K117" i="15"/>
  <c r="G117" i="15"/>
  <c r="L117" i="15"/>
  <c r="K97" i="14"/>
  <c r="G97" i="14"/>
  <c r="L97" i="14"/>
  <c r="G67" i="13"/>
  <c r="K67" i="13"/>
  <c r="L67" i="13"/>
  <c r="G100" i="13"/>
  <c r="K100" i="13"/>
  <c r="L100" i="13"/>
  <c r="H83" i="15"/>
  <c r="I83" i="15"/>
  <c r="G9" i="14"/>
  <c r="K9" i="14"/>
  <c r="L9" i="14"/>
  <c r="J45" i="13"/>
  <c r="J81" i="15"/>
  <c r="K117" i="13"/>
  <c r="G117" i="13"/>
  <c r="L117" i="13"/>
  <c r="J130" i="14"/>
  <c r="G97" i="15"/>
  <c r="K97" i="15"/>
  <c r="L97" i="15"/>
  <c r="G135" i="14"/>
  <c r="K135" i="14"/>
  <c r="L135" i="14"/>
  <c r="G67" i="14"/>
  <c r="K67" i="14"/>
  <c r="L67" i="14"/>
  <c r="J34" i="15"/>
  <c r="J70" i="14"/>
  <c r="J106" i="14"/>
  <c r="G86" i="15"/>
  <c r="K86" i="15"/>
  <c r="L86" i="15"/>
  <c r="J109" i="15"/>
  <c r="G100" i="14"/>
  <c r="K100" i="14"/>
  <c r="L100" i="14"/>
  <c r="K79" i="14"/>
  <c r="G79" i="14"/>
  <c r="H79" i="14" s="1"/>
  <c r="L79" i="14"/>
  <c r="J11" i="13"/>
  <c r="J47" i="9"/>
  <c r="J95" i="13"/>
  <c r="J25" i="9"/>
  <c r="J51" i="13"/>
  <c r="H83" i="9"/>
  <c r="I83" i="9"/>
  <c r="J36" i="14"/>
  <c r="J72" i="15"/>
  <c r="J108" i="14"/>
  <c r="J61" i="14"/>
  <c r="J123" i="15"/>
  <c r="J104" i="14"/>
  <c r="J73" i="9"/>
  <c r="J2" i="13"/>
  <c r="J74" i="14"/>
  <c r="J134" i="14"/>
  <c r="J92" i="14"/>
  <c r="K113" i="14"/>
  <c r="G113" i="14"/>
  <c r="L113" i="14"/>
  <c r="J64" i="9"/>
  <c r="J29" i="15"/>
  <c r="J6" i="14"/>
  <c r="J31" i="9"/>
  <c r="J105" i="15"/>
  <c r="J20" i="14"/>
  <c r="J56" i="9"/>
  <c r="K67" i="15"/>
  <c r="G67" i="15"/>
  <c r="L67" i="15"/>
  <c r="K109" i="13"/>
  <c r="G109" i="13"/>
  <c r="L109" i="13"/>
  <c r="G11" i="15"/>
  <c r="K11" i="15"/>
  <c r="L11" i="15"/>
  <c r="G51" i="15"/>
  <c r="L51" i="15"/>
  <c r="K51" i="15"/>
  <c r="J36" i="15"/>
  <c r="J72" i="14"/>
  <c r="G61" i="15"/>
  <c r="K61" i="15"/>
  <c r="L61" i="15"/>
  <c r="K123" i="13"/>
  <c r="G123" i="13"/>
  <c r="L123" i="13"/>
  <c r="K26" i="15"/>
  <c r="G26" i="15"/>
  <c r="L26" i="15"/>
  <c r="K73" i="15"/>
  <c r="G73" i="15"/>
  <c r="L73" i="15"/>
  <c r="L129" i="15"/>
  <c r="L126" i="15"/>
  <c r="L76" i="15"/>
  <c r="L128" i="15"/>
  <c r="L2" i="15"/>
  <c r="L133" i="15"/>
  <c r="K2" i="15"/>
  <c r="L131" i="15"/>
  <c r="L78" i="15"/>
  <c r="L77" i="15"/>
  <c r="L132" i="15"/>
  <c r="L75" i="15"/>
  <c r="G2" i="15"/>
  <c r="K38" i="14"/>
  <c r="G38" i="14"/>
  <c r="L38" i="14"/>
  <c r="G134" i="15"/>
  <c r="K134" i="15"/>
  <c r="L134" i="15"/>
  <c r="K92" i="15"/>
  <c r="G92" i="15"/>
  <c r="L92" i="15"/>
  <c r="K3" i="14"/>
  <c r="G3" i="14"/>
  <c r="L3" i="14"/>
  <c r="J3" i="15"/>
  <c r="G113" i="15"/>
  <c r="K113" i="15"/>
  <c r="L113" i="15"/>
  <c r="J64" i="15"/>
  <c r="K30" i="15"/>
  <c r="G30" i="15"/>
  <c r="L30" i="15"/>
  <c r="J29" i="14"/>
  <c r="J91" i="14"/>
  <c r="J6" i="15"/>
  <c r="J31" i="15"/>
  <c r="J20" i="15"/>
  <c r="J56" i="15"/>
  <c r="K97" i="13"/>
  <c r="G97" i="13"/>
  <c r="L97" i="13"/>
  <c r="K70" i="15"/>
  <c r="G70" i="15"/>
  <c r="L70" i="15"/>
  <c r="K100" i="15"/>
  <c r="G100" i="15"/>
  <c r="L100" i="15"/>
  <c r="K95" i="15"/>
  <c r="G95" i="15"/>
  <c r="L95" i="15"/>
  <c r="K21" i="9"/>
  <c r="G21" i="9"/>
  <c r="L21" i="9"/>
  <c r="G93" i="9"/>
  <c r="K93" i="9"/>
  <c r="L93" i="9"/>
  <c r="G144" i="13"/>
  <c r="K144" i="13"/>
  <c r="L144" i="13"/>
  <c r="K145" i="13"/>
  <c r="G145" i="13"/>
  <c r="L145" i="13"/>
  <c r="K41" i="9"/>
  <c r="G41" i="9"/>
  <c r="L41" i="9"/>
  <c r="G80" i="9"/>
  <c r="K80" i="9"/>
  <c r="L80" i="9"/>
  <c r="J10" i="9"/>
  <c r="J46" i="9"/>
  <c r="J82" i="9"/>
  <c r="J118" i="9"/>
  <c r="G122" i="9"/>
  <c r="K122" i="9"/>
  <c r="L122" i="9"/>
  <c r="K66" i="9"/>
  <c r="G66" i="9"/>
  <c r="L66" i="9"/>
  <c r="J23" i="9"/>
  <c r="J47" i="14"/>
  <c r="J95" i="14"/>
  <c r="G51" i="14"/>
  <c r="K51" i="14"/>
  <c r="L51" i="14"/>
  <c r="J12" i="9"/>
  <c r="J84" i="9"/>
  <c r="J121" i="13"/>
  <c r="K112" i="13"/>
  <c r="G112" i="13"/>
  <c r="L112" i="13"/>
  <c r="J63" i="9"/>
  <c r="J14" i="9"/>
  <c r="J50" i="9"/>
  <c r="J98" i="9"/>
  <c r="J111" i="9"/>
  <c r="G90" i="13"/>
  <c r="K90" i="13"/>
  <c r="L90" i="13"/>
  <c r="J15" i="13"/>
  <c r="J99" i="13"/>
  <c r="G114" i="14"/>
  <c r="K114" i="14"/>
  <c r="L114" i="14"/>
  <c r="J40" i="14"/>
  <c r="J89" i="9"/>
  <c r="J4" i="13"/>
  <c r="J140" i="13"/>
  <c r="J65" i="9"/>
  <c r="J5" i="9"/>
  <c r="J7" i="9"/>
  <c r="J18" i="14"/>
  <c r="J68" i="14"/>
  <c r="J32" i="9"/>
  <c r="J116" i="9"/>
  <c r="G9" i="15"/>
  <c r="K9" i="15"/>
  <c r="L9" i="15"/>
  <c r="J130" i="15"/>
  <c r="K59" i="14"/>
  <c r="G59" i="14"/>
  <c r="L59" i="14"/>
  <c r="K106" i="13"/>
  <c r="G106" i="13"/>
  <c r="L106" i="13"/>
  <c r="K47" i="15"/>
  <c r="G47" i="15"/>
  <c r="L47" i="15"/>
  <c r="K21" i="13"/>
  <c r="G21" i="13"/>
  <c r="L21" i="13"/>
  <c r="G93" i="13"/>
  <c r="K93" i="13"/>
  <c r="L93" i="13"/>
  <c r="J144" i="14"/>
  <c r="J145" i="9"/>
  <c r="K41" i="13"/>
  <c r="G41" i="13"/>
  <c r="L41" i="13"/>
  <c r="G80" i="13"/>
  <c r="L80" i="13"/>
  <c r="K80" i="13"/>
  <c r="J10" i="13"/>
  <c r="J46" i="13"/>
  <c r="J82" i="13"/>
  <c r="J118" i="14"/>
  <c r="G122" i="13"/>
  <c r="K122" i="13"/>
  <c r="L122" i="13"/>
  <c r="K66" i="13"/>
  <c r="G66" i="13"/>
  <c r="L66" i="13"/>
  <c r="J23" i="13"/>
  <c r="G59" i="13"/>
  <c r="K59" i="13"/>
  <c r="L59" i="13"/>
  <c r="J107" i="13"/>
  <c r="G143" i="9"/>
  <c r="K143" i="9"/>
  <c r="L143" i="9"/>
  <c r="J85" i="14"/>
  <c r="K88" i="13"/>
  <c r="G88" i="13"/>
  <c r="L88" i="13"/>
  <c r="G19" i="9"/>
  <c r="K19" i="9"/>
  <c r="L19" i="9"/>
  <c r="J12" i="15"/>
  <c r="J84" i="13"/>
  <c r="K121" i="9"/>
  <c r="G121" i="9"/>
  <c r="L121" i="9"/>
  <c r="K112" i="9"/>
  <c r="G112" i="9"/>
  <c r="L112" i="9"/>
  <c r="G74" i="13"/>
  <c r="K74" i="13"/>
  <c r="L74" i="13"/>
  <c r="J63" i="14"/>
  <c r="J14" i="13"/>
  <c r="J50" i="14"/>
  <c r="J98" i="13"/>
  <c r="J111" i="15"/>
  <c r="G90" i="9"/>
  <c r="K90" i="9"/>
  <c r="L90" i="9"/>
  <c r="J39" i="14"/>
  <c r="J15" i="9"/>
  <c r="J99" i="9"/>
  <c r="G114" i="9"/>
  <c r="K114" i="9"/>
  <c r="L114" i="9"/>
  <c r="K89" i="13"/>
  <c r="G89" i="13"/>
  <c r="L89" i="13"/>
  <c r="J4" i="14"/>
  <c r="J40" i="13"/>
  <c r="J140" i="9"/>
  <c r="G30" i="14"/>
  <c r="K30" i="14"/>
  <c r="L30" i="14"/>
  <c r="J5" i="14"/>
  <c r="J65" i="13"/>
  <c r="J7" i="14"/>
  <c r="J18" i="13"/>
  <c r="K32" i="13"/>
  <c r="G32" i="13"/>
  <c r="L32" i="13"/>
  <c r="J116" i="13"/>
  <c r="K21" i="15"/>
  <c r="G21" i="15"/>
  <c r="L21" i="15"/>
  <c r="K93" i="15"/>
  <c r="G93" i="15"/>
  <c r="L93" i="15"/>
  <c r="G144" i="9"/>
  <c r="K144" i="9"/>
  <c r="L144" i="9"/>
  <c r="K145" i="14"/>
  <c r="G145" i="14"/>
  <c r="L145" i="14"/>
  <c r="G41" i="14"/>
  <c r="K41" i="14"/>
  <c r="L41" i="14"/>
  <c r="G80" i="14"/>
  <c r="K80" i="14"/>
  <c r="L80" i="14"/>
  <c r="K71" i="14"/>
  <c r="G71" i="14"/>
  <c r="L71" i="14"/>
  <c r="J10" i="14"/>
  <c r="J46" i="15"/>
  <c r="J82" i="14"/>
  <c r="J118" i="13"/>
  <c r="G122" i="14"/>
  <c r="K122" i="14"/>
  <c r="L122" i="14"/>
  <c r="L66" i="15"/>
  <c r="K66" i="15"/>
  <c r="G66" i="15"/>
  <c r="J108" i="15"/>
  <c r="J23" i="15"/>
  <c r="J107" i="9"/>
  <c r="G143" i="14"/>
  <c r="K143" i="14"/>
  <c r="L143" i="14"/>
  <c r="J85" i="13"/>
  <c r="G88" i="14"/>
  <c r="K88" i="14"/>
  <c r="L88" i="14"/>
  <c r="K19" i="13"/>
  <c r="G19" i="13"/>
  <c r="L19" i="13"/>
  <c r="J12" i="13"/>
  <c r="J84" i="15"/>
  <c r="L121" i="15"/>
  <c r="K121" i="15"/>
  <c r="G121" i="15"/>
  <c r="K112" i="15"/>
  <c r="G112" i="15"/>
  <c r="L112" i="15"/>
  <c r="K38" i="15"/>
  <c r="G38" i="15"/>
  <c r="L38" i="15"/>
  <c r="J14" i="14"/>
  <c r="J50" i="15"/>
  <c r="J98" i="14"/>
  <c r="J111" i="14"/>
  <c r="K90" i="15"/>
  <c r="G90" i="15"/>
  <c r="L90" i="15"/>
  <c r="J88" i="9"/>
  <c r="J15" i="14"/>
  <c r="J99" i="14"/>
  <c r="J114" i="15"/>
  <c r="J89" i="15"/>
  <c r="J4" i="9"/>
  <c r="J40" i="9"/>
  <c r="J140" i="14"/>
  <c r="J5" i="13"/>
  <c r="J65" i="14"/>
  <c r="J7" i="15"/>
  <c r="J103" i="14"/>
  <c r="J18" i="9"/>
  <c r="J20" i="9"/>
  <c r="J116" i="14"/>
  <c r="G117" i="14"/>
  <c r="K117" i="14"/>
  <c r="L117" i="14"/>
  <c r="G135" i="15"/>
  <c r="K135" i="15"/>
  <c r="L135" i="15"/>
  <c r="K86" i="13"/>
  <c r="G86" i="13"/>
  <c r="L86" i="13"/>
  <c r="K21" i="14"/>
  <c r="G21" i="14"/>
  <c r="L21" i="14"/>
  <c r="G93" i="14"/>
  <c r="K93" i="14"/>
  <c r="L93" i="14"/>
  <c r="J144" i="15"/>
  <c r="J145" i="15"/>
  <c r="G41" i="15"/>
  <c r="K41" i="15"/>
  <c r="L41" i="15"/>
  <c r="G80" i="15"/>
  <c r="K80" i="15"/>
  <c r="L80" i="15"/>
  <c r="J10" i="15"/>
  <c r="J46" i="14"/>
  <c r="J82" i="15"/>
  <c r="J118" i="15"/>
  <c r="K122" i="15"/>
  <c r="G122" i="15"/>
  <c r="L122" i="15"/>
  <c r="K66" i="14"/>
  <c r="G66" i="14"/>
  <c r="L66" i="14"/>
  <c r="J23" i="14"/>
  <c r="J59" i="15"/>
  <c r="J107" i="15"/>
  <c r="G143" i="13"/>
  <c r="K143" i="13"/>
  <c r="L143" i="13"/>
  <c r="J85" i="9"/>
  <c r="G19" i="15"/>
  <c r="K19" i="15"/>
  <c r="L19" i="15"/>
  <c r="J60" i="15"/>
  <c r="J12" i="14"/>
  <c r="J84" i="14"/>
  <c r="J121" i="14"/>
  <c r="J112" i="14"/>
  <c r="J104" i="15"/>
  <c r="J74" i="15"/>
  <c r="J14" i="15"/>
  <c r="J50" i="13"/>
  <c r="J98" i="15"/>
  <c r="J111" i="13"/>
  <c r="G90" i="14"/>
  <c r="K90" i="14"/>
  <c r="L90" i="14"/>
  <c r="J39" i="15"/>
  <c r="J15" i="15"/>
  <c r="J99" i="15"/>
  <c r="J114" i="13"/>
  <c r="J40" i="15"/>
  <c r="J89" i="14"/>
  <c r="J4" i="15"/>
  <c r="J140" i="15"/>
  <c r="J65" i="15"/>
  <c r="J5" i="15"/>
  <c r="J7" i="13"/>
  <c r="J103" i="15"/>
  <c r="J18" i="15"/>
  <c r="K32" i="15"/>
  <c r="G32" i="15"/>
  <c r="L32" i="15"/>
  <c r="J68" i="15"/>
  <c r="J32" i="14"/>
  <c r="J116" i="15"/>
  <c r="M14" i="1"/>
  <c r="J14" i="1" s="1"/>
  <c r="M50" i="1"/>
  <c r="J50" i="1" s="1"/>
  <c r="M122" i="1"/>
  <c r="J122" i="1" s="1"/>
  <c r="M135" i="1"/>
  <c r="J135" i="1" s="1"/>
  <c r="G135" i="1" s="1"/>
  <c r="M52" i="1"/>
  <c r="J52" i="1" s="1"/>
  <c r="M125" i="1"/>
  <c r="J125" i="1" s="1"/>
  <c r="M54" i="1"/>
  <c r="J54" i="1" s="1"/>
  <c r="M20" i="1"/>
  <c r="J20" i="1" s="1"/>
  <c r="M94" i="1"/>
  <c r="J94" i="1" s="1"/>
  <c r="M131" i="1"/>
  <c r="M37" i="1"/>
  <c r="J37" i="1" s="1"/>
  <c r="M15" i="1"/>
  <c r="J15" i="1" s="1"/>
  <c r="M51" i="1"/>
  <c r="J51" i="1" s="1"/>
  <c r="M16" i="1"/>
  <c r="J16" i="1" s="1"/>
  <c r="M5" i="1"/>
  <c r="J5" i="1" s="1"/>
  <c r="M101" i="1"/>
  <c r="J101" i="1" s="1"/>
  <c r="G101" i="1" s="1"/>
  <c r="M6" i="1"/>
  <c r="J6" i="1" s="1"/>
  <c r="M114" i="1"/>
  <c r="J114" i="1" s="1"/>
  <c r="M55" i="1"/>
  <c r="J55" i="1" s="1"/>
  <c r="M115" i="1"/>
  <c r="J115" i="1" s="1"/>
  <c r="M92" i="1"/>
  <c r="J92" i="1" s="1"/>
  <c r="M93" i="1"/>
  <c r="J93" i="1" s="1"/>
  <c r="M34" i="1"/>
  <c r="J34" i="1" s="1"/>
  <c r="M118" i="1"/>
  <c r="J118" i="1" s="1"/>
  <c r="M12" i="1"/>
  <c r="J12" i="1" s="1"/>
  <c r="M49" i="1"/>
  <c r="J49" i="1" s="1"/>
  <c r="M8" i="1"/>
  <c r="J8" i="1" s="1"/>
  <c r="M105" i="1"/>
  <c r="J105" i="1" s="1"/>
  <c r="M132" i="1"/>
  <c r="M129" i="1"/>
  <c r="M36" i="1"/>
  <c r="J36" i="1" s="1"/>
  <c r="M107" i="1"/>
  <c r="J107" i="1" s="1"/>
  <c r="M25" i="1"/>
  <c r="J25" i="1" s="1"/>
  <c r="M108" i="1"/>
  <c r="J108" i="1" s="1"/>
  <c r="M138" i="1"/>
  <c r="M139" i="1"/>
  <c r="M145" i="1"/>
  <c r="J145" i="1" s="1"/>
  <c r="G145" i="1" s="1"/>
  <c r="M32" i="1"/>
  <c r="J32" i="1" s="1"/>
  <c r="M60" i="1"/>
  <c r="J60" i="1" s="1"/>
  <c r="M121" i="1"/>
  <c r="J121" i="1" s="1"/>
  <c r="M116" i="1"/>
  <c r="J116" i="1" s="1"/>
  <c r="M119" i="1"/>
  <c r="J119" i="1" s="1"/>
  <c r="M58" i="1"/>
  <c r="J58" i="1" s="1"/>
  <c r="M26" i="1"/>
  <c r="J26" i="1" s="1"/>
  <c r="M62" i="1"/>
  <c r="J62" i="1" s="1"/>
  <c r="M98" i="1"/>
  <c r="J98" i="1" s="1"/>
  <c r="G98" i="1" s="1"/>
  <c r="M134" i="1"/>
  <c r="J134" i="1" s="1"/>
  <c r="G134" i="1" s="1"/>
  <c r="M99" i="1"/>
  <c r="J99" i="1" s="1"/>
  <c r="G99" i="1" s="1"/>
  <c r="M4" i="1"/>
  <c r="J4" i="1" s="1"/>
  <c r="M17" i="1"/>
  <c r="J17" i="1" s="1"/>
  <c r="M18" i="1"/>
  <c r="J18" i="1" s="1"/>
  <c r="M19" i="1"/>
  <c r="J19" i="1" s="1"/>
  <c r="M91" i="1"/>
  <c r="J91" i="1" s="1"/>
  <c r="M44" i="1"/>
  <c r="J44" i="1" s="1"/>
  <c r="M128" i="1"/>
  <c r="M23" i="1"/>
  <c r="J23" i="1" s="1"/>
  <c r="M97" i="1"/>
  <c r="J97" i="1" s="1"/>
  <c r="M27" i="1"/>
  <c r="J27" i="1" s="1"/>
  <c r="M40" i="1"/>
  <c r="J40" i="1" s="1"/>
  <c r="M100" i="1"/>
  <c r="J100" i="1" s="1"/>
  <c r="G100" i="1" s="1"/>
  <c r="M41" i="1"/>
  <c r="J41" i="1" s="1"/>
  <c r="M113" i="1"/>
  <c r="J113" i="1" s="1"/>
  <c r="M42" i="1"/>
  <c r="J42" i="1" s="1"/>
  <c r="M7" i="1"/>
  <c r="J7" i="1" s="1"/>
  <c r="M79" i="1"/>
  <c r="J79" i="1" s="1"/>
  <c r="M21" i="1"/>
  <c r="J21" i="1" s="1"/>
  <c r="M117" i="1"/>
  <c r="J117" i="1" s="1"/>
  <c r="M11" i="1"/>
  <c r="J11" i="1" s="1"/>
  <c r="M22" i="1"/>
  <c r="J22" i="1" s="1"/>
  <c r="M140" i="1"/>
  <c r="J140" i="1" s="1"/>
  <c r="G140" i="1" s="1"/>
  <c r="M143" i="1"/>
  <c r="J143" i="1" s="1"/>
  <c r="G143" i="1" s="1"/>
  <c r="M146" i="1"/>
  <c r="J146" i="1" s="1"/>
  <c r="G146" i="1" s="1"/>
  <c r="M141" i="1"/>
  <c r="J141" i="1" s="1"/>
  <c r="G141" i="1" s="1"/>
  <c r="M130" i="1"/>
  <c r="J130" i="1" s="1"/>
  <c r="G130" i="1" s="1"/>
  <c r="M144" i="1"/>
  <c r="J144" i="1" s="1"/>
  <c r="G144" i="1" s="1"/>
  <c r="M110" i="1"/>
  <c r="J110" i="1" s="1"/>
  <c r="M28" i="1"/>
  <c r="J28" i="1" s="1"/>
  <c r="M90" i="1"/>
  <c r="J90" i="1" s="1"/>
  <c r="M124" i="1"/>
  <c r="J124" i="1" s="1"/>
  <c r="M126" i="1"/>
  <c r="M61" i="1"/>
  <c r="J61" i="1" s="1"/>
  <c r="M2" i="1"/>
  <c r="J2" i="1" s="1"/>
  <c r="M59" i="1"/>
  <c r="J59" i="1" s="1"/>
  <c r="M35" i="1"/>
  <c r="J35" i="1" s="1"/>
  <c r="M13" i="1"/>
  <c r="J13" i="1" s="1"/>
  <c r="M56" i="1"/>
  <c r="J56" i="1" s="1"/>
  <c r="M133" i="1"/>
  <c r="M137" i="1"/>
  <c r="M111" i="1"/>
  <c r="J111" i="1" s="1"/>
  <c r="M10" i="1"/>
  <c r="J10" i="1" s="1"/>
  <c r="M95" i="1"/>
  <c r="J95" i="1" s="1"/>
  <c r="M109" i="1"/>
  <c r="J109" i="1" s="1"/>
  <c r="M63" i="1"/>
  <c r="J63" i="1" s="1"/>
  <c r="M112" i="1"/>
  <c r="J112" i="1" s="1"/>
  <c r="M31" i="1"/>
  <c r="J31" i="1" s="1"/>
  <c r="M24" i="1"/>
  <c r="J24" i="1" s="1"/>
  <c r="M65" i="1"/>
  <c r="J65" i="1" s="1"/>
  <c r="M38" i="1"/>
  <c r="J38" i="1" s="1"/>
  <c r="M3" i="1"/>
  <c r="J3" i="1" s="1"/>
  <c r="M45" i="1"/>
  <c r="J45" i="1" s="1"/>
  <c r="M127" i="1"/>
  <c r="J127" i="1" s="1"/>
  <c r="G127" i="1" s="1"/>
  <c r="M123" i="1"/>
  <c r="J123" i="1" s="1"/>
  <c r="M29" i="1"/>
  <c r="J29" i="1" s="1"/>
  <c r="M30" i="1"/>
  <c r="J30" i="1" s="1"/>
  <c r="M9" i="1"/>
  <c r="J9" i="1" s="1"/>
  <c r="M39" i="1"/>
  <c r="J39" i="1" s="1"/>
  <c r="M64" i="1"/>
  <c r="J64" i="1" s="1"/>
  <c r="M43" i="1"/>
  <c r="J43" i="1" s="1"/>
  <c r="M106" i="1"/>
  <c r="J106" i="1" s="1"/>
  <c r="K13" i="1" l="1"/>
  <c r="G13" i="1"/>
  <c r="H13" i="1" s="1"/>
  <c r="L140" i="15"/>
  <c r="K140" i="15"/>
  <c r="G140" i="15"/>
  <c r="K9" i="1"/>
  <c r="G9" i="1"/>
  <c r="H9" i="1" s="1"/>
  <c r="K24" i="1"/>
  <c r="G24" i="1"/>
  <c r="H24" i="1" s="1"/>
  <c r="K56" i="1"/>
  <c r="G56" i="1"/>
  <c r="H56" i="1" s="1"/>
  <c r="K11" i="1"/>
  <c r="G11" i="1"/>
  <c r="H11" i="1" s="1"/>
  <c r="K4" i="1"/>
  <c r="G4" i="1"/>
  <c r="H4" i="1" s="1"/>
  <c r="G50" i="1"/>
  <c r="H50" i="1" s="1"/>
  <c r="K50" i="1"/>
  <c r="G65" i="15"/>
  <c r="K65" i="15"/>
  <c r="L65" i="15"/>
  <c r="K111" i="13"/>
  <c r="L111" i="13"/>
  <c r="G111" i="13"/>
  <c r="H41" i="15"/>
  <c r="I41" i="15"/>
  <c r="K5" i="13"/>
  <c r="L5" i="13"/>
  <c r="G5" i="13"/>
  <c r="G111" i="14"/>
  <c r="K111" i="14"/>
  <c r="L111" i="14"/>
  <c r="H143" i="14"/>
  <c r="I143" i="14"/>
  <c r="G46" i="15"/>
  <c r="K46" i="15"/>
  <c r="L46" i="15"/>
  <c r="H145" i="14"/>
  <c r="I145" i="14"/>
  <c r="G140" i="9"/>
  <c r="K140" i="9"/>
  <c r="L140" i="9"/>
  <c r="H112" i="9"/>
  <c r="I112" i="9"/>
  <c r="H41" i="13"/>
  <c r="I41" i="13"/>
  <c r="G32" i="9"/>
  <c r="K32" i="9"/>
  <c r="L32" i="9"/>
  <c r="H114" i="14"/>
  <c r="I114" i="14"/>
  <c r="H112" i="13"/>
  <c r="I112" i="13"/>
  <c r="H66" i="9"/>
  <c r="I66" i="9"/>
  <c r="K64" i="15"/>
  <c r="G64" i="15"/>
  <c r="L64" i="15"/>
  <c r="G6" i="14"/>
  <c r="K6" i="14"/>
  <c r="L6" i="14"/>
  <c r="K123" i="15"/>
  <c r="G123" i="15"/>
  <c r="L123" i="15"/>
  <c r="G34" i="15"/>
  <c r="K34" i="15"/>
  <c r="L34" i="15"/>
  <c r="H117" i="13"/>
  <c r="I117" i="13"/>
  <c r="K3" i="13"/>
  <c r="G3" i="13"/>
  <c r="L3" i="13"/>
  <c r="K130" i="13"/>
  <c r="G130" i="13"/>
  <c r="L130" i="13"/>
  <c r="L31" i="13"/>
  <c r="K31" i="13"/>
  <c r="G31" i="13"/>
  <c r="K2" i="9"/>
  <c r="G2" i="9"/>
  <c r="L76" i="9"/>
  <c r="L129" i="9"/>
  <c r="L77" i="9"/>
  <c r="L133" i="9"/>
  <c r="L132" i="9"/>
  <c r="L75" i="9"/>
  <c r="L128" i="9"/>
  <c r="L78" i="9"/>
  <c r="L126" i="9"/>
  <c r="L2" i="9"/>
  <c r="L131" i="9"/>
  <c r="H101" i="15"/>
  <c r="I101" i="15"/>
  <c r="H100" i="9"/>
  <c r="I100" i="9"/>
  <c r="K52" i="13"/>
  <c r="L52" i="13"/>
  <c r="G52" i="13"/>
  <c r="H124" i="15"/>
  <c r="I124" i="15"/>
  <c r="G94" i="14"/>
  <c r="K94" i="14"/>
  <c r="L94" i="14"/>
  <c r="H26" i="9"/>
  <c r="I26" i="9"/>
  <c r="H87" i="15"/>
  <c r="I87" i="15"/>
  <c r="H110" i="9"/>
  <c r="I110" i="9"/>
  <c r="H125" i="9"/>
  <c r="I125" i="9"/>
  <c r="K16" i="13"/>
  <c r="G16" i="13"/>
  <c r="L16" i="13"/>
  <c r="K62" i="9"/>
  <c r="G62" i="9"/>
  <c r="L62" i="9"/>
  <c r="K23" i="1"/>
  <c r="G23" i="1"/>
  <c r="H23" i="1" s="1"/>
  <c r="K84" i="15"/>
  <c r="G84" i="15"/>
  <c r="L84" i="15"/>
  <c r="G85" i="14"/>
  <c r="K85" i="14"/>
  <c r="L85" i="14"/>
  <c r="K99" i="13"/>
  <c r="G99" i="13"/>
  <c r="L99" i="13"/>
  <c r="H41" i="9"/>
  <c r="I41" i="9"/>
  <c r="H21" i="9"/>
  <c r="I21" i="9"/>
  <c r="H97" i="13"/>
  <c r="I97" i="13"/>
  <c r="H134" i="15"/>
  <c r="I134" i="15"/>
  <c r="H123" i="13"/>
  <c r="I123" i="13"/>
  <c r="H11" i="15"/>
  <c r="I11" i="15"/>
  <c r="G29" i="15"/>
  <c r="K29" i="15"/>
  <c r="L29" i="15"/>
  <c r="G61" i="14"/>
  <c r="K61" i="14"/>
  <c r="L61" i="14"/>
  <c r="H9" i="13"/>
  <c r="I9" i="13"/>
  <c r="H104" i="13"/>
  <c r="I104" i="13"/>
  <c r="H36" i="13"/>
  <c r="I36" i="13"/>
  <c r="H86" i="14"/>
  <c r="I86" i="14"/>
  <c r="G6" i="9"/>
  <c r="K6" i="9"/>
  <c r="L6" i="9"/>
  <c r="H113" i="9"/>
  <c r="I113" i="9"/>
  <c r="G73" i="14"/>
  <c r="K73" i="14"/>
  <c r="L73" i="14"/>
  <c r="G109" i="9"/>
  <c r="K109" i="9"/>
  <c r="L109" i="9"/>
  <c r="H13" i="15"/>
  <c r="I13" i="15"/>
  <c r="H120" i="13"/>
  <c r="I120" i="13"/>
  <c r="G58" i="14"/>
  <c r="L58" i="14"/>
  <c r="K58" i="14"/>
  <c r="H101" i="9"/>
  <c r="I101" i="9"/>
  <c r="I16" i="15"/>
  <c r="H16" i="15"/>
  <c r="K55" i="14"/>
  <c r="G55" i="14"/>
  <c r="L55" i="14"/>
  <c r="H44" i="14"/>
  <c r="I44" i="14"/>
  <c r="H54" i="15"/>
  <c r="I54" i="15"/>
  <c r="H91" i="13"/>
  <c r="I91" i="13"/>
  <c r="H119" i="14"/>
  <c r="I119" i="14"/>
  <c r="H127" i="9"/>
  <c r="I127" i="9"/>
  <c r="I37" i="13"/>
  <c r="H37" i="13"/>
  <c r="K14" i="1"/>
  <c r="G14" i="1"/>
  <c r="H14" i="1" s="1"/>
  <c r="G98" i="14"/>
  <c r="K98" i="14"/>
  <c r="L98" i="14"/>
  <c r="G116" i="13"/>
  <c r="K116" i="13"/>
  <c r="L116" i="13"/>
  <c r="K31" i="1"/>
  <c r="G31" i="1"/>
  <c r="H31" i="1" s="1"/>
  <c r="K116" i="15"/>
  <c r="G116" i="15"/>
  <c r="L116" i="15"/>
  <c r="G4" i="15"/>
  <c r="K4" i="15"/>
  <c r="L4" i="15"/>
  <c r="K50" i="13"/>
  <c r="G50" i="13"/>
  <c r="L50" i="13"/>
  <c r="G85" i="9"/>
  <c r="K85" i="9"/>
  <c r="L85" i="9"/>
  <c r="G144" i="15"/>
  <c r="K144" i="15"/>
  <c r="L144" i="15"/>
  <c r="H135" i="15"/>
  <c r="I135" i="15"/>
  <c r="G40" i="9"/>
  <c r="K40" i="9"/>
  <c r="L40" i="9"/>
  <c r="K50" i="15"/>
  <c r="G50" i="15"/>
  <c r="L50" i="15"/>
  <c r="G12" i="13"/>
  <c r="K12" i="13"/>
  <c r="L12" i="13"/>
  <c r="G23" i="15"/>
  <c r="K23" i="15"/>
  <c r="L23" i="15"/>
  <c r="K4" i="14"/>
  <c r="G4" i="14"/>
  <c r="L4" i="14"/>
  <c r="H90" i="9"/>
  <c r="I90" i="9"/>
  <c r="G145" i="9"/>
  <c r="K145" i="9"/>
  <c r="L145" i="9"/>
  <c r="H106" i="13"/>
  <c r="I106" i="13"/>
  <c r="G18" i="14"/>
  <c r="K18" i="14"/>
  <c r="L18" i="14"/>
  <c r="K15" i="13"/>
  <c r="G15" i="13"/>
  <c r="L15" i="13"/>
  <c r="K121" i="13"/>
  <c r="G121" i="13"/>
  <c r="L121" i="13"/>
  <c r="G64" i="9"/>
  <c r="K64" i="9"/>
  <c r="L64" i="9"/>
  <c r="G108" i="14"/>
  <c r="K108" i="14"/>
  <c r="L108" i="14"/>
  <c r="K81" i="15"/>
  <c r="G81" i="15"/>
  <c r="L81" i="15"/>
  <c r="H67" i="13"/>
  <c r="I67" i="13"/>
  <c r="H33" i="13"/>
  <c r="I33" i="13"/>
  <c r="H92" i="13"/>
  <c r="I92" i="13"/>
  <c r="L25" i="13"/>
  <c r="K25" i="13"/>
  <c r="G25" i="13"/>
  <c r="H106" i="15"/>
  <c r="I106" i="15"/>
  <c r="H81" i="14"/>
  <c r="I81" i="14"/>
  <c r="G29" i="9"/>
  <c r="K29" i="9"/>
  <c r="L29" i="9"/>
  <c r="G120" i="14"/>
  <c r="K120" i="14"/>
  <c r="L120" i="14"/>
  <c r="H135" i="9"/>
  <c r="I135" i="9"/>
  <c r="H127" i="14"/>
  <c r="I127" i="14"/>
  <c r="H16" i="14"/>
  <c r="I16" i="14"/>
  <c r="G110" i="14"/>
  <c r="K110" i="14"/>
  <c r="L110" i="14"/>
  <c r="G24" i="14"/>
  <c r="K24" i="14"/>
  <c r="L24" i="14"/>
  <c r="K22" i="15"/>
  <c r="G22" i="15"/>
  <c r="L22" i="15"/>
  <c r="H105" i="14"/>
  <c r="I105" i="14"/>
  <c r="H31" i="14"/>
  <c r="I31" i="14"/>
  <c r="H101" i="13"/>
  <c r="I101" i="13"/>
  <c r="G49" i="14"/>
  <c r="K49" i="14"/>
  <c r="L49" i="14"/>
  <c r="H42" i="14"/>
  <c r="I42" i="14"/>
  <c r="H33" i="14"/>
  <c r="I33" i="14"/>
  <c r="H13" i="14"/>
  <c r="I13" i="14"/>
  <c r="H88" i="15"/>
  <c r="I88" i="15"/>
  <c r="H49" i="9"/>
  <c r="I49" i="9"/>
  <c r="H33" i="9"/>
  <c r="I33" i="9"/>
  <c r="G107" i="9"/>
  <c r="K107" i="9"/>
  <c r="L107" i="9"/>
  <c r="G35" i="1"/>
  <c r="H35" i="1" s="1"/>
  <c r="K35" i="1"/>
  <c r="K21" i="1"/>
  <c r="G21" i="1"/>
  <c r="H21" i="1" s="1"/>
  <c r="K59" i="1"/>
  <c r="G59" i="1"/>
  <c r="H59" i="1" s="1"/>
  <c r="K79" i="1"/>
  <c r="G79" i="1"/>
  <c r="H79" i="1" s="1"/>
  <c r="K8" i="1"/>
  <c r="G8" i="1"/>
  <c r="H8" i="1" s="1"/>
  <c r="K5" i="1"/>
  <c r="G5" i="1"/>
  <c r="H5" i="1" s="1"/>
  <c r="K32" i="14"/>
  <c r="G32" i="14"/>
  <c r="L32" i="14"/>
  <c r="K89" i="14"/>
  <c r="G89" i="14"/>
  <c r="L89" i="14"/>
  <c r="G14" i="15"/>
  <c r="K14" i="15"/>
  <c r="L14" i="15"/>
  <c r="L118" i="15"/>
  <c r="K118" i="15"/>
  <c r="G118" i="15"/>
  <c r="G4" i="9"/>
  <c r="K4" i="9"/>
  <c r="L4" i="9"/>
  <c r="G14" i="14"/>
  <c r="K14" i="14"/>
  <c r="L14" i="14"/>
  <c r="G108" i="15"/>
  <c r="K108" i="15"/>
  <c r="L108" i="15"/>
  <c r="H71" i="14"/>
  <c r="I71" i="14"/>
  <c r="H32" i="13"/>
  <c r="I32" i="13"/>
  <c r="G111" i="15"/>
  <c r="K111" i="15"/>
  <c r="L111" i="15"/>
  <c r="H121" i="9"/>
  <c r="I121" i="9"/>
  <c r="H122" i="13"/>
  <c r="I122" i="13"/>
  <c r="K144" i="14"/>
  <c r="G144" i="14"/>
  <c r="L144" i="14"/>
  <c r="K7" i="9"/>
  <c r="G7" i="9"/>
  <c r="L7" i="9"/>
  <c r="G84" i="9"/>
  <c r="K84" i="9"/>
  <c r="L84" i="9"/>
  <c r="G56" i="15"/>
  <c r="K56" i="15"/>
  <c r="L56" i="15"/>
  <c r="H113" i="15"/>
  <c r="I113" i="15"/>
  <c r="H38" i="14"/>
  <c r="I38" i="14"/>
  <c r="H109" i="13"/>
  <c r="I109" i="13"/>
  <c r="G72" i="15"/>
  <c r="L72" i="15"/>
  <c r="K72" i="15"/>
  <c r="H67" i="14"/>
  <c r="I67" i="14"/>
  <c r="K45" i="13"/>
  <c r="G45" i="13"/>
  <c r="L45" i="13"/>
  <c r="G45" i="15"/>
  <c r="K45" i="15"/>
  <c r="L45" i="15"/>
  <c r="H30" i="13"/>
  <c r="I30" i="13"/>
  <c r="K95" i="9"/>
  <c r="G95" i="9"/>
  <c r="L95" i="9"/>
  <c r="H104" i="9"/>
  <c r="I104" i="9"/>
  <c r="K119" i="15"/>
  <c r="G119" i="15"/>
  <c r="L119" i="15"/>
  <c r="H86" i="9"/>
  <c r="I86" i="9"/>
  <c r="G119" i="9"/>
  <c r="K119" i="9"/>
  <c r="L119" i="9"/>
  <c r="H124" i="14"/>
  <c r="I124" i="14"/>
  <c r="H125" i="14"/>
  <c r="I125" i="14"/>
  <c r="G120" i="15"/>
  <c r="K120" i="15"/>
  <c r="L120" i="15"/>
  <c r="H71" i="13"/>
  <c r="I71" i="13"/>
  <c r="K27" i="13"/>
  <c r="L27" i="13"/>
  <c r="G27" i="13"/>
  <c r="I62" i="14"/>
  <c r="H62" i="14"/>
  <c r="H146" i="13"/>
  <c r="I146" i="13"/>
  <c r="H35" i="13"/>
  <c r="I35" i="13"/>
  <c r="H115" i="9"/>
  <c r="I115" i="9"/>
  <c r="H91" i="9"/>
  <c r="I91" i="9"/>
  <c r="H26" i="13"/>
  <c r="I26" i="13"/>
  <c r="K85" i="15"/>
  <c r="G85" i="15"/>
  <c r="L85" i="15"/>
  <c r="G94" i="13"/>
  <c r="K94" i="13"/>
  <c r="L94" i="13"/>
  <c r="K32" i="1"/>
  <c r="G32" i="1"/>
  <c r="H32" i="1" s="1"/>
  <c r="G140" i="14"/>
  <c r="K140" i="14"/>
  <c r="L140" i="14"/>
  <c r="L40" i="13"/>
  <c r="K40" i="13"/>
  <c r="G40" i="13"/>
  <c r="G68" i="14"/>
  <c r="K68" i="14"/>
  <c r="L68" i="14"/>
  <c r="K62" i="1"/>
  <c r="G62" i="1"/>
  <c r="H62" i="1" s="1"/>
  <c r="G49" i="1"/>
  <c r="H49" i="1" s="1"/>
  <c r="K49" i="1"/>
  <c r="K54" i="1"/>
  <c r="G54" i="1"/>
  <c r="H54" i="1" s="1"/>
  <c r="G68" i="15"/>
  <c r="K68" i="15"/>
  <c r="L68" i="15"/>
  <c r="G40" i="15"/>
  <c r="K40" i="15"/>
  <c r="L40" i="15"/>
  <c r="G74" i="15"/>
  <c r="K74" i="15"/>
  <c r="L74" i="15"/>
  <c r="G82" i="15"/>
  <c r="K82" i="15"/>
  <c r="L82" i="15"/>
  <c r="K89" i="15"/>
  <c r="G89" i="15"/>
  <c r="L89" i="15"/>
  <c r="H19" i="13"/>
  <c r="I19" i="13"/>
  <c r="H66" i="15"/>
  <c r="I66" i="15"/>
  <c r="H144" i="9"/>
  <c r="I144" i="9"/>
  <c r="H89" i="13"/>
  <c r="I89" i="13"/>
  <c r="G98" i="13"/>
  <c r="K98" i="13"/>
  <c r="L98" i="13"/>
  <c r="H143" i="9"/>
  <c r="I143" i="9"/>
  <c r="G118" i="14"/>
  <c r="K118" i="14"/>
  <c r="L118" i="14"/>
  <c r="K5" i="9"/>
  <c r="G5" i="9"/>
  <c r="L5" i="9"/>
  <c r="G12" i="9"/>
  <c r="K12" i="9"/>
  <c r="L12" i="9"/>
  <c r="H122" i="9"/>
  <c r="I122" i="9"/>
  <c r="H145" i="13"/>
  <c r="I145" i="13"/>
  <c r="H95" i="15"/>
  <c r="I95" i="15"/>
  <c r="K20" i="15"/>
  <c r="G20" i="15"/>
  <c r="L20" i="15"/>
  <c r="G3" i="15"/>
  <c r="K3" i="15"/>
  <c r="L3" i="15"/>
  <c r="H113" i="14"/>
  <c r="I113" i="14"/>
  <c r="G36" i="14"/>
  <c r="K36" i="14"/>
  <c r="L36" i="14"/>
  <c r="H97" i="14"/>
  <c r="I97" i="14"/>
  <c r="H56" i="13"/>
  <c r="I56" i="13"/>
  <c r="K64" i="13"/>
  <c r="G64" i="13"/>
  <c r="L64" i="13"/>
  <c r="G134" i="13"/>
  <c r="K134" i="13"/>
  <c r="L134" i="13"/>
  <c r="K34" i="14"/>
  <c r="G34" i="14"/>
  <c r="L34" i="14"/>
  <c r="H39" i="9"/>
  <c r="I39" i="9"/>
  <c r="H97" i="9"/>
  <c r="I97" i="9"/>
  <c r="G27" i="14"/>
  <c r="K27" i="14"/>
  <c r="L27" i="14"/>
  <c r="H62" i="15"/>
  <c r="I62" i="15"/>
  <c r="G71" i="15"/>
  <c r="K71" i="15"/>
  <c r="L71" i="15"/>
  <c r="I69" i="15"/>
  <c r="H69" i="15"/>
  <c r="H49" i="13"/>
  <c r="I49" i="13"/>
  <c r="H63" i="15"/>
  <c r="I63" i="15"/>
  <c r="H8" i="13"/>
  <c r="I8" i="13"/>
  <c r="G27" i="9"/>
  <c r="K27" i="9"/>
  <c r="L27" i="9"/>
  <c r="K58" i="13"/>
  <c r="L58" i="13"/>
  <c r="G58" i="13"/>
  <c r="H45" i="9"/>
  <c r="I45" i="9"/>
  <c r="K6" i="1"/>
  <c r="G6" i="1"/>
  <c r="H6" i="1" s="1"/>
  <c r="K29" i="1"/>
  <c r="G29" i="1"/>
  <c r="H29" i="1" s="1"/>
  <c r="G63" i="1"/>
  <c r="H63" i="1" s="1"/>
  <c r="K63" i="1"/>
  <c r="K44" i="1"/>
  <c r="G44" i="1"/>
  <c r="H44" i="1" s="1"/>
  <c r="K42" i="1"/>
  <c r="G42" i="1"/>
  <c r="H42" i="1" s="1"/>
  <c r="K12" i="1"/>
  <c r="G12" i="1"/>
  <c r="H12" i="1" s="1"/>
  <c r="K114" i="13"/>
  <c r="G114" i="13"/>
  <c r="L114" i="13"/>
  <c r="G104" i="15"/>
  <c r="K104" i="15"/>
  <c r="L104" i="15"/>
  <c r="H143" i="13"/>
  <c r="I143" i="13"/>
  <c r="G46" i="14"/>
  <c r="K46" i="14"/>
  <c r="L46" i="14"/>
  <c r="H93" i="14"/>
  <c r="I93" i="14"/>
  <c r="H117" i="14"/>
  <c r="I117" i="14"/>
  <c r="K114" i="15"/>
  <c r="G114" i="15"/>
  <c r="L114" i="15"/>
  <c r="H38" i="15"/>
  <c r="I38" i="15"/>
  <c r="G18" i="13"/>
  <c r="L18" i="13"/>
  <c r="K18" i="13"/>
  <c r="G50" i="14"/>
  <c r="K50" i="14"/>
  <c r="L50" i="14"/>
  <c r="K84" i="13"/>
  <c r="G84" i="13"/>
  <c r="L84" i="13"/>
  <c r="G107" i="13"/>
  <c r="K107" i="13"/>
  <c r="L107" i="13"/>
  <c r="K82" i="13"/>
  <c r="G82" i="13"/>
  <c r="L82" i="13"/>
  <c r="H59" i="14"/>
  <c r="I59" i="14"/>
  <c r="G65" i="9"/>
  <c r="K65" i="9"/>
  <c r="L65" i="9"/>
  <c r="H90" i="13"/>
  <c r="I90" i="13"/>
  <c r="K118" i="9"/>
  <c r="G118" i="9"/>
  <c r="L118" i="9"/>
  <c r="K31" i="15"/>
  <c r="G31" i="15"/>
  <c r="L31" i="15"/>
  <c r="I102" i="15"/>
  <c r="I78" i="15"/>
  <c r="I48" i="15"/>
  <c r="I2" i="15"/>
  <c r="I131" i="15"/>
  <c r="I132" i="15"/>
  <c r="I77" i="15"/>
  <c r="I75" i="15"/>
  <c r="H2" i="15"/>
  <c r="I129" i="15"/>
  <c r="I142" i="15"/>
  <c r="I128" i="15"/>
  <c r="I133" i="15"/>
  <c r="I126" i="15"/>
  <c r="I76" i="15"/>
  <c r="H61" i="15"/>
  <c r="I61" i="15"/>
  <c r="H100" i="14"/>
  <c r="I100" i="14"/>
  <c r="K28" i="13"/>
  <c r="G28" i="13"/>
  <c r="L28" i="13"/>
  <c r="H123" i="14"/>
  <c r="I123" i="14"/>
  <c r="G70" i="13"/>
  <c r="K70" i="13"/>
  <c r="L70" i="13"/>
  <c r="H103" i="13"/>
  <c r="I103" i="13"/>
  <c r="K3" i="9"/>
  <c r="G3" i="9"/>
  <c r="L3" i="9"/>
  <c r="H47" i="13"/>
  <c r="I47" i="13"/>
  <c r="G106" i="9"/>
  <c r="K106" i="9"/>
  <c r="L106" i="9"/>
  <c r="H141" i="15"/>
  <c r="I141" i="15"/>
  <c r="H115" i="15"/>
  <c r="I115" i="15"/>
  <c r="H25" i="15"/>
  <c r="I25" i="15"/>
  <c r="G35" i="15"/>
  <c r="K35" i="15"/>
  <c r="L35" i="15"/>
  <c r="H11" i="9"/>
  <c r="I11" i="9"/>
  <c r="H91" i="15"/>
  <c r="I91" i="15"/>
  <c r="H110" i="15"/>
  <c r="I110" i="15"/>
  <c r="G146" i="14"/>
  <c r="K146" i="14"/>
  <c r="L146" i="14"/>
  <c r="H94" i="15"/>
  <c r="I94" i="15"/>
  <c r="H17" i="14"/>
  <c r="I17" i="14"/>
  <c r="H26" i="14"/>
  <c r="I26" i="14"/>
  <c r="H13" i="9"/>
  <c r="I13" i="9"/>
  <c r="H60" i="9"/>
  <c r="I60" i="9"/>
  <c r="H143" i="15"/>
  <c r="I143" i="15"/>
  <c r="K22" i="13"/>
  <c r="L22" i="13"/>
  <c r="G22" i="13"/>
  <c r="H141" i="13"/>
  <c r="I141" i="13"/>
  <c r="H19" i="15"/>
  <c r="I19" i="15"/>
  <c r="K10" i="14"/>
  <c r="G10" i="14"/>
  <c r="L10" i="14"/>
  <c r="K7" i="1"/>
  <c r="G7" i="1"/>
  <c r="H7" i="1" s="1"/>
  <c r="G91" i="1"/>
  <c r="H91" i="1" s="1"/>
  <c r="K91" i="1"/>
  <c r="G26" i="1"/>
  <c r="H26" i="1" s="1"/>
  <c r="K26" i="1"/>
  <c r="K16" i="1"/>
  <c r="G16" i="1"/>
  <c r="H16" i="1" s="1"/>
  <c r="K95" i="1"/>
  <c r="G95" i="1"/>
  <c r="H95" i="1" s="1"/>
  <c r="K2" i="1"/>
  <c r="G2" i="1"/>
  <c r="H2" i="1" s="1"/>
  <c r="K19" i="1"/>
  <c r="G19" i="1"/>
  <c r="H19" i="1" s="1"/>
  <c r="K58" i="1"/>
  <c r="G58" i="1"/>
  <c r="H58" i="1" s="1"/>
  <c r="K51" i="1"/>
  <c r="G51" i="1"/>
  <c r="H51" i="1" s="1"/>
  <c r="H32" i="15"/>
  <c r="I32" i="15"/>
  <c r="G99" i="15"/>
  <c r="K99" i="15"/>
  <c r="L99" i="15"/>
  <c r="L112" i="14"/>
  <c r="K112" i="14"/>
  <c r="G112" i="14"/>
  <c r="G107" i="15"/>
  <c r="K107" i="15"/>
  <c r="L107" i="15"/>
  <c r="G10" i="15"/>
  <c r="K10" i="15"/>
  <c r="L10" i="15"/>
  <c r="K116" i="14"/>
  <c r="G116" i="14"/>
  <c r="L116" i="14"/>
  <c r="G99" i="14"/>
  <c r="K99" i="14"/>
  <c r="L99" i="14"/>
  <c r="H93" i="15"/>
  <c r="I93" i="15"/>
  <c r="G7" i="14"/>
  <c r="K7" i="14"/>
  <c r="L7" i="14"/>
  <c r="K14" i="13"/>
  <c r="L14" i="13"/>
  <c r="G14" i="13"/>
  <c r="K12" i="15"/>
  <c r="G12" i="15"/>
  <c r="L12" i="15"/>
  <c r="K46" i="13"/>
  <c r="G46" i="13"/>
  <c r="L46" i="13"/>
  <c r="H93" i="13"/>
  <c r="I93" i="13"/>
  <c r="K140" i="13"/>
  <c r="G140" i="13"/>
  <c r="L140" i="13"/>
  <c r="G111" i="9"/>
  <c r="K111" i="9"/>
  <c r="L111" i="9"/>
  <c r="G82" i="9"/>
  <c r="K82" i="9"/>
  <c r="L82" i="9"/>
  <c r="K6" i="15"/>
  <c r="G6" i="15"/>
  <c r="L6" i="15"/>
  <c r="H3" i="14"/>
  <c r="I3" i="14"/>
  <c r="G72" i="14"/>
  <c r="K72" i="14"/>
  <c r="L72" i="14"/>
  <c r="H67" i="15"/>
  <c r="I67" i="15"/>
  <c r="G92" i="14"/>
  <c r="K92" i="14"/>
  <c r="L92" i="14"/>
  <c r="G109" i="15"/>
  <c r="K109" i="15"/>
  <c r="L109" i="15"/>
  <c r="H135" i="14"/>
  <c r="I135" i="14"/>
  <c r="H9" i="14"/>
  <c r="I9" i="14"/>
  <c r="K20" i="13"/>
  <c r="L20" i="13"/>
  <c r="G20" i="13"/>
  <c r="K61" i="13"/>
  <c r="L61" i="13"/>
  <c r="G61" i="13"/>
  <c r="H11" i="14"/>
  <c r="I11" i="14"/>
  <c r="I34" i="13"/>
  <c r="H34" i="13"/>
  <c r="G70" i="9"/>
  <c r="K70" i="9"/>
  <c r="L70" i="9"/>
  <c r="G130" i="9"/>
  <c r="K130" i="9"/>
  <c r="L130" i="9"/>
  <c r="H28" i="15"/>
  <c r="I28" i="15"/>
  <c r="K55" i="15"/>
  <c r="G55" i="15"/>
  <c r="L55" i="15"/>
  <c r="H37" i="9"/>
  <c r="I37" i="9"/>
  <c r="H115" i="14"/>
  <c r="I115" i="14"/>
  <c r="L27" i="15"/>
  <c r="K27" i="15"/>
  <c r="G27" i="15"/>
  <c r="H119" i="13"/>
  <c r="I119" i="13"/>
  <c r="H43" i="13"/>
  <c r="I43" i="13"/>
  <c r="H61" i="9"/>
  <c r="I61" i="9"/>
  <c r="L59" i="15"/>
  <c r="K59" i="15"/>
  <c r="G59" i="15"/>
  <c r="K65" i="13"/>
  <c r="G65" i="13"/>
  <c r="L65" i="13"/>
  <c r="K10" i="13"/>
  <c r="G10" i="13"/>
  <c r="L10" i="13"/>
  <c r="G98" i="9"/>
  <c r="K98" i="9"/>
  <c r="L98" i="9"/>
  <c r="H51" i="14"/>
  <c r="I51" i="14"/>
  <c r="G46" i="9"/>
  <c r="K46" i="9"/>
  <c r="L46" i="9"/>
  <c r="H100" i="15"/>
  <c r="I100" i="15"/>
  <c r="G91" i="14"/>
  <c r="K91" i="14"/>
  <c r="L91" i="14"/>
  <c r="H73" i="15"/>
  <c r="I73" i="15"/>
  <c r="K36" i="15"/>
  <c r="G36" i="15"/>
  <c r="L36" i="15"/>
  <c r="K134" i="14"/>
  <c r="G134" i="14"/>
  <c r="L134" i="14"/>
  <c r="K51" i="13"/>
  <c r="L51" i="13"/>
  <c r="G51" i="13"/>
  <c r="H117" i="15"/>
  <c r="I117" i="15"/>
  <c r="G105" i="9"/>
  <c r="K105" i="9"/>
  <c r="L105" i="9"/>
  <c r="H38" i="9"/>
  <c r="I38" i="9"/>
  <c r="K108" i="13"/>
  <c r="L108" i="13"/>
  <c r="G108" i="13"/>
  <c r="H120" i="9"/>
  <c r="I120" i="9"/>
  <c r="H92" i="9"/>
  <c r="I92" i="9"/>
  <c r="H123" i="9"/>
  <c r="I123" i="9"/>
  <c r="G34" i="9"/>
  <c r="K34" i="9"/>
  <c r="L34" i="9"/>
  <c r="H87" i="14"/>
  <c r="I87" i="14"/>
  <c r="H33" i="15"/>
  <c r="I33" i="15"/>
  <c r="K54" i="13"/>
  <c r="L54" i="13"/>
  <c r="G54" i="13"/>
  <c r="H13" i="13"/>
  <c r="I13" i="13"/>
  <c r="H37" i="15"/>
  <c r="I37" i="15"/>
  <c r="K60" i="13"/>
  <c r="G60" i="13"/>
  <c r="L60" i="13"/>
  <c r="H54" i="9"/>
  <c r="I54" i="9"/>
  <c r="H43" i="9"/>
  <c r="I43" i="9"/>
  <c r="K55" i="9"/>
  <c r="G55" i="9"/>
  <c r="L55" i="9"/>
  <c r="K107" i="14"/>
  <c r="G107" i="14"/>
  <c r="L107" i="14"/>
  <c r="H42" i="13"/>
  <c r="I42" i="13"/>
  <c r="I79" i="15"/>
  <c r="H79" i="15"/>
  <c r="K145" i="15"/>
  <c r="G145" i="15"/>
  <c r="L145" i="15"/>
  <c r="K61" i="1"/>
  <c r="G61" i="1"/>
  <c r="H61" i="1" s="1"/>
  <c r="K25" i="1"/>
  <c r="G25" i="1"/>
  <c r="H25" i="1" s="1"/>
  <c r="H21" i="14"/>
  <c r="I21" i="14"/>
  <c r="K130" i="15"/>
  <c r="G130" i="15"/>
  <c r="L130" i="15"/>
  <c r="K18" i="1"/>
  <c r="G18" i="1"/>
  <c r="H18" i="1" s="1"/>
  <c r="K93" i="1"/>
  <c r="G93" i="1"/>
  <c r="H93" i="1" s="1"/>
  <c r="K37" i="1"/>
  <c r="G37" i="1"/>
  <c r="H37" i="1" s="1"/>
  <c r="K52" i="1"/>
  <c r="G52" i="1"/>
  <c r="H52" i="1" s="1"/>
  <c r="K18" i="15"/>
  <c r="G18" i="15"/>
  <c r="L18" i="15"/>
  <c r="K39" i="15"/>
  <c r="G39" i="15"/>
  <c r="L39" i="15"/>
  <c r="K84" i="14"/>
  <c r="G84" i="14"/>
  <c r="L84" i="14"/>
  <c r="G23" i="14"/>
  <c r="K23" i="14"/>
  <c r="L23" i="14"/>
  <c r="G18" i="9"/>
  <c r="K18" i="9"/>
  <c r="L18" i="9"/>
  <c r="K88" i="9"/>
  <c r="G88" i="9"/>
  <c r="L88" i="9"/>
  <c r="H112" i="15"/>
  <c r="I112" i="15"/>
  <c r="H88" i="14"/>
  <c r="I88" i="14"/>
  <c r="G5" i="14"/>
  <c r="K5" i="14"/>
  <c r="L5" i="14"/>
  <c r="H114" i="9"/>
  <c r="I114" i="9"/>
  <c r="H59" i="13"/>
  <c r="I59" i="13"/>
  <c r="H21" i="13"/>
  <c r="I21" i="13"/>
  <c r="K89" i="9"/>
  <c r="G89" i="9"/>
  <c r="L89" i="9"/>
  <c r="G50" i="9"/>
  <c r="K50" i="9"/>
  <c r="L50" i="9"/>
  <c r="K95" i="14"/>
  <c r="G95" i="14"/>
  <c r="L95" i="14"/>
  <c r="G10" i="9"/>
  <c r="K10" i="9"/>
  <c r="L10" i="9"/>
  <c r="H144" i="13"/>
  <c r="I144" i="13"/>
  <c r="K29" i="14"/>
  <c r="G29" i="14"/>
  <c r="L29" i="14"/>
  <c r="G56" i="9"/>
  <c r="K56" i="9"/>
  <c r="L56" i="9"/>
  <c r="G74" i="14"/>
  <c r="K74" i="14"/>
  <c r="L74" i="14"/>
  <c r="G25" i="9"/>
  <c r="K25" i="9"/>
  <c r="L25" i="9"/>
  <c r="H94" i="9"/>
  <c r="I94" i="9"/>
  <c r="K6" i="13"/>
  <c r="G6" i="13"/>
  <c r="L6" i="13"/>
  <c r="H113" i="13"/>
  <c r="I113" i="13"/>
  <c r="L129" i="14"/>
  <c r="G2" i="14"/>
  <c r="L76" i="14"/>
  <c r="L132" i="14"/>
  <c r="L126" i="14"/>
  <c r="L2" i="14"/>
  <c r="K2" i="14"/>
  <c r="L133" i="14"/>
  <c r="L131" i="14"/>
  <c r="L78" i="14"/>
  <c r="L77" i="14"/>
  <c r="L128" i="14"/>
  <c r="L75" i="14"/>
  <c r="H79" i="13"/>
  <c r="I79" i="13"/>
  <c r="H30" i="9"/>
  <c r="I30" i="9"/>
  <c r="K108" i="9"/>
  <c r="G108" i="9"/>
  <c r="L108" i="9"/>
  <c r="H79" i="9"/>
  <c r="I79" i="9"/>
  <c r="G59" i="9"/>
  <c r="K59" i="9"/>
  <c r="L59" i="9"/>
  <c r="H69" i="13"/>
  <c r="I69" i="13"/>
  <c r="H54" i="14"/>
  <c r="I54" i="14"/>
  <c r="H68" i="9"/>
  <c r="I68" i="9"/>
  <c r="H42" i="15"/>
  <c r="I42" i="15"/>
  <c r="K44" i="9"/>
  <c r="G44" i="9"/>
  <c r="L44" i="9"/>
  <c r="K17" i="13"/>
  <c r="G17" i="13"/>
  <c r="L17" i="13"/>
  <c r="H28" i="14"/>
  <c r="I28" i="14"/>
  <c r="H58" i="15"/>
  <c r="I58" i="15"/>
  <c r="H58" i="9"/>
  <c r="I58" i="9"/>
  <c r="H127" i="13"/>
  <c r="I127" i="13"/>
  <c r="H52" i="9"/>
  <c r="I52" i="9"/>
  <c r="H55" i="13"/>
  <c r="I55" i="13"/>
  <c r="G24" i="13"/>
  <c r="L24" i="13"/>
  <c r="K24" i="13"/>
  <c r="H87" i="13"/>
  <c r="I87" i="13"/>
  <c r="H124" i="13"/>
  <c r="I124" i="13"/>
  <c r="H24" i="9"/>
  <c r="I24" i="9"/>
  <c r="K35" i="14"/>
  <c r="G35" i="14"/>
  <c r="L35" i="14"/>
  <c r="H105" i="13"/>
  <c r="I105" i="13"/>
  <c r="H122" i="15"/>
  <c r="I122" i="15"/>
  <c r="K15" i="1"/>
  <c r="G15" i="1"/>
  <c r="H15" i="1" s="1"/>
  <c r="L121" i="14"/>
  <c r="K121" i="14"/>
  <c r="G121" i="14"/>
  <c r="K15" i="14"/>
  <c r="G15" i="14"/>
  <c r="L15" i="14"/>
  <c r="H80" i="14"/>
  <c r="I80" i="14"/>
  <c r="K63" i="14"/>
  <c r="G63" i="14"/>
  <c r="L63" i="14"/>
  <c r="K4" i="13"/>
  <c r="L4" i="13"/>
  <c r="G4" i="13"/>
  <c r="K3" i="1"/>
  <c r="G3" i="1"/>
  <c r="H3" i="1" s="1"/>
  <c r="K43" i="1"/>
  <c r="G43" i="1"/>
  <c r="H43" i="1" s="1"/>
  <c r="K38" i="1"/>
  <c r="G38" i="1"/>
  <c r="H38" i="1" s="1"/>
  <c r="K40" i="1"/>
  <c r="G40" i="1"/>
  <c r="H40" i="1" s="1"/>
  <c r="K92" i="1"/>
  <c r="G92" i="1"/>
  <c r="H92" i="1" s="1"/>
  <c r="G103" i="15"/>
  <c r="K103" i="15"/>
  <c r="L103" i="15"/>
  <c r="L12" i="14"/>
  <c r="K12" i="14"/>
  <c r="G12" i="14"/>
  <c r="H80" i="15"/>
  <c r="I80" i="15"/>
  <c r="G103" i="14"/>
  <c r="K103" i="14"/>
  <c r="L103" i="14"/>
  <c r="G85" i="13"/>
  <c r="K85" i="13"/>
  <c r="L85" i="13"/>
  <c r="H122" i="14"/>
  <c r="I122" i="14"/>
  <c r="H21" i="15"/>
  <c r="I21" i="15"/>
  <c r="G99" i="9"/>
  <c r="K99" i="9"/>
  <c r="L99" i="9"/>
  <c r="H19" i="9"/>
  <c r="I19" i="9"/>
  <c r="K23" i="13"/>
  <c r="L23" i="13"/>
  <c r="G23" i="13"/>
  <c r="K40" i="14"/>
  <c r="G40" i="14"/>
  <c r="L40" i="14"/>
  <c r="K14" i="9"/>
  <c r="G14" i="9"/>
  <c r="L14" i="9"/>
  <c r="G47" i="14"/>
  <c r="K47" i="14"/>
  <c r="L47" i="14"/>
  <c r="H92" i="15"/>
  <c r="I92" i="15"/>
  <c r="G20" i="14"/>
  <c r="K20" i="14"/>
  <c r="L20" i="14"/>
  <c r="G2" i="13"/>
  <c r="K2" i="13"/>
  <c r="L129" i="13"/>
  <c r="L128" i="13"/>
  <c r="L76" i="13"/>
  <c r="L2" i="13"/>
  <c r="L75" i="13"/>
  <c r="L126" i="13"/>
  <c r="L77" i="13"/>
  <c r="L132" i="13"/>
  <c r="L78" i="13"/>
  <c r="L133" i="13"/>
  <c r="L131" i="13"/>
  <c r="K95" i="13"/>
  <c r="G95" i="13"/>
  <c r="L95" i="13"/>
  <c r="H86" i="15"/>
  <c r="I86" i="15"/>
  <c r="H97" i="15"/>
  <c r="I97" i="15"/>
  <c r="K29" i="13"/>
  <c r="G29" i="13"/>
  <c r="L29" i="13"/>
  <c r="K51" i="9"/>
  <c r="G51" i="9"/>
  <c r="L51" i="9"/>
  <c r="K64" i="14"/>
  <c r="G64" i="14"/>
  <c r="L64" i="14"/>
  <c r="G134" i="9"/>
  <c r="K134" i="9"/>
  <c r="L134" i="9"/>
  <c r="K72" i="9"/>
  <c r="G72" i="9"/>
  <c r="L72" i="9"/>
  <c r="H117" i="9"/>
  <c r="I117" i="9"/>
  <c r="H125" i="15"/>
  <c r="I125" i="15"/>
  <c r="G8" i="15"/>
  <c r="K8" i="15"/>
  <c r="L8" i="15"/>
  <c r="H52" i="15"/>
  <c r="I52" i="15"/>
  <c r="H62" i="13"/>
  <c r="I62" i="13"/>
  <c r="K60" i="14"/>
  <c r="G60" i="14"/>
  <c r="L60" i="14"/>
  <c r="H71" i="9"/>
  <c r="I71" i="9"/>
  <c r="G22" i="9"/>
  <c r="K22" i="9"/>
  <c r="L22" i="9"/>
  <c r="H124" i="9"/>
  <c r="I124" i="9"/>
  <c r="K44" i="13"/>
  <c r="G44" i="13"/>
  <c r="L44" i="13"/>
  <c r="K30" i="1"/>
  <c r="G30" i="1"/>
  <c r="H30" i="1" s="1"/>
  <c r="K98" i="15"/>
  <c r="G98" i="15"/>
  <c r="L98" i="15"/>
  <c r="G10" i="1"/>
  <c r="H10" i="1" s="1"/>
  <c r="K10" i="1"/>
  <c r="K41" i="1"/>
  <c r="G41" i="1"/>
  <c r="H41" i="1" s="1"/>
  <c r="K34" i="1"/>
  <c r="G34" i="1"/>
  <c r="H34" i="1" s="1"/>
  <c r="G20" i="9"/>
  <c r="K20" i="9"/>
  <c r="L20" i="9"/>
  <c r="K64" i="1"/>
  <c r="G64" i="1"/>
  <c r="H64" i="1" s="1"/>
  <c r="K17" i="1"/>
  <c r="G17" i="1"/>
  <c r="H17" i="1" s="1"/>
  <c r="K36" i="1"/>
  <c r="G36" i="1"/>
  <c r="H36" i="1" s="1"/>
  <c r="K94" i="1"/>
  <c r="G94" i="1"/>
  <c r="H94" i="1" s="1"/>
  <c r="K7" i="13"/>
  <c r="G7" i="13"/>
  <c r="L7" i="13"/>
  <c r="G60" i="15"/>
  <c r="K60" i="15"/>
  <c r="L60" i="15"/>
  <c r="H66" i="14"/>
  <c r="I66" i="14"/>
  <c r="H86" i="13"/>
  <c r="I86" i="13"/>
  <c r="G7" i="15"/>
  <c r="K7" i="15"/>
  <c r="L7" i="15"/>
  <c r="H90" i="15"/>
  <c r="I90" i="15"/>
  <c r="H121" i="15"/>
  <c r="I121" i="15"/>
  <c r="K118" i="13"/>
  <c r="G118" i="13"/>
  <c r="L118" i="13"/>
  <c r="H41" i="14"/>
  <c r="I41" i="14"/>
  <c r="G15" i="9"/>
  <c r="K15" i="9"/>
  <c r="L15" i="9"/>
  <c r="H74" i="13"/>
  <c r="I74" i="13"/>
  <c r="H80" i="13"/>
  <c r="I80" i="13"/>
  <c r="H9" i="15"/>
  <c r="I9" i="15"/>
  <c r="G63" i="9"/>
  <c r="K63" i="9"/>
  <c r="L63" i="9"/>
  <c r="G23" i="9"/>
  <c r="K23" i="9"/>
  <c r="L23" i="9"/>
  <c r="H70" i="15"/>
  <c r="I70" i="15"/>
  <c r="H30" i="15"/>
  <c r="I30" i="15"/>
  <c r="H26" i="15"/>
  <c r="I26" i="15"/>
  <c r="I51" i="15"/>
  <c r="H51" i="15"/>
  <c r="G105" i="15"/>
  <c r="K105" i="15"/>
  <c r="L105" i="15"/>
  <c r="G73" i="9"/>
  <c r="K73" i="9"/>
  <c r="L73" i="9"/>
  <c r="K47" i="9"/>
  <c r="G47" i="9"/>
  <c r="L47" i="9"/>
  <c r="G106" i="14"/>
  <c r="K106" i="14"/>
  <c r="L106" i="14"/>
  <c r="G130" i="14"/>
  <c r="K130" i="14"/>
  <c r="L130" i="14"/>
  <c r="K73" i="13"/>
  <c r="L73" i="13"/>
  <c r="G73" i="13"/>
  <c r="H72" i="13"/>
  <c r="I72" i="13"/>
  <c r="G109" i="14"/>
  <c r="K109" i="14"/>
  <c r="L109" i="14"/>
  <c r="H135" i="13"/>
  <c r="I135" i="13"/>
  <c r="H141" i="9"/>
  <c r="I141" i="9"/>
  <c r="G28" i="9"/>
  <c r="K28" i="9"/>
  <c r="L28" i="9"/>
  <c r="G74" i="9"/>
  <c r="K74" i="9"/>
  <c r="L74" i="9"/>
  <c r="G36" i="9"/>
  <c r="K36" i="9"/>
  <c r="L36" i="9"/>
  <c r="G81" i="9"/>
  <c r="K81" i="9"/>
  <c r="L81" i="9"/>
  <c r="G44" i="15"/>
  <c r="K44" i="15"/>
  <c r="L44" i="15"/>
  <c r="H43" i="14"/>
  <c r="I43" i="14"/>
  <c r="K146" i="15"/>
  <c r="G146" i="15"/>
  <c r="L146" i="15"/>
  <c r="H49" i="15"/>
  <c r="I49" i="15"/>
  <c r="H141" i="14"/>
  <c r="I141" i="14"/>
  <c r="H43" i="15"/>
  <c r="I43" i="15"/>
  <c r="K24" i="15"/>
  <c r="G24" i="15"/>
  <c r="L24" i="15"/>
  <c r="K35" i="9"/>
  <c r="G35" i="9"/>
  <c r="L35" i="9"/>
  <c r="H69" i="14"/>
  <c r="I69" i="14"/>
  <c r="H22" i="14"/>
  <c r="I22" i="14"/>
  <c r="H115" i="13"/>
  <c r="I115" i="13"/>
  <c r="H16" i="9"/>
  <c r="I16" i="9"/>
  <c r="G8" i="9"/>
  <c r="K8" i="9"/>
  <c r="L8" i="9"/>
  <c r="H17" i="9"/>
  <c r="I17" i="9"/>
  <c r="H125" i="13"/>
  <c r="I125" i="13"/>
  <c r="H19" i="14"/>
  <c r="I19" i="14"/>
  <c r="H87" i="9"/>
  <c r="I87" i="9"/>
  <c r="H69" i="9"/>
  <c r="I69" i="9"/>
  <c r="H81" i="13"/>
  <c r="I81" i="13"/>
  <c r="K20" i="1"/>
  <c r="G20" i="1"/>
  <c r="H20" i="1" s="1"/>
  <c r="K45" i="1"/>
  <c r="G45" i="1"/>
  <c r="H45" i="1" s="1"/>
  <c r="G15" i="15"/>
  <c r="K15" i="15"/>
  <c r="L15" i="15"/>
  <c r="G90" i="1"/>
  <c r="H90" i="1" s="1"/>
  <c r="K90" i="1"/>
  <c r="K39" i="1"/>
  <c r="G39" i="1"/>
  <c r="H39" i="1" s="1"/>
  <c r="K65" i="1"/>
  <c r="G65" i="1"/>
  <c r="H65" i="1" s="1"/>
  <c r="K28" i="1"/>
  <c r="G28" i="1"/>
  <c r="H28" i="1" s="1"/>
  <c r="K22" i="1"/>
  <c r="G22" i="1"/>
  <c r="H22" i="1" s="1"/>
  <c r="K27" i="1"/>
  <c r="G27" i="1"/>
  <c r="H27" i="1" s="1"/>
  <c r="K60" i="1"/>
  <c r="G60" i="1"/>
  <c r="H60" i="1" s="1"/>
  <c r="K55" i="1"/>
  <c r="G55" i="1"/>
  <c r="H55" i="1" s="1"/>
  <c r="G5" i="15"/>
  <c r="L5" i="15"/>
  <c r="K5" i="15"/>
  <c r="H90" i="14"/>
  <c r="I90" i="14"/>
  <c r="G65" i="14"/>
  <c r="K65" i="14"/>
  <c r="L65" i="14"/>
  <c r="G82" i="14"/>
  <c r="K82" i="14"/>
  <c r="L82" i="14"/>
  <c r="H30" i="14"/>
  <c r="I30" i="14"/>
  <c r="G39" i="14"/>
  <c r="K39" i="14"/>
  <c r="L39" i="14"/>
  <c r="H88" i="13"/>
  <c r="I88" i="13"/>
  <c r="I66" i="13"/>
  <c r="H66" i="13"/>
  <c r="H47" i="15"/>
  <c r="I47" i="15"/>
  <c r="G116" i="9"/>
  <c r="K116" i="9"/>
  <c r="L116" i="9"/>
  <c r="H80" i="9"/>
  <c r="I80" i="9"/>
  <c r="H93" i="9"/>
  <c r="I93" i="9"/>
  <c r="G31" i="9"/>
  <c r="K31" i="9"/>
  <c r="L31" i="9"/>
  <c r="K104" i="14"/>
  <c r="G104" i="14"/>
  <c r="L104" i="14"/>
  <c r="K11" i="13"/>
  <c r="L11" i="13"/>
  <c r="G11" i="13"/>
  <c r="G70" i="14"/>
  <c r="K70" i="14"/>
  <c r="L70" i="14"/>
  <c r="H100" i="13"/>
  <c r="I100" i="13"/>
  <c r="H45" i="14"/>
  <c r="I45" i="14"/>
  <c r="H42" i="9"/>
  <c r="I42" i="9"/>
  <c r="H103" i="9"/>
  <c r="I103" i="9"/>
  <c r="H39" i="13"/>
  <c r="I39" i="13"/>
  <c r="K37" i="14"/>
  <c r="G37" i="14"/>
  <c r="L37" i="14"/>
  <c r="G56" i="14"/>
  <c r="K56" i="14"/>
  <c r="L56" i="14"/>
  <c r="K38" i="13"/>
  <c r="G38" i="13"/>
  <c r="L38" i="13"/>
  <c r="H67" i="9"/>
  <c r="I67" i="9"/>
  <c r="H9" i="9"/>
  <c r="I9" i="9"/>
  <c r="G8" i="14"/>
  <c r="K8" i="14"/>
  <c r="L8" i="14"/>
  <c r="H17" i="15"/>
  <c r="I17" i="15"/>
  <c r="H101" i="14"/>
  <c r="I101" i="14"/>
  <c r="H127" i="15"/>
  <c r="I127" i="15"/>
  <c r="K25" i="14"/>
  <c r="G25" i="14"/>
  <c r="L25" i="14"/>
  <c r="H68" i="13"/>
  <c r="I68" i="13"/>
  <c r="G52" i="14"/>
  <c r="K52" i="14"/>
  <c r="L52" i="14"/>
  <c r="G110" i="13"/>
  <c r="K110" i="13"/>
  <c r="L110" i="13"/>
  <c r="G146" i="9"/>
  <c r="K146" i="9"/>
  <c r="L146" i="9"/>
  <c r="H63" i="13"/>
  <c r="I63" i="13"/>
  <c r="G109" i="1"/>
  <c r="H109" i="1" s="1"/>
  <c r="K109" i="1"/>
  <c r="G125" i="1"/>
  <c r="H125" i="1" s="1"/>
  <c r="K125" i="1"/>
  <c r="G123" i="1"/>
  <c r="H123" i="1" s="1"/>
  <c r="K123" i="1"/>
  <c r="G105" i="1"/>
  <c r="H105" i="1" s="1"/>
  <c r="K105" i="1"/>
  <c r="G118" i="1"/>
  <c r="K118" i="1"/>
  <c r="G112" i="1"/>
  <c r="H112" i="1" s="1"/>
  <c r="K112" i="1"/>
  <c r="G119" i="1"/>
  <c r="K119" i="1"/>
  <c r="G107" i="1"/>
  <c r="H107" i="1" s="1"/>
  <c r="K107" i="1"/>
  <c r="G106" i="1"/>
  <c r="H106" i="1" s="1"/>
  <c r="K106" i="1"/>
  <c r="G124" i="1"/>
  <c r="H124" i="1" s="1"/>
  <c r="K124" i="1"/>
  <c r="G116" i="1"/>
  <c r="H116" i="1" s="1"/>
  <c r="K116" i="1"/>
  <c r="G121" i="1"/>
  <c r="H121" i="1" s="1"/>
  <c r="K121" i="1"/>
  <c r="G115" i="1"/>
  <c r="H115" i="1" s="1"/>
  <c r="K115" i="1"/>
  <c r="G108" i="1"/>
  <c r="H108" i="1" s="1"/>
  <c r="K108" i="1"/>
  <c r="G111" i="1"/>
  <c r="K111" i="1"/>
  <c r="G110" i="1"/>
  <c r="K110" i="1"/>
  <c r="G122" i="1"/>
  <c r="H122" i="1" s="1"/>
  <c r="K122" i="1"/>
  <c r="G117" i="1"/>
  <c r="H117" i="1" s="1"/>
  <c r="K117" i="1"/>
  <c r="G114" i="1"/>
  <c r="K114" i="1"/>
  <c r="G113" i="1"/>
  <c r="H113" i="1" s="1"/>
  <c r="K113" i="1"/>
  <c r="H127" i="1"/>
  <c r="H110" i="1"/>
  <c r="H130" i="1"/>
  <c r="H141" i="1"/>
  <c r="H100" i="1"/>
  <c r="H143" i="1"/>
  <c r="H140" i="1"/>
  <c r="H114" i="1"/>
  <c r="H111" i="1"/>
  <c r="H146" i="1"/>
  <c r="H135" i="1"/>
  <c r="G97" i="1"/>
  <c r="H99" i="1"/>
  <c r="H98" i="1"/>
  <c r="H118" i="1"/>
  <c r="H119" i="1"/>
  <c r="H144" i="1"/>
  <c r="H134" i="1"/>
  <c r="H145" i="1"/>
  <c r="H101" i="1"/>
  <c r="K146" i="1"/>
  <c r="K97" i="1"/>
  <c r="K127" i="1"/>
  <c r="K99" i="1"/>
  <c r="K140" i="1"/>
  <c r="K144" i="1"/>
  <c r="K134" i="1"/>
  <c r="K145" i="1"/>
  <c r="K101" i="1"/>
  <c r="K130" i="1"/>
  <c r="K141" i="1"/>
  <c r="K100" i="1"/>
  <c r="K143" i="1"/>
  <c r="K135" i="1"/>
  <c r="K98" i="1"/>
  <c r="H31" i="9" l="1"/>
  <c r="I31" i="9"/>
  <c r="H146" i="9"/>
  <c r="I146" i="9"/>
  <c r="H5" i="15"/>
  <c r="I5" i="15"/>
  <c r="H73" i="13"/>
  <c r="I73" i="13"/>
  <c r="I12" i="14"/>
  <c r="H12" i="14"/>
  <c r="H89" i="9"/>
  <c r="I89" i="9"/>
  <c r="H107" i="14"/>
  <c r="I107" i="14"/>
  <c r="H46" i="9"/>
  <c r="I46" i="9"/>
  <c r="I59" i="15"/>
  <c r="H59" i="15"/>
  <c r="H12" i="15"/>
  <c r="I12" i="15"/>
  <c r="H99" i="14"/>
  <c r="I99" i="14"/>
  <c r="H134" i="13"/>
  <c r="I134" i="13"/>
  <c r="H89" i="15"/>
  <c r="I89" i="15"/>
  <c r="H68" i="14"/>
  <c r="I68" i="14"/>
  <c r="H108" i="15"/>
  <c r="I108" i="15"/>
  <c r="H14" i="15"/>
  <c r="I14" i="15"/>
  <c r="H108" i="14"/>
  <c r="I108" i="14"/>
  <c r="H18" i="14"/>
  <c r="I18" i="14"/>
  <c r="H4" i="15"/>
  <c r="I4" i="15"/>
  <c r="H109" i="9"/>
  <c r="I109" i="9"/>
  <c r="H99" i="13"/>
  <c r="I99" i="13"/>
  <c r="H65" i="15"/>
  <c r="I65" i="15"/>
  <c r="H34" i="9"/>
  <c r="I34" i="9"/>
  <c r="H36" i="15"/>
  <c r="I36" i="15"/>
  <c r="H65" i="9"/>
  <c r="I65" i="9"/>
  <c r="H114" i="13"/>
  <c r="I114" i="13"/>
  <c r="H68" i="15"/>
  <c r="I68" i="15"/>
  <c r="H40" i="13"/>
  <c r="I40" i="13"/>
  <c r="H85" i="15"/>
  <c r="I85" i="15"/>
  <c r="H56" i="15"/>
  <c r="I56" i="15"/>
  <c r="H23" i="15"/>
  <c r="I23" i="15"/>
  <c r="I31" i="13"/>
  <c r="H31" i="13"/>
  <c r="H111" i="14"/>
  <c r="I111" i="14"/>
  <c r="H51" i="9"/>
  <c r="I51" i="9"/>
  <c r="H24" i="13"/>
  <c r="I24" i="13"/>
  <c r="H38" i="13"/>
  <c r="I38" i="13"/>
  <c r="H116" i="9"/>
  <c r="I116" i="9"/>
  <c r="H44" i="15"/>
  <c r="I44" i="15"/>
  <c r="H28" i="9"/>
  <c r="I28" i="9"/>
  <c r="H73" i="9"/>
  <c r="I73" i="9"/>
  <c r="H60" i="14"/>
  <c r="I60" i="14"/>
  <c r="H40" i="14"/>
  <c r="I40" i="14"/>
  <c r="H25" i="9"/>
  <c r="I25" i="9"/>
  <c r="H70" i="9"/>
  <c r="I70" i="9"/>
  <c r="H111" i="9"/>
  <c r="I111" i="9"/>
  <c r="H14" i="13"/>
  <c r="I14" i="13"/>
  <c r="H116" i="14"/>
  <c r="I116" i="14"/>
  <c r="H70" i="13"/>
  <c r="I70" i="13"/>
  <c r="H27" i="14"/>
  <c r="I27" i="14"/>
  <c r="H64" i="13"/>
  <c r="I64" i="13"/>
  <c r="H98" i="13"/>
  <c r="I98" i="13"/>
  <c r="I95" i="9"/>
  <c r="H95" i="9"/>
  <c r="H89" i="14"/>
  <c r="I89" i="14"/>
  <c r="H49" i="14"/>
  <c r="I49" i="14"/>
  <c r="H24" i="14"/>
  <c r="I24" i="14"/>
  <c r="H120" i="14"/>
  <c r="I120" i="14"/>
  <c r="H116" i="15"/>
  <c r="I116" i="15"/>
  <c r="H116" i="13"/>
  <c r="I116" i="13"/>
  <c r="H16" i="13"/>
  <c r="I16" i="13"/>
  <c r="H94" i="14"/>
  <c r="I94" i="14"/>
  <c r="H34" i="15"/>
  <c r="I34" i="15"/>
  <c r="H5" i="13"/>
  <c r="I5" i="13"/>
  <c r="H7" i="13"/>
  <c r="I7" i="13"/>
  <c r="H110" i="13"/>
  <c r="I110" i="13"/>
  <c r="H104" i="14"/>
  <c r="I104" i="14"/>
  <c r="H20" i="9"/>
  <c r="I20" i="9"/>
  <c r="H15" i="14"/>
  <c r="I15" i="14"/>
  <c r="H35" i="14"/>
  <c r="I35" i="14"/>
  <c r="H17" i="13"/>
  <c r="I17" i="13"/>
  <c r="I79" i="14"/>
  <c r="I48" i="14"/>
  <c r="I78" i="14"/>
  <c r="I76" i="14"/>
  <c r="I2" i="14"/>
  <c r="I131" i="14"/>
  <c r="H2" i="14"/>
  <c r="I77" i="14"/>
  <c r="I75" i="14"/>
  <c r="I142" i="14"/>
  <c r="I129" i="14"/>
  <c r="I102" i="14"/>
  <c r="I128" i="14"/>
  <c r="I126" i="14"/>
  <c r="I132" i="14"/>
  <c r="I133" i="14"/>
  <c r="I145" i="15"/>
  <c r="H145" i="15"/>
  <c r="H55" i="9"/>
  <c r="I55" i="9"/>
  <c r="H105" i="9"/>
  <c r="I105" i="9"/>
  <c r="H72" i="14"/>
  <c r="I72" i="14"/>
  <c r="H99" i="15"/>
  <c r="I99" i="15"/>
  <c r="H50" i="14"/>
  <c r="I50" i="14"/>
  <c r="H3" i="15"/>
  <c r="I3" i="15"/>
  <c r="H12" i="9"/>
  <c r="I12" i="9"/>
  <c r="H27" i="13"/>
  <c r="I27" i="13"/>
  <c r="H14" i="14"/>
  <c r="I14" i="14"/>
  <c r="H64" i="9"/>
  <c r="I64" i="9"/>
  <c r="H144" i="15"/>
  <c r="I144" i="15"/>
  <c r="H73" i="14"/>
  <c r="I73" i="14"/>
  <c r="H140" i="9"/>
  <c r="I140" i="9"/>
  <c r="H82" i="14"/>
  <c r="I82" i="14"/>
  <c r="H23" i="9"/>
  <c r="I23" i="9"/>
  <c r="H15" i="9"/>
  <c r="I15" i="9"/>
  <c r="H7" i="15"/>
  <c r="I7" i="15"/>
  <c r="H44" i="13"/>
  <c r="I44" i="13"/>
  <c r="H72" i="9"/>
  <c r="I72" i="9"/>
  <c r="H29" i="13"/>
  <c r="I29" i="13"/>
  <c r="H20" i="14"/>
  <c r="I20" i="14"/>
  <c r="H23" i="13"/>
  <c r="I23" i="13"/>
  <c r="H10" i="9"/>
  <c r="I10" i="9"/>
  <c r="H88" i="9"/>
  <c r="I88" i="9"/>
  <c r="H39" i="15"/>
  <c r="I39" i="15"/>
  <c r="H54" i="13"/>
  <c r="I54" i="13"/>
  <c r="H140" i="13"/>
  <c r="I140" i="13"/>
  <c r="H106" i="9"/>
  <c r="I106" i="9"/>
  <c r="H31" i="15"/>
  <c r="I31" i="15"/>
  <c r="H82" i="15"/>
  <c r="I82" i="15"/>
  <c r="I72" i="15"/>
  <c r="H72" i="15"/>
  <c r="H84" i="9"/>
  <c r="I84" i="9"/>
  <c r="H12" i="13"/>
  <c r="I12" i="13"/>
  <c r="H85" i="14"/>
  <c r="I85" i="14"/>
  <c r="H123" i="15"/>
  <c r="I123" i="15"/>
  <c r="H2" i="13"/>
  <c r="I77" i="13"/>
  <c r="I2" i="13"/>
  <c r="I131" i="13"/>
  <c r="I142" i="13"/>
  <c r="I128" i="13"/>
  <c r="I129" i="13"/>
  <c r="I78" i="13"/>
  <c r="I48" i="13"/>
  <c r="I126" i="13"/>
  <c r="I132" i="13"/>
  <c r="I76" i="13"/>
  <c r="I75" i="13"/>
  <c r="I102" i="13"/>
  <c r="I133" i="13"/>
  <c r="H84" i="14"/>
  <c r="I84" i="14"/>
  <c r="H81" i="9"/>
  <c r="I81" i="9"/>
  <c r="H130" i="14"/>
  <c r="I130" i="14"/>
  <c r="H105" i="15"/>
  <c r="I105" i="15"/>
  <c r="H103" i="15"/>
  <c r="I103" i="15"/>
  <c r="I121" i="14"/>
  <c r="H121" i="14"/>
  <c r="H74" i="14"/>
  <c r="I74" i="14"/>
  <c r="H98" i="9"/>
  <c r="I98" i="9"/>
  <c r="H55" i="15"/>
  <c r="I55" i="15"/>
  <c r="H22" i="13"/>
  <c r="I22" i="13"/>
  <c r="H82" i="13"/>
  <c r="I82" i="13"/>
  <c r="H58" i="13"/>
  <c r="I58" i="13"/>
  <c r="H20" i="15"/>
  <c r="I20" i="15"/>
  <c r="H5" i="9"/>
  <c r="I5" i="9"/>
  <c r="H119" i="9"/>
  <c r="I119" i="9"/>
  <c r="H111" i="15"/>
  <c r="I111" i="15"/>
  <c r="H32" i="14"/>
  <c r="I32" i="14"/>
  <c r="H110" i="14"/>
  <c r="I110" i="14"/>
  <c r="H29" i="9"/>
  <c r="I29" i="9"/>
  <c r="H121" i="13"/>
  <c r="I121" i="13"/>
  <c r="H145" i="9"/>
  <c r="I145" i="9"/>
  <c r="H98" i="14"/>
  <c r="I98" i="14"/>
  <c r="I58" i="14"/>
  <c r="H58" i="14"/>
  <c r="H52" i="13"/>
  <c r="I52" i="13"/>
  <c r="H130" i="13"/>
  <c r="I130" i="13"/>
  <c r="H52" i="14"/>
  <c r="I52" i="14"/>
  <c r="H56" i="14"/>
  <c r="I56" i="14"/>
  <c r="H85" i="13"/>
  <c r="I85" i="13"/>
  <c r="H4" i="13"/>
  <c r="I4" i="13"/>
  <c r="H44" i="9"/>
  <c r="I44" i="9"/>
  <c r="H59" i="9"/>
  <c r="I59" i="9"/>
  <c r="H95" i="14"/>
  <c r="I95" i="14"/>
  <c r="H130" i="15"/>
  <c r="I130" i="15"/>
  <c r="H51" i="13"/>
  <c r="I51" i="13"/>
  <c r="H10" i="15"/>
  <c r="I10" i="15"/>
  <c r="H28" i="13"/>
  <c r="I28" i="13"/>
  <c r="H18" i="13"/>
  <c r="I18" i="13"/>
  <c r="H46" i="14"/>
  <c r="I46" i="14"/>
  <c r="H140" i="14"/>
  <c r="I140" i="14"/>
  <c r="H7" i="9"/>
  <c r="I7" i="9"/>
  <c r="H4" i="9"/>
  <c r="I4" i="9"/>
  <c r="H50" i="15"/>
  <c r="I50" i="15"/>
  <c r="H85" i="9"/>
  <c r="I85" i="9"/>
  <c r="H84" i="15"/>
  <c r="I84" i="15"/>
  <c r="H63" i="9"/>
  <c r="I63" i="9"/>
  <c r="H91" i="14"/>
  <c r="I91" i="14"/>
  <c r="H10" i="13"/>
  <c r="I10" i="13"/>
  <c r="H61" i="13"/>
  <c r="I61" i="13"/>
  <c r="H109" i="15"/>
  <c r="I109" i="15"/>
  <c r="H6" i="15"/>
  <c r="I6" i="15"/>
  <c r="H7" i="14"/>
  <c r="I7" i="14"/>
  <c r="H35" i="15"/>
  <c r="I35" i="15"/>
  <c r="H118" i="9"/>
  <c r="I118" i="9"/>
  <c r="H74" i="15"/>
  <c r="I74" i="15"/>
  <c r="H118" i="15"/>
  <c r="I118" i="15"/>
  <c r="H61" i="14"/>
  <c r="I61" i="14"/>
  <c r="H111" i="13"/>
  <c r="I111" i="13"/>
  <c r="H140" i="15"/>
  <c r="I140" i="15"/>
  <c r="H8" i="14"/>
  <c r="I8" i="14"/>
  <c r="H35" i="9"/>
  <c r="I35" i="9"/>
  <c r="H146" i="15"/>
  <c r="I146" i="15"/>
  <c r="H36" i="9"/>
  <c r="I36" i="9"/>
  <c r="H106" i="14"/>
  <c r="I106" i="14"/>
  <c r="H118" i="13"/>
  <c r="I118" i="13"/>
  <c r="H134" i="9"/>
  <c r="I134" i="9"/>
  <c r="H6" i="13"/>
  <c r="I6" i="13"/>
  <c r="H56" i="9"/>
  <c r="I56" i="9"/>
  <c r="H18" i="9"/>
  <c r="I18" i="9"/>
  <c r="H108" i="13"/>
  <c r="I108" i="13"/>
  <c r="H3" i="9"/>
  <c r="I3" i="9"/>
  <c r="H34" i="14"/>
  <c r="I34" i="14"/>
  <c r="H45" i="15"/>
  <c r="I45" i="15"/>
  <c r="H81" i="15"/>
  <c r="I81" i="15"/>
  <c r="H15" i="13"/>
  <c r="I15" i="13"/>
  <c r="H50" i="13"/>
  <c r="I50" i="13"/>
  <c r="H6" i="9"/>
  <c r="I6" i="9"/>
  <c r="I3" i="13"/>
  <c r="H3" i="13"/>
  <c r="H6" i="14"/>
  <c r="I6" i="14"/>
  <c r="H32" i="9"/>
  <c r="I32" i="9"/>
  <c r="H46" i="15"/>
  <c r="I46" i="15"/>
  <c r="H109" i="14"/>
  <c r="I109" i="14"/>
  <c r="H47" i="14"/>
  <c r="I47" i="14"/>
  <c r="H103" i="14"/>
  <c r="I103" i="14"/>
  <c r="I27" i="15"/>
  <c r="H27" i="15"/>
  <c r="H46" i="13"/>
  <c r="I46" i="13"/>
  <c r="H107" i="15"/>
  <c r="I107" i="15"/>
  <c r="H107" i="13"/>
  <c r="I107" i="13"/>
  <c r="H71" i="15"/>
  <c r="I71" i="15"/>
  <c r="H118" i="14"/>
  <c r="I118" i="14"/>
  <c r="H119" i="15"/>
  <c r="I119" i="15"/>
  <c r="H144" i="14"/>
  <c r="I144" i="14"/>
  <c r="H107" i="9"/>
  <c r="I107" i="9"/>
  <c r="H4" i="14"/>
  <c r="I4" i="14"/>
  <c r="H55" i="14"/>
  <c r="I55" i="14"/>
  <c r="H18" i="15"/>
  <c r="I18" i="15"/>
  <c r="H25" i="14"/>
  <c r="I25" i="14"/>
  <c r="H70" i="14"/>
  <c r="I70" i="14"/>
  <c r="H8" i="9"/>
  <c r="I8" i="9"/>
  <c r="H47" i="9"/>
  <c r="I47" i="9"/>
  <c r="H22" i="9"/>
  <c r="I22" i="9"/>
  <c r="H8" i="15"/>
  <c r="I8" i="15"/>
  <c r="H64" i="14"/>
  <c r="I64" i="14"/>
  <c r="H63" i="14"/>
  <c r="I63" i="14"/>
  <c r="H108" i="9"/>
  <c r="I108" i="9"/>
  <c r="H29" i="14"/>
  <c r="I29" i="14"/>
  <c r="H50" i="9"/>
  <c r="I50" i="9"/>
  <c r="H5" i="14"/>
  <c r="I5" i="14"/>
  <c r="H60" i="13"/>
  <c r="I60" i="13"/>
  <c r="H134" i="14"/>
  <c r="I134" i="14"/>
  <c r="H65" i="13"/>
  <c r="I65" i="13"/>
  <c r="H20" i="13"/>
  <c r="I20" i="13"/>
  <c r="H92" i="14"/>
  <c r="I92" i="14"/>
  <c r="I112" i="14"/>
  <c r="H112" i="14"/>
  <c r="H146" i="14"/>
  <c r="I146" i="14"/>
  <c r="H114" i="15"/>
  <c r="I114" i="15"/>
  <c r="H27" i="9"/>
  <c r="I27" i="9"/>
  <c r="H36" i="14"/>
  <c r="I36" i="14"/>
  <c r="H40" i="15"/>
  <c r="I40" i="15"/>
  <c r="H120" i="15"/>
  <c r="I120" i="15"/>
  <c r="H45" i="13"/>
  <c r="I45" i="13"/>
  <c r="H22" i="15"/>
  <c r="I22" i="15"/>
  <c r="I25" i="13"/>
  <c r="H25" i="13"/>
  <c r="H40" i="9"/>
  <c r="I40" i="9"/>
  <c r="H29" i="15"/>
  <c r="I29" i="15"/>
  <c r="H64" i="15"/>
  <c r="I64" i="15"/>
  <c r="H65" i="14"/>
  <c r="I65" i="14"/>
  <c r="H37" i="14"/>
  <c r="I37" i="14"/>
  <c r="H11" i="13"/>
  <c r="I11" i="13"/>
  <c r="H39" i="14"/>
  <c r="I39" i="14"/>
  <c r="H15" i="15"/>
  <c r="I15" i="15"/>
  <c r="H24" i="15"/>
  <c r="I24" i="15"/>
  <c r="H74" i="9"/>
  <c r="I74" i="9"/>
  <c r="H60" i="15"/>
  <c r="I60" i="15"/>
  <c r="H98" i="15"/>
  <c r="I98" i="15"/>
  <c r="I95" i="13"/>
  <c r="H95" i="13"/>
  <c r="H14" i="9"/>
  <c r="I14" i="9"/>
  <c r="H99" i="9"/>
  <c r="I99" i="9"/>
  <c r="H23" i="14"/>
  <c r="I23" i="14"/>
  <c r="H130" i="9"/>
  <c r="I130" i="9"/>
  <c r="H82" i="9"/>
  <c r="I82" i="9"/>
  <c r="H10" i="14"/>
  <c r="I10" i="14"/>
  <c r="H84" i="13"/>
  <c r="I84" i="13"/>
  <c r="H104" i="15"/>
  <c r="I104" i="15"/>
  <c r="H94" i="13"/>
  <c r="I94" i="13"/>
  <c r="H62" i="9"/>
  <c r="I62" i="9"/>
  <c r="H2" i="9"/>
  <c r="I78" i="9"/>
  <c r="I126" i="9"/>
  <c r="I133" i="9"/>
  <c r="I129" i="9"/>
  <c r="I75" i="9"/>
  <c r="I128" i="9"/>
  <c r="I77" i="9"/>
  <c r="I102" i="9"/>
  <c r="I131" i="9"/>
  <c r="I142" i="9"/>
  <c r="I48" i="9"/>
  <c r="I2" i="9"/>
  <c r="I76" i="9"/>
  <c r="I132" i="9"/>
  <c r="H97" i="1"/>
  <c r="L61" i="1" l="1"/>
  <c r="L35" i="1"/>
  <c r="L9" i="1"/>
  <c r="L59" i="1"/>
  <c r="J47" i="1"/>
  <c r="L17" i="1" s="1"/>
  <c r="K47" i="1" l="1"/>
  <c r="L90" i="1"/>
  <c r="L47" i="1"/>
  <c r="L132" i="1"/>
  <c r="L39" i="1"/>
  <c r="L118" i="1"/>
  <c r="L65" i="1"/>
  <c r="L124" i="1"/>
  <c r="L146" i="1"/>
  <c r="L27" i="1"/>
  <c r="L44" i="1"/>
  <c r="L6" i="1"/>
  <c r="L58" i="1"/>
  <c r="L23" i="1"/>
  <c r="L122" i="1"/>
  <c r="L99" i="1"/>
  <c r="L79" i="1"/>
  <c r="L43" i="1"/>
  <c r="L7" i="1"/>
  <c r="L92" i="1"/>
  <c r="L56" i="1"/>
  <c r="L21" i="1"/>
  <c r="L60" i="1"/>
  <c r="L62" i="1"/>
  <c r="L55" i="1"/>
  <c r="L15" i="1"/>
  <c r="L36" i="1"/>
  <c r="L141" i="1"/>
  <c r="L8" i="1"/>
  <c r="L52" i="1"/>
  <c r="L145" i="1"/>
  <c r="L64" i="1"/>
  <c r="L38" i="1"/>
  <c r="L34" i="1"/>
  <c r="L45" i="1"/>
  <c r="L93" i="1"/>
  <c r="L133" i="1"/>
  <c r="L19" i="1"/>
  <c r="L112" i="1"/>
  <c r="L4" i="1"/>
  <c r="L101" i="1"/>
  <c r="L117" i="1"/>
  <c r="L51" i="1"/>
  <c r="L127" i="1"/>
  <c r="L13" i="1"/>
  <c r="L123" i="1"/>
  <c r="L143" i="1"/>
  <c r="L14" i="1"/>
  <c r="L107" i="1"/>
  <c r="L126" i="1"/>
  <c r="L63" i="1"/>
  <c r="L98" i="1"/>
  <c r="L105" i="1"/>
  <c r="L31" i="1"/>
  <c r="L110" i="1"/>
  <c r="L50" i="1"/>
  <c r="L140" i="1"/>
  <c r="L109" i="1"/>
  <c r="L12" i="1"/>
  <c r="L91" i="1"/>
  <c r="L10" i="1"/>
  <c r="L5" i="1"/>
  <c r="G47" i="1"/>
  <c r="L40" i="1"/>
  <c r="L129" i="1"/>
  <c r="L100" i="1"/>
  <c r="L32" i="1"/>
  <c r="L97" i="1"/>
  <c r="L134" i="1"/>
  <c r="L144" i="1"/>
  <c r="L25" i="1"/>
  <c r="L54" i="1"/>
  <c r="L130" i="1"/>
  <c r="L42" i="1"/>
  <c r="L116" i="1"/>
  <c r="L3" i="1"/>
  <c r="L131" i="1"/>
  <c r="L20" i="1"/>
  <c r="L37" i="1"/>
  <c r="L135" i="1"/>
  <c r="L30" i="1"/>
  <c r="L125" i="1"/>
  <c r="L128" i="1"/>
  <c r="L113" i="1"/>
  <c r="L119" i="1"/>
  <c r="L121" i="1"/>
  <c r="L95" i="1"/>
  <c r="L114" i="1"/>
  <c r="L108" i="1"/>
  <c r="L26" i="1"/>
  <c r="L16" i="1"/>
  <c r="L94" i="1"/>
  <c r="L11" i="1"/>
  <c r="L18" i="1"/>
  <c r="L29" i="1"/>
  <c r="L106" i="1"/>
  <c r="L111" i="1"/>
  <c r="L24" i="1"/>
  <c r="L115" i="1"/>
  <c r="L49" i="1"/>
  <c r="L28" i="1"/>
  <c r="L41" i="1"/>
  <c r="L2" i="1"/>
  <c r="L22" i="1"/>
  <c r="I123" i="1" l="1"/>
  <c r="I19" i="1"/>
  <c r="I112" i="1"/>
  <c r="I58" i="1"/>
  <c r="I63" i="1"/>
  <c r="I3" i="1"/>
  <c r="I65" i="1"/>
  <c r="I23" i="1"/>
  <c r="I109" i="1"/>
  <c r="I6" i="1"/>
  <c r="I115" i="1"/>
  <c r="I34" i="1"/>
  <c r="I28" i="1"/>
  <c r="I101" i="1"/>
  <c r="I108" i="1"/>
  <c r="I100" i="1"/>
  <c r="I10" i="1"/>
  <c r="I126" i="1"/>
  <c r="I134" i="1"/>
  <c r="I27" i="1"/>
  <c r="I62" i="1"/>
  <c r="I55" i="1"/>
  <c r="I11" i="1"/>
  <c r="I43" i="1"/>
  <c r="I121" i="1"/>
  <c r="I116" i="1"/>
  <c r="I52" i="1"/>
  <c r="I61" i="1"/>
  <c r="I117" i="1"/>
  <c r="I26" i="1"/>
  <c r="I14" i="1"/>
  <c r="I140" i="1"/>
  <c r="I13" i="1"/>
  <c r="I141" i="1"/>
  <c r="I35" i="1"/>
  <c r="I135" i="1"/>
  <c r="I21" i="1"/>
  <c r="I22" i="1"/>
  <c r="I91" i="1"/>
  <c r="I38" i="1"/>
  <c r="I41" i="1"/>
  <c r="I97" i="1"/>
  <c r="I92" i="1"/>
  <c r="I30" i="1"/>
  <c r="I7" i="1"/>
  <c r="I129" i="1"/>
  <c r="I98" i="1"/>
  <c r="I8" i="1"/>
  <c r="I18" i="1"/>
  <c r="I12" i="1"/>
  <c r="I37" i="1"/>
  <c r="I94" i="1"/>
  <c r="I127" i="1"/>
  <c r="I29" i="1"/>
  <c r="I59" i="1"/>
  <c r="I49" i="1"/>
  <c r="I51" i="1"/>
  <c r="I31" i="1"/>
  <c r="I2" i="1"/>
  <c r="I111" i="1"/>
  <c r="I119" i="1"/>
  <c r="I95" i="1"/>
  <c r="I144" i="1"/>
  <c r="I90" i="1"/>
  <c r="I39" i="1"/>
  <c r="I110" i="1"/>
  <c r="I106" i="1"/>
  <c r="I79" i="1"/>
  <c r="I47" i="1"/>
  <c r="I50" i="1"/>
  <c r="I5" i="1"/>
  <c r="I99" i="1"/>
  <c r="I122" i="1"/>
  <c r="I32" i="1"/>
  <c r="I133" i="1"/>
  <c r="I64" i="1"/>
  <c r="I44" i="1"/>
  <c r="I15" i="1"/>
  <c r="I20" i="1"/>
  <c r="I36" i="1"/>
  <c r="I93" i="1"/>
  <c r="I132" i="1"/>
  <c r="I105" i="1"/>
  <c r="I146" i="1"/>
  <c r="I125" i="1"/>
  <c r="I128" i="1"/>
  <c r="I145" i="1"/>
  <c r="I45" i="1"/>
  <c r="I17" i="1"/>
  <c r="I42" i="1"/>
  <c r="I124" i="1"/>
  <c r="I16" i="1"/>
  <c r="H47" i="1"/>
  <c r="I56" i="1"/>
  <c r="I118" i="1"/>
  <c r="I9" i="1"/>
  <c r="I40" i="1"/>
  <c r="I107" i="1"/>
  <c r="I4" i="1"/>
  <c r="I25" i="1"/>
  <c r="I60" i="1"/>
  <c r="I113" i="1"/>
  <c r="I131" i="1"/>
  <c r="I24" i="1"/>
  <c r="I143" i="1"/>
  <c r="I130" i="1"/>
  <c r="I54" i="1"/>
  <c r="I114" i="1"/>
  <c r="G141" i="7"/>
  <c r="G125" i="7"/>
  <c r="G94" i="7"/>
  <c r="G52" i="7"/>
  <c r="G7" i="7"/>
  <c r="G26" i="7"/>
  <c r="G24" i="7"/>
  <c r="G57" i="7"/>
  <c r="G46" i="7"/>
  <c r="G62" i="7"/>
  <c r="G60" i="7"/>
  <c r="G23" i="7"/>
  <c r="G144" i="7"/>
  <c r="G91" i="7"/>
  <c r="G16" i="7"/>
  <c r="G6" i="7"/>
  <c r="G120" i="7"/>
  <c r="G48" i="7"/>
  <c r="G140" i="7"/>
  <c r="G137" i="7"/>
  <c r="G107" i="7"/>
  <c r="G117" i="7"/>
  <c r="G67" i="7"/>
  <c r="G13" i="7"/>
  <c r="G3" i="7"/>
  <c r="G2" i="7"/>
  <c r="G104" i="7"/>
  <c r="G78" i="7"/>
  <c r="G17" i="7"/>
  <c r="G8" i="7"/>
  <c r="G10" i="7"/>
  <c r="G114" i="7"/>
  <c r="G22" i="7"/>
  <c r="G58" i="7"/>
  <c r="G126" i="7"/>
  <c r="G72" i="7"/>
  <c r="G20" i="7"/>
  <c r="G28" i="7"/>
  <c r="G102" i="7"/>
  <c r="G65" i="7"/>
  <c r="G119" i="7"/>
  <c r="G34" i="7"/>
  <c r="G40" i="7"/>
  <c r="G38" i="7"/>
  <c r="G85" i="7"/>
  <c r="G29" i="7"/>
  <c r="G54" i="7"/>
  <c r="G33" i="7"/>
  <c r="G96" i="7"/>
  <c r="G53" i="7"/>
  <c r="G80" i="7"/>
  <c r="G112" i="7"/>
  <c r="G19" i="7"/>
  <c r="G115" i="7"/>
  <c r="G84" i="7"/>
  <c r="G146" i="7"/>
  <c r="G36" i="7"/>
  <c r="G129" i="7"/>
  <c r="G73" i="7"/>
  <c r="G139" i="7"/>
  <c r="G128" i="7"/>
  <c r="G45" i="7"/>
  <c r="G43" i="7"/>
  <c r="G25" i="7"/>
  <c r="G134" i="7"/>
  <c r="G93" i="7"/>
  <c r="G103" i="7"/>
  <c r="G82" i="7"/>
  <c r="G90" i="7"/>
  <c r="G108" i="7"/>
  <c r="G47" i="7"/>
  <c r="G145" i="7"/>
  <c r="G100" i="7"/>
  <c r="G143" i="7"/>
  <c r="G121" i="7"/>
  <c r="G55" i="7"/>
  <c r="G124" i="7"/>
  <c r="G99" i="7"/>
  <c r="G86" i="7"/>
  <c r="G75" i="7"/>
  <c r="G31" i="7"/>
  <c r="G101" i="7"/>
  <c r="G27" i="7"/>
  <c r="G66" i="7"/>
  <c r="G5" i="7"/>
  <c r="G61" i="7"/>
  <c r="G35" i="7"/>
  <c r="G69" i="7"/>
  <c r="G105" i="7"/>
  <c r="G110" i="7"/>
  <c r="G97" i="7"/>
  <c r="G118" i="7"/>
  <c r="G98" i="7"/>
  <c r="G37" i="7"/>
  <c r="G81" i="7"/>
  <c r="G87" i="7"/>
  <c r="G111" i="7"/>
  <c r="G68" i="7"/>
  <c r="G44" i="7"/>
  <c r="G109" i="7"/>
  <c r="G95" i="7"/>
  <c r="G127" i="7"/>
  <c r="G4" i="7"/>
  <c r="G83" i="7"/>
  <c r="G32" i="7"/>
  <c r="G71" i="7"/>
  <c r="G113" i="7"/>
  <c r="G41" i="7"/>
  <c r="G51" i="7"/>
  <c r="G123" i="7"/>
  <c r="G138" i="7"/>
  <c r="G70" i="7"/>
  <c r="G76" i="7"/>
  <c r="G14" i="7"/>
  <c r="G131" i="7"/>
  <c r="G39" i="7"/>
  <c r="G79" i="7"/>
  <c r="G142" i="7"/>
  <c r="G15" i="7"/>
  <c r="G12" i="7"/>
  <c r="G132" i="7"/>
  <c r="G21" i="7"/>
  <c r="G9" i="7"/>
  <c r="G77" i="7"/>
  <c r="G88" i="7"/>
  <c r="G64" i="7"/>
  <c r="G74" i="7"/>
  <c r="G116" i="7"/>
  <c r="G130" i="7"/>
  <c r="G56" i="7"/>
  <c r="G106" i="7"/>
  <c r="G136" i="7"/>
  <c r="G30" i="7"/>
  <c r="G92" i="7"/>
  <c r="G122" i="7"/>
  <c r="G63" i="7"/>
  <c r="G18" i="7"/>
  <c r="G133" i="7"/>
  <c r="G135" i="7"/>
  <c r="G59" i="7"/>
  <c r="G11" i="7"/>
  <c r="G89" i="7"/>
  <c r="G50" i="7"/>
  <c r="G49" i="7"/>
  <c r="G42" i="7"/>
  <c r="H124" i="7" l="1" a="1"/>
  <c r="H124" i="7" s="1"/>
  <c r="I124" i="7" a="1"/>
  <c r="I124" i="7" s="1"/>
  <c r="I7" i="7" a="1"/>
  <c r="I7" i="7" s="1"/>
  <c r="H7" i="7" a="1"/>
  <c r="H7" i="7" s="1"/>
  <c r="I63" i="7" a="1"/>
  <c r="I63" i="7" s="1"/>
  <c r="H63" i="7" a="1"/>
  <c r="H63" i="7" s="1"/>
  <c r="H25" i="7" a="1"/>
  <c r="H25" i="7" s="1"/>
  <c r="I25" i="7" a="1"/>
  <c r="I25" i="7" s="1"/>
  <c r="H9" i="7" a="1"/>
  <c r="H9" i="7" s="1"/>
  <c r="I9" i="7" a="1"/>
  <c r="I9" i="7" s="1"/>
  <c r="H80" i="7" a="1"/>
  <c r="H80" i="7" s="1"/>
  <c r="I80" i="7" a="1"/>
  <c r="I80" i="7" s="1"/>
  <c r="I123" i="7" a="1"/>
  <c r="I123" i="7" s="1"/>
  <c r="H123" i="7" a="1"/>
  <c r="H123" i="7" s="1"/>
  <c r="I28" i="7" a="1"/>
  <c r="I28" i="7" s="1"/>
  <c r="H28" i="7" a="1"/>
  <c r="H28" i="7" s="1"/>
  <c r="H51" i="7" a="1"/>
  <c r="H51" i="7" s="1"/>
  <c r="I51" i="7" a="1"/>
  <c r="I51" i="7" s="1"/>
  <c r="I96" i="7" a="1"/>
  <c r="I96" i="7" s="1"/>
  <c r="H96" i="7" a="1"/>
  <c r="H96" i="7" s="1"/>
  <c r="H49" i="7" a="1"/>
  <c r="H49" i="7" s="1"/>
  <c r="I49" i="7" a="1"/>
  <c r="I49" i="7" s="1"/>
  <c r="H87" i="7" a="1"/>
  <c r="H87" i="7" s="1"/>
  <c r="I87" i="7" a="1"/>
  <c r="I87" i="7" s="1"/>
  <c r="I33" i="7" a="1"/>
  <c r="I33" i="7" s="1"/>
  <c r="H33" i="7" a="1"/>
  <c r="H33" i="7" s="1"/>
  <c r="I50" i="7" a="1"/>
  <c r="I50" i="7" s="1"/>
  <c r="H50" i="7" a="1"/>
  <c r="H50" i="7" s="1"/>
  <c r="H113" i="7" a="1"/>
  <c r="H113" i="7" s="1"/>
  <c r="I113" i="7" a="1"/>
  <c r="I113" i="7" s="1"/>
  <c r="H47" i="7" a="1"/>
  <c r="H47" i="7" s="1"/>
  <c r="I47" i="7" a="1"/>
  <c r="I47" i="7" s="1"/>
  <c r="I126" i="7" a="1"/>
  <c r="I126" i="7" s="1"/>
  <c r="H126" i="7" a="1"/>
  <c r="H126" i="7" s="1"/>
  <c r="H67" i="7" a="1"/>
  <c r="H67" i="7" s="1"/>
  <c r="I67" i="7" a="1"/>
  <c r="I67" i="7" s="1"/>
  <c r="H60" i="7" a="1"/>
  <c r="H60" i="7" s="1"/>
  <c r="I60" i="7" a="1"/>
  <c r="I60" i="7" s="1"/>
  <c r="I105" i="7" a="1"/>
  <c r="I105" i="7" s="1"/>
  <c r="H105" i="7" a="1"/>
  <c r="H105" i="7" s="1"/>
  <c r="I120" i="7" a="1"/>
  <c r="I120" i="7" s="1"/>
  <c r="H120" i="7" a="1"/>
  <c r="H120" i="7" s="1"/>
  <c r="H55" i="7" a="1"/>
  <c r="H55" i="7" s="1"/>
  <c r="I55" i="7" a="1"/>
  <c r="I55" i="7" s="1"/>
  <c r="H52" i="7" a="1"/>
  <c r="H52" i="7" s="1"/>
  <c r="I52" i="7" a="1"/>
  <c r="I52" i="7" s="1"/>
  <c r="I122" i="7" a="1"/>
  <c r="I122" i="7" s="1"/>
  <c r="H122" i="7" a="1"/>
  <c r="H122" i="7" s="1"/>
  <c r="H43" i="7" a="1"/>
  <c r="H43" i="7" s="1"/>
  <c r="I43" i="7" a="1"/>
  <c r="I43" i="7" s="1"/>
  <c r="I21" i="7" a="1"/>
  <c r="I21" i="7" s="1"/>
  <c r="H21" i="7" a="1"/>
  <c r="H21" i="7" s="1"/>
  <c r="H53" i="7" a="1"/>
  <c r="H53" i="7" s="1"/>
  <c r="I53" i="7" a="1"/>
  <c r="I53" i="7" s="1"/>
  <c r="I132" i="7" a="1"/>
  <c r="I132" i="7" s="1"/>
  <c r="H132" i="7" a="1"/>
  <c r="H132" i="7" s="1"/>
  <c r="I128" i="7" a="1"/>
  <c r="I128" i="7" s="1"/>
  <c r="H128" i="7" a="1"/>
  <c r="H128" i="7" s="1"/>
  <c r="H66" i="7" a="1"/>
  <c r="H66" i="7" s="1"/>
  <c r="I66" i="7" a="1"/>
  <c r="I66" i="7" s="1"/>
  <c r="I13" i="7" a="1"/>
  <c r="I13" i="7" s="1"/>
  <c r="H13" i="7" a="1"/>
  <c r="H13" i="7" s="1"/>
  <c r="I106" i="7" a="1"/>
  <c r="I106" i="7" s="1"/>
  <c r="H106" i="7" a="1"/>
  <c r="H106" i="7" s="1"/>
  <c r="H81" i="7" a="1"/>
  <c r="H81" i="7" s="1"/>
  <c r="I81" i="7" a="1"/>
  <c r="I81" i="7" s="1"/>
  <c r="I54" i="7" a="1"/>
  <c r="I54" i="7" s="1"/>
  <c r="H54" i="7" a="1"/>
  <c r="H54" i="7" s="1"/>
  <c r="H89" i="7" a="1"/>
  <c r="H89" i="7" s="1"/>
  <c r="I89" i="7" a="1"/>
  <c r="I89" i="7" s="1"/>
  <c r="I56" i="7" a="1"/>
  <c r="I56" i="7" s="1"/>
  <c r="H56" i="7" a="1"/>
  <c r="H56" i="7" s="1"/>
  <c r="H71" i="7" a="1"/>
  <c r="H71" i="7" s="1"/>
  <c r="I71" i="7" a="1"/>
  <c r="I71" i="7" s="1"/>
  <c r="I37" i="7" a="1"/>
  <c r="I37" i="7" s="1"/>
  <c r="H37" i="7" a="1"/>
  <c r="H37" i="7" s="1"/>
  <c r="I101" i="7" a="1"/>
  <c r="I101" i="7" s="1"/>
  <c r="H101" i="7" a="1"/>
  <c r="H101" i="7" s="1"/>
  <c r="H108" i="7" a="1"/>
  <c r="H108" i="7" s="1"/>
  <c r="I108" i="7" a="1"/>
  <c r="I108" i="7" s="1"/>
  <c r="I129" i="7" a="1"/>
  <c r="I129" i="7" s="1"/>
  <c r="H129" i="7" a="1"/>
  <c r="H129" i="7" s="1"/>
  <c r="H29" i="7" a="1"/>
  <c r="H29" i="7" s="1"/>
  <c r="I29" i="7" a="1"/>
  <c r="I29" i="7" s="1"/>
  <c r="H58" i="7" a="1"/>
  <c r="H58" i="7" s="1"/>
  <c r="I58" i="7" a="1"/>
  <c r="I58" i="7" s="1"/>
  <c r="I117" i="7" a="1"/>
  <c r="I117" i="7" s="1"/>
  <c r="H117" i="7" a="1"/>
  <c r="H117" i="7" s="1"/>
  <c r="I62" i="7" a="1"/>
  <c r="I62" i="7" s="1"/>
  <c r="H62" i="7" a="1"/>
  <c r="H62" i="7" s="1"/>
  <c r="H95" i="7" a="1"/>
  <c r="H95" i="7" s="1"/>
  <c r="I95" i="7" a="1"/>
  <c r="I95" i="7" s="1"/>
  <c r="H17" i="7" a="1"/>
  <c r="H17" i="7" s="1"/>
  <c r="I17" i="7" a="1"/>
  <c r="I17" i="7" s="1"/>
  <c r="I70" i="7" a="1"/>
  <c r="I70" i="7" s="1"/>
  <c r="H70" i="7" a="1"/>
  <c r="H70" i="7" s="1"/>
  <c r="H78" i="7" a="1"/>
  <c r="H78" i="7" s="1"/>
  <c r="I78" i="7" a="1"/>
  <c r="I78" i="7" s="1"/>
  <c r="H35" i="7" a="1"/>
  <c r="H35" i="7" s="1"/>
  <c r="I35" i="7" a="1"/>
  <c r="I35" i="7" s="1"/>
  <c r="H16" i="7" a="1"/>
  <c r="H16" i="7" s="1"/>
  <c r="I16" i="7" a="1"/>
  <c r="I16" i="7" s="1"/>
  <c r="A33" i="7" a="1"/>
  <c r="A33" i="7" s="1"/>
  <c r="A134" i="7" a="1"/>
  <c r="A134" i="7" s="1"/>
  <c r="A98" i="7" a="1"/>
  <c r="A98" i="7" s="1"/>
  <c r="A47" i="7" a="1"/>
  <c r="A47" i="7" s="1"/>
  <c r="A40" i="7" a="1"/>
  <c r="A40" i="7" s="1"/>
  <c r="A144" i="7" a="1"/>
  <c r="A144" i="7" s="1"/>
  <c r="A42" i="7" a="1"/>
  <c r="A42" i="7" s="1"/>
  <c r="A143" i="7" a="1"/>
  <c r="A143" i="7" s="1"/>
  <c r="A32" i="7" a="1"/>
  <c r="A32" i="7" s="1"/>
  <c r="A127" i="7" a="1"/>
  <c r="A127" i="7" s="1"/>
  <c r="A34" i="7" a="1"/>
  <c r="A34" i="7" s="1"/>
  <c r="A113" i="7" a="1"/>
  <c r="A113" i="7" s="1"/>
  <c r="A55" i="7" a="1"/>
  <c r="A55" i="7" s="1"/>
  <c r="A4" i="7" a="1"/>
  <c r="A4" i="7" s="1"/>
  <c r="A102" i="7" a="1"/>
  <c r="A102" i="7" s="1"/>
  <c r="A54" i="7" a="1"/>
  <c r="A54" i="7" s="1"/>
  <c r="A22" i="7" a="1"/>
  <c r="A22" i="7" s="1"/>
  <c r="A63" i="7" a="1"/>
  <c r="A63" i="7" s="1"/>
  <c r="A59" i="7" a="1"/>
  <c r="A59" i="7" s="1"/>
  <c r="A30" i="7" a="1"/>
  <c r="A30" i="7" s="1"/>
  <c r="A64" i="7" a="1"/>
  <c r="A64" i="7" s="1"/>
  <c r="A9" i="7" a="1"/>
  <c r="A9" i="7" s="1"/>
  <c r="A95" i="7" a="1"/>
  <c r="A95" i="7" s="1"/>
  <c r="A74" i="7" a="1"/>
  <c r="A74" i="7" s="1"/>
  <c r="A41" i="7" a="1"/>
  <c r="A41" i="7" s="1"/>
  <c r="A39" i="7" a="1"/>
  <c r="A39" i="7" s="1"/>
  <c r="A94" i="7" a="1"/>
  <c r="A94" i="7" s="1"/>
  <c r="A112" i="7" a="1"/>
  <c r="A112" i="7" s="1"/>
  <c r="A122" i="7" a="1"/>
  <c r="A122" i="7" s="1"/>
  <c r="A142" i="7" a="1"/>
  <c r="A142" i="7" s="1"/>
  <c r="A121" i="7" a="1"/>
  <c r="A121" i="7" s="1"/>
  <c r="A26" i="7" a="1"/>
  <c r="A26" i="7" s="1"/>
  <c r="A100" i="7" a="1"/>
  <c r="A100" i="7" s="1"/>
  <c r="A18" i="7" a="1"/>
  <c r="A18" i="7" s="1"/>
  <c r="A19" i="7" a="1"/>
  <c r="A19" i="7" s="1"/>
  <c r="A44" i="7" a="1"/>
  <c r="A44" i="7" s="1"/>
  <c r="A75" i="7" a="1"/>
  <c r="A75" i="7" s="1"/>
  <c r="A110" i="7" a="1"/>
  <c r="A110" i="7" s="1"/>
  <c r="A85" i="7" a="1"/>
  <c r="A85" i="7" s="1"/>
  <c r="A53" i="7" a="1"/>
  <c r="A53" i="7" s="1"/>
  <c r="A87" i="7" a="1"/>
  <c r="A87" i="7" s="1"/>
  <c r="A140" i="7" a="1"/>
  <c r="A140" i="7" s="1"/>
  <c r="A28" i="7" a="1"/>
  <c r="A28" i="7" s="1"/>
  <c r="A65" i="7" a="1"/>
  <c r="A65" i="7" s="1"/>
  <c r="A103" i="7" a="1"/>
  <c r="A103" i="7" s="1"/>
  <c r="A58" i="7" a="1"/>
  <c r="A58" i="7" s="1"/>
  <c r="A78" i="7" a="1"/>
  <c r="A78" i="7" s="1"/>
  <c r="A145" i="7" a="1"/>
  <c r="A145" i="7" s="1"/>
  <c r="A13" i="7" a="1"/>
  <c r="A13" i="7" s="1"/>
  <c r="A16" i="7" a="1"/>
  <c r="A16" i="7" s="1"/>
  <c r="A14" i="7" a="1"/>
  <c r="A14" i="7" s="1"/>
  <c r="A45" i="7" a="1"/>
  <c r="A45" i="7" s="1"/>
  <c r="A17" i="7" a="1"/>
  <c r="A17" i="7" s="1"/>
  <c r="A12" i="7" a="1"/>
  <c r="A12" i="7" s="1"/>
  <c r="A77" i="7" a="1"/>
  <c r="A77" i="7" s="1"/>
  <c r="A50" i="7" a="1"/>
  <c r="A50" i="7" s="1"/>
  <c r="A5" i="7" a="1"/>
  <c r="A5" i="7" s="1"/>
  <c r="A36" i="7" a="1"/>
  <c r="A36" i="7" s="1"/>
  <c r="A62" i="7" a="1"/>
  <c r="A62" i="7" s="1"/>
  <c r="A136" i="7" a="1"/>
  <c r="A136" i="7" s="1"/>
  <c r="A82" i="7" a="1"/>
  <c r="A82" i="7" s="1"/>
  <c r="A146" i="7" a="1"/>
  <c r="A146" i="7" s="1"/>
  <c r="A105" i="7" a="1"/>
  <c r="A105" i="7" s="1"/>
  <c r="A69" i="7" a="1"/>
  <c r="A69" i="7" s="1"/>
  <c r="A23" i="7" a="1"/>
  <c r="A23" i="7" s="1"/>
  <c r="A71" i="7" a="1"/>
  <c r="A71" i="7" s="1"/>
  <c r="A60" i="7" a="1"/>
  <c r="A60" i="7" s="1"/>
  <c r="A21" i="7" a="1"/>
  <c r="A21" i="7" s="1"/>
  <c r="A97" i="7" a="1"/>
  <c r="A97" i="7" s="1"/>
  <c r="A132" i="7" a="1"/>
  <c r="A132" i="7" s="1"/>
  <c r="A104" i="7" a="1"/>
  <c r="A104" i="7" s="1"/>
  <c r="A91" i="7" a="1"/>
  <c r="A91" i="7" s="1"/>
  <c r="A86" i="7" a="1"/>
  <c r="A86" i="7" s="1"/>
  <c r="A107" i="7" a="1"/>
  <c r="A107" i="7" s="1"/>
  <c r="A96" i="7" a="1"/>
  <c r="A96" i="7" s="1"/>
  <c r="A108" i="7" a="1"/>
  <c r="A108" i="7" s="1"/>
  <c r="A66" i="7" a="1"/>
  <c r="A66" i="7" s="1"/>
  <c r="A67" i="7" a="1"/>
  <c r="A67" i="7" s="1"/>
  <c r="A35" i="7" a="1"/>
  <c r="A35" i="7" s="1"/>
  <c r="A109" i="7" a="1"/>
  <c r="A109" i="7" s="1"/>
  <c r="A8" i="7" a="1"/>
  <c r="A8" i="7" s="1"/>
  <c r="A115" i="7" a="1"/>
  <c r="A115" i="7" s="1"/>
  <c r="A139" i="7" a="1"/>
  <c r="A139" i="7" s="1"/>
  <c r="A52" i="7" a="1"/>
  <c r="A52" i="7" s="1"/>
  <c r="A90" i="7" a="1"/>
  <c r="A90" i="7" s="1"/>
  <c r="A135" i="7" a="1"/>
  <c r="A135" i="7" s="1"/>
  <c r="A57" i="7" a="1"/>
  <c r="A57" i="7" s="1"/>
  <c r="A119" i="7" a="1"/>
  <c r="A119" i="7" s="1"/>
  <c r="A31" i="7" a="1"/>
  <c r="A31" i="7" s="1"/>
  <c r="A72" i="7" a="1"/>
  <c r="A72" i="7" s="1"/>
  <c r="A114" i="7" a="1"/>
  <c r="A114" i="7" s="1"/>
  <c r="A129" i="7" a="1"/>
  <c r="A129" i="7" s="1"/>
  <c r="A43" i="7" a="1"/>
  <c r="A43" i="7" s="1"/>
  <c r="A29" i="7" a="1"/>
  <c r="A29" i="7" s="1"/>
  <c r="A111" i="7" a="1"/>
  <c r="A111" i="7" s="1"/>
  <c r="A25" i="7" a="1"/>
  <c r="A25" i="7" s="1"/>
  <c r="A80" i="7" a="1"/>
  <c r="A80" i="7" s="1"/>
  <c r="A3" i="7" a="1"/>
  <c r="A3" i="7" s="1"/>
  <c r="A138" i="7" a="1"/>
  <c r="A138" i="7" s="1"/>
  <c r="A123" i="7" a="1"/>
  <c r="A123" i="7" s="1"/>
  <c r="A7" i="7" a="1"/>
  <c r="A7" i="7" s="1"/>
  <c r="A2" i="7" a="1"/>
  <c r="A2" i="7" s="1"/>
  <c r="A11" i="7" a="1"/>
  <c r="A11" i="7" s="1"/>
  <c r="A99" i="7" a="1"/>
  <c r="A99" i="7" s="1"/>
  <c r="A118" i="7" a="1"/>
  <c r="A118" i="7" s="1"/>
  <c r="A125" i="7" a="1"/>
  <c r="A125" i="7" s="1"/>
  <c r="A24" i="7" a="1"/>
  <c r="A24" i="7" s="1"/>
  <c r="A88" i="7" a="1"/>
  <c r="A88" i="7" s="1"/>
  <c r="A130" i="7" a="1"/>
  <c r="A130" i="7" s="1"/>
  <c r="A51" i="7" a="1"/>
  <c r="A51" i="7" s="1"/>
  <c r="A124" i="7" a="1"/>
  <c r="A124" i="7" s="1"/>
  <c r="A46" i="7" a="1"/>
  <c r="A46" i="7" s="1"/>
  <c r="A117" i="7" a="1"/>
  <c r="A117" i="7" s="1"/>
  <c r="A81" i="7" a="1"/>
  <c r="A81" i="7" s="1"/>
  <c r="A89" i="7" a="1"/>
  <c r="A89" i="7" s="1"/>
  <c r="A83" i="7" a="1"/>
  <c r="A83" i="7" s="1"/>
  <c r="A37" i="7" a="1"/>
  <c r="A37" i="7" s="1"/>
  <c r="A56" i="7" a="1"/>
  <c r="A56" i="7" s="1"/>
  <c r="A76" i="7" a="1"/>
  <c r="A76" i="7" s="1"/>
  <c r="A126" i="7" a="1"/>
  <c r="A126" i="7" s="1"/>
  <c r="A128" i="7" a="1"/>
  <c r="A128" i="7" s="1"/>
  <c r="A92" i="7" a="1"/>
  <c r="A92" i="7" s="1"/>
  <c r="A116" i="7" a="1"/>
  <c r="A116" i="7" s="1"/>
  <c r="A38" i="7" a="1"/>
  <c r="A38" i="7" s="1"/>
  <c r="A137" i="7" a="1"/>
  <c r="A137" i="7" s="1"/>
  <c r="A131" i="7" a="1"/>
  <c r="A131" i="7" s="1"/>
  <c r="A49" i="7" a="1"/>
  <c r="A49" i="7" s="1"/>
  <c r="A106" i="7" a="1"/>
  <c r="A106" i="7" s="1"/>
  <c r="A15" i="7" a="1"/>
  <c r="A15" i="7" s="1"/>
  <c r="A79" i="7" a="1"/>
  <c r="A79" i="7" s="1"/>
  <c r="A133" i="7" a="1"/>
  <c r="A133" i="7" s="1"/>
  <c r="A48" i="7" a="1"/>
  <c r="A48" i="7" s="1"/>
  <c r="A73" i="7" a="1"/>
  <c r="A73" i="7" s="1"/>
  <c r="A27" i="7" a="1"/>
  <c r="A27" i="7" s="1"/>
  <c r="A10" i="7" a="1"/>
  <c r="A10" i="7" s="1"/>
  <c r="A6" i="7" a="1"/>
  <c r="A6" i="7" s="1"/>
  <c r="A68" i="7" a="1"/>
  <c r="A68" i="7" s="1"/>
  <c r="A120" i="7" a="1"/>
  <c r="A120" i="7" s="1"/>
  <c r="A141" i="7" a="1"/>
  <c r="A141" i="7" s="1"/>
  <c r="A101" i="7" a="1"/>
  <c r="A101" i="7" s="1"/>
  <c r="A20" i="7" a="1"/>
  <c r="A20" i="7" s="1"/>
  <c r="A93" i="7" a="1"/>
  <c r="A93" i="7" s="1"/>
  <c r="A84" i="7" a="1"/>
  <c r="A84" i="7" s="1"/>
  <c r="A61" i="7" a="1"/>
  <c r="A61" i="7" s="1"/>
  <c r="A70" i="7" a="1"/>
  <c r="A70" i="7" s="1"/>
  <c r="I125" i="7" a="1"/>
  <c r="I125" i="7" s="1"/>
  <c r="H125" i="7" a="1"/>
  <c r="H125" i="7" s="1"/>
  <c r="H5" i="7" a="1"/>
  <c r="H5" i="7" s="1"/>
  <c r="I5" i="7" a="1"/>
  <c r="I5" i="7" s="1"/>
  <c r="I41" i="7" a="1"/>
  <c r="I41" i="7" s="1"/>
  <c r="H41" i="7" a="1"/>
  <c r="H41" i="7" s="1"/>
  <c r="H72" i="7" a="1"/>
  <c r="H72" i="7" s="1"/>
  <c r="I72" i="7" a="1"/>
  <c r="I72" i="7" s="1"/>
  <c r="H15" i="7" a="1"/>
  <c r="H15" i="7" s="1"/>
  <c r="I15" i="7" a="1"/>
  <c r="I15" i="7" s="1"/>
  <c r="I27" i="7" a="1"/>
  <c r="I27" i="7" s="1"/>
  <c r="H27" i="7" a="1"/>
  <c r="H27" i="7" s="1"/>
  <c r="I73" i="7" a="1"/>
  <c r="I73" i="7" s="1"/>
  <c r="H73" i="7" a="1"/>
  <c r="H73" i="7" s="1"/>
  <c r="H11" i="7" a="1"/>
  <c r="H11" i="7" s="1"/>
  <c r="I11" i="7" a="1"/>
  <c r="I11" i="7" s="1"/>
  <c r="H130" i="7" a="1"/>
  <c r="H130" i="7" s="1"/>
  <c r="I130" i="7" a="1"/>
  <c r="I130" i="7" s="1"/>
  <c r="H79" i="7" a="1"/>
  <c r="H79" i="7" s="1"/>
  <c r="I79" i="7" a="1"/>
  <c r="I79" i="7" s="1"/>
  <c r="I32" i="7" a="1"/>
  <c r="I32" i="7" s="1"/>
  <c r="H32" i="7" a="1"/>
  <c r="H32" i="7" s="1"/>
  <c r="H98" i="7" a="1"/>
  <c r="H98" i="7" s="1"/>
  <c r="I98" i="7" a="1"/>
  <c r="I98" i="7" s="1"/>
  <c r="H31" i="7" a="1"/>
  <c r="H31" i="7" s="1"/>
  <c r="I31" i="7" a="1"/>
  <c r="I31" i="7" s="1"/>
  <c r="I90" i="7" a="1"/>
  <c r="I90" i="7" s="1"/>
  <c r="H90" i="7" a="1"/>
  <c r="H90" i="7" s="1"/>
  <c r="I36" i="7" a="1"/>
  <c r="I36" i="7" s="1"/>
  <c r="H36" i="7" a="1"/>
  <c r="H36" i="7" s="1"/>
  <c r="I85" i="7" a="1"/>
  <c r="I85" i="7" s="1"/>
  <c r="H85" i="7" a="1"/>
  <c r="H85" i="7" s="1"/>
  <c r="H22" i="7" a="1"/>
  <c r="H22" i="7" s="1"/>
  <c r="I22" i="7" a="1"/>
  <c r="I22" i="7" s="1"/>
  <c r="H107" i="7" a="1"/>
  <c r="H107" i="7" s="1"/>
  <c r="I107" i="7" a="1"/>
  <c r="I107" i="7" s="1"/>
  <c r="I46" i="7" a="1"/>
  <c r="I46" i="7" s="1"/>
  <c r="H46" i="7" a="1"/>
  <c r="H46" i="7" s="1"/>
  <c r="H18" i="7" a="1"/>
  <c r="H18" i="7" s="1"/>
  <c r="I18" i="7" a="1"/>
  <c r="I18" i="7" s="1"/>
  <c r="H134" i="7" a="1"/>
  <c r="H134" i="7" s="1"/>
  <c r="I134" i="7" a="1"/>
  <c r="I134" i="7" s="1"/>
  <c r="H77" i="7" a="1"/>
  <c r="H77" i="7" s="1"/>
  <c r="I77" i="7" a="1"/>
  <c r="I77" i="7" s="1"/>
  <c r="I112" i="7" a="1"/>
  <c r="I112" i="7" s="1"/>
  <c r="H112" i="7" a="1"/>
  <c r="H112" i="7" s="1"/>
  <c r="H102" i="7" a="1"/>
  <c r="H102" i="7" s="1"/>
  <c r="I102" i="7" a="1"/>
  <c r="I102" i="7" s="1"/>
  <c r="I61" i="7" a="1"/>
  <c r="I61" i="7" s="1"/>
  <c r="H61" i="7" a="1"/>
  <c r="H61" i="7" s="1"/>
  <c r="I91" i="7" a="1"/>
  <c r="I91" i="7" s="1"/>
  <c r="H91" i="7" a="1"/>
  <c r="H91" i="7" s="1"/>
  <c r="I30" i="7" a="1"/>
  <c r="I30" i="7" s="1"/>
  <c r="H30" i="7" a="1"/>
  <c r="H30" i="7" s="1"/>
  <c r="H20" i="7" a="1"/>
  <c r="H20" i="7" s="1"/>
  <c r="I20" i="7" a="1"/>
  <c r="I20" i="7" s="1"/>
  <c r="I88" i="7" a="1"/>
  <c r="I88" i="7" s="1"/>
  <c r="H88" i="7" a="1"/>
  <c r="H88" i="7" s="1"/>
  <c r="I19" i="7" a="1"/>
  <c r="I19" i="7" s="1"/>
  <c r="H19" i="7" a="1"/>
  <c r="H19" i="7" s="1"/>
  <c r="H69" i="7" a="1"/>
  <c r="H69" i="7" s="1"/>
  <c r="I69" i="7" a="1"/>
  <c r="I69" i="7" s="1"/>
  <c r="I6" i="7" a="1"/>
  <c r="I6" i="7" s="1"/>
  <c r="H6" i="7" a="1"/>
  <c r="H6" i="7" s="1"/>
  <c r="I121" i="7" a="1"/>
  <c r="I121" i="7" s="1"/>
  <c r="H121" i="7" a="1"/>
  <c r="H121" i="7" s="1"/>
  <c r="I94" i="7" a="1"/>
  <c r="I94" i="7" s="1"/>
  <c r="H94" i="7" a="1"/>
  <c r="H94" i="7" s="1"/>
  <c r="H92" i="7" a="1"/>
  <c r="H92" i="7" s="1"/>
  <c r="I92" i="7" a="1"/>
  <c r="I92" i="7" s="1"/>
  <c r="H45" i="7" a="1"/>
  <c r="H45" i="7" s="1"/>
  <c r="I45" i="7" a="1"/>
  <c r="I45" i="7" s="1"/>
  <c r="I42" i="7" a="1"/>
  <c r="I42" i="7" s="1"/>
  <c r="H42" i="7" a="1"/>
  <c r="H42" i="7" s="1"/>
  <c r="H100" i="7" a="1"/>
  <c r="H100" i="7" s="1"/>
  <c r="I100" i="7" a="1"/>
  <c r="I100" i="7" s="1"/>
  <c r="H12" i="7" a="1"/>
  <c r="H12" i="7" s="1"/>
  <c r="I12" i="7" a="1"/>
  <c r="I12" i="7" s="1"/>
  <c r="I59" i="7" a="1"/>
  <c r="I59" i="7" s="1"/>
  <c r="H59" i="7" a="1"/>
  <c r="H59" i="7" s="1"/>
  <c r="H39" i="7" a="1"/>
  <c r="H39" i="7" s="1"/>
  <c r="I39" i="7" a="1"/>
  <c r="I39" i="7" s="1"/>
  <c r="H118" i="7" a="1"/>
  <c r="H118" i="7" s="1"/>
  <c r="I118" i="7" a="1"/>
  <c r="I118" i="7" s="1"/>
  <c r="H82" i="7" a="1"/>
  <c r="H82" i="7" s="1"/>
  <c r="I82" i="7" a="1"/>
  <c r="I82" i="7" s="1"/>
  <c r="I38" i="7" a="1"/>
  <c r="I38" i="7" s="1"/>
  <c r="H38" i="7" a="1"/>
  <c r="H38" i="7" s="1"/>
  <c r="I57" i="7" a="1"/>
  <c r="I57" i="7" s="1"/>
  <c r="H57" i="7" a="1"/>
  <c r="H57" i="7" s="1"/>
  <c r="I135" i="7" a="1"/>
  <c r="I135" i="7" s="1"/>
  <c r="H135" i="7" a="1"/>
  <c r="H135" i="7" s="1"/>
  <c r="I74" i="7" a="1"/>
  <c r="I74" i="7" s="1"/>
  <c r="H74" i="7" a="1"/>
  <c r="H74" i="7" s="1"/>
  <c r="H131" i="7" a="1"/>
  <c r="H131" i="7" s="1"/>
  <c r="I131" i="7" a="1"/>
  <c r="I131" i="7" s="1"/>
  <c r="H4" i="7" a="1"/>
  <c r="H4" i="7" s="1"/>
  <c r="I4" i="7" a="1"/>
  <c r="I4" i="7" s="1"/>
  <c r="H97" i="7" a="1"/>
  <c r="H97" i="7" s="1"/>
  <c r="I97" i="7" a="1"/>
  <c r="I97" i="7" s="1"/>
  <c r="I86" i="7" a="1"/>
  <c r="I86" i="7" s="1"/>
  <c r="H86" i="7" a="1"/>
  <c r="H86" i="7" s="1"/>
  <c r="I103" i="7" a="1"/>
  <c r="I103" i="7" s="1"/>
  <c r="H103" i="7" a="1"/>
  <c r="H103" i="7" s="1"/>
  <c r="H84" i="7" a="1"/>
  <c r="H84" i="7" s="1"/>
  <c r="I84" i="7" a="1"/>
  <c r="I84" i="7" s="1"/>
  <c r="I40" i="7" a="1"/>
  <c r="I40" i="7" s="1"/>
  <c r="H40" i="7" a="1"/>
  <c r="H40" i="7" s="1"/>
  <c r="H10" i="7" a="1"/>
  <c r="H10" i="7" s="1"/>
  <c r="I10" i="7" a="1"/>
  <c r="I10" i="7" s="1"/>
  <c r="I24" i="7" a="1"/>
  <c r="I24" i="7" s="1"/>
  <c r="H24" i="7" a="1"/>
  <c r="H24" i="7" s="1"/>
  <c r="I76" i="7" a="1"/>
  <c r="I76" i="7" s="1"/>
  <c r="H76" i="7" a="1"/>
  <c r="H76" i="7" s="1"/>
  <c r="H119" i="7" a="1"/>
  <c r="H119" i="7" s="1"/>
  <c r="I119" i="7" a="1"/>
  <c r="I119" i="7" s="1"/>
  <c r="H109" i="7" a="1"/>
  <c r="H109" i="7" s="1"/>
  <c r="I109" i="7" a="1"/>
  <c r="I109" i="7" s="1"/>
  <c r="I65" i="7" a="1"/>
  <c r="I65" i="7" s="1"/>
  <c r="H65" i="7" a="1"/>
  <c r="H65" i="7" s="1"/>
  <c r="H44" i="7" a="1"/>
  <c r="H44" i="7" s="1"/>
  <c r="I44" i="7" a="1"/>
  <c r="I44" i="7" s="1"/>
  <c r="H104" i="7" a="1"/>
  <c r="H104" i="7" s="1"/>
  <c r="I104" i="7" a="1"/>
  <c r="I104" i="7" s="1"/>
  <c r="H68" i="7" a="1"/>
  <c r="H68" i="7" s="1"/>
  <c r="I68" i="7" a="1"/>
  <c r="I68" i="7" s="1"/>
  <c r="I2" i="7" a="1"/>
  <c r="I2" i="7" s="1"/>
  <c r="H2" i="7" a="1"/>
  <c r="H2" i="7" s="1"/>
  <c r="I111" i="7" a="1"/>
  <c r="I111" i="7" s="1"/>
  <c r="H111" i="7" a="1"/>
  <c r="H111" i="7" s="1"/>
  <c r="H3" i="7" a="1"/>
  <c r="H3" i="7" s="1"/>
  <c r="I3" i="7" a="1"/>
  <c r="I3" i="7" s="1"/>
  <c r="I136" i="7" a="1"/>
  <c r="I136" i="7" s="1"/>
  <c r="H136" i="7" a="1"/>
  <c r="H136" i="7" s="1"/>
  <c r="I23" i="7" a="1"/>
  <c r="I23" i="7" s="1"/>
  <c r="H23" i="7" a="1"/>
  <c r="H23" i="7" s="1"/>
  <c r="H116" i="7" a="1"/>
  <c r="H116" i="7" s="1"/>
  <c r="I116" i="7" a="1"/>
  <c r="I116" i="7" s="1"/>
  <c r="H83" i="7" a="1"/>
  <c r="H83" i="7" s="1"/>
  <c r="I83" i="7" a="1"/>
  <c r="I83" i="7" s="1"/>
  <c r="I75" i="7" a="1"/>
  <c r="I75" i="7" s="1"/>
  <c r="H75" i="7" a="1"/>
  <c r="H75" i="7" s="1"/>
  <c r="H114" i="7" a="1"/>
  <c r="H114" i="7" s="1"/>
  <c r="I114" i="7" a="1"/>
  <c r="I114" i="7" s="1"/>
  <c r="H133" i="7" a="1"/>
  <c r="H133" i="7" s="1"/>
  <c r="I133" i="7" a="1"/>
  <c r="I133" i="7" s="1"/>
  <c r="H64" i="7" a="1"/>
  <c r="H64" i="7" s="1"/>
  <c r="I64" i="7" a="1"/>
  <c r="I64" i="7" s="1"/>
  <c r="I14" i="7" a="1"/>
  <c r="I14" i="7" s="1"/>
  <c r="H14" i="7" a="1"/>
  <c r="H14" i="7" s="1"/>
  <c r="I127" i="7" a="1"/>
  <c r="I127" i="7" s="1"/>
  <c r="H127" i="7" a="1"/>
  <c r="H127" i="7" s="1"/>
  <c r="I110" i="7" a="1"/>
  <c r="I110" i="7" s="1"/>
  <c r="H110" i="7" a="1"/>
  <c r="H110" i="7" s="1"/>
  <c r="H99" i="7" a="1"/>
  <c r="H99" i="7" s="1"/>
  <c r="I99" i="7" a="1"/>
  <c r="I99" i="7" s="1"/>
  <c r="H93" i="7" a="1"/>
  <c r="H93" i="7" s="1"/>
  <c r="I93" i="7" a="1"/>
  <c r="I93" i="7" s="1"/>
  <c r="I115" i="7" a="1"/>
  <c r="I115" i="7" s="1"/>
  <c r="H115" i="7" a="1"/>
  <c r="H115" i="7" s="1"/>
  <c r="I34" i="7" a="1"/>
  <c r="I34" i="7" s="1"/>
  <c r="H34" i="7" a="1"/>
  <c r="H34" i="7" s="1"/>
  <c r="H8" i="7" a="1"/>
  <c r="H8" i="7" s="1"/>
  <c r="I8" i="7" a="1"/>
  <c r="I8" i="7" s="1"/>
  <c r="I48" i="7" a="1"/>
  <c r="I48" i="7" s="1"/>
  <c r="H48" i="7" a="1"/>
  <c r="H48" i="7" s="1"/>
  <c r="I26" i="7" a="1"/>
  <c r="I26" i="7" s="1"/>
  <c r="H26" i="7" a="1"/>
  <c r="H26" i="7" s="1"/>
  <c r="C120" i="7" l="1" a="1"/>
  <c r="C120" i="7" s="1"/>
  <c r="B120" i="7" a="1"/>
  <c r="B120" i="7" s="1"/>
  <c r="B81" i="7" a="1"/>
  <c r="B81" i="7" s="1"/>
  <c r="C81" i="7" a="1"/>
  <c r="C81" i="7" s="1"/>
  <c r="B2" i="7" a="1"/>
  <c r="B2" i="7" s="1"/>
  <c r="C2" i="7" a="1"/>
  <c r="C2" i="7" s="1"/>
  <c r="B71" i="7" a="1"/>
  <c r="B71" i="7" s="1"/>
  <c r="C71" i="7" a="1"/>
  <c r="C71" i="7" s="1"/>
  <c r="B140" i="7" a="1"/>
  <c r="B140" i="7" s="1"/>
  <c r="C140" i="7" a="1"/>
  <c r="C140" i="7" s="1"/>
  <c r="C142" i="7" a="1"/>
  <c r="C142" i="7" s="1"/>
  <c r="B142" i="7" a="1"/>
  <c r="B142" i="7" s="1"/>
  <c r="C144" i="7" a="1"/>
  <c r="C144" i="7" s="1"/>
  <c r="B144" i="7" a="1"/>
  <c r="B144" i="7" s="1"/>
  <c r="C92" i="7" a="1"/>
  <c r="C92" i="7" s="1"/>
  <c r="B92" i="7" a="1"/>
  <c r="B92" i="7" s="1"/>
  <c r="C135" i="7" a="1"/>
  <c r="C135" i="7" s="1"/>
  <c r="B135" i="7" a="1"/>
  <c r="B135" i="7" s="1"/>
  <c r="C16" i="7" a="1"/>
  <c r="C16" i="7" s="1"/>
  <c r="B16" i="7" a="1"/>
  <c r="B16" i="7" s="1"/>
  <c r="B110" i="7" a="1"/>
  <c r="B110" i="7" s="1"/>
  <c r="C110" i="7" a="1"/>
  <c r="C110" i="7" s="1"/>
  <c r="C134" i="7" a="1"/>
  <c r="C134" i="7" s="1"/>
  <c r="B134" i="7" a="1"/>
  <c r="B134" i="7" s="1"/>
  <c r="C61" i="7" a="1"/>
  <c r="C61" i="7" s="1"/>
  <c r="B61" i="7" a="1"/>
  <c r="B61" i="7" s="1"/>
  <c r="C48" i="7" a="1"/>
  <c r="C48" i="7" s="1"/>
  <c r="B48" i="7" a="1"/>
  <c r="B48" i="7" s="1"/>
  <c r="B126" i="7" a="1"/>
  <c r="B126" i="7" s="1"/>
  <c r="C126" i="7" a="1"/>
  <c r="C126" i="7" s="1"/>
  <c r="B88" i="7" a="1"/>
  <c r="B88" i="7" s="1"/>
  <c r="C88" i="7" a="1"/>
  <c r="C88" i="7" s="1"/>
  <c r="B25" i="7" a="1"/>
  <c r="B25" i="7" s="1"/>
  <c r="C25" i="7" a="1"/>
  <c r="C25" i="7" s="1"/>
  <c r="B52" i="7" a="1"/>
  <c r="B52" i="7" s="1"/>
  <c r="C52" i="7" a="1"/>
  <c r="C52" i="7" s="1"/>
  <c r="B91" i="7" a="1"/>
  <c r="B91" i="7" s="1"/>
  <c r="C91" i="7" a="1"/>
  <c r="C91" i="7" s="1"/>
  <c r="B136" i="7" a="1"/>
  <c r="B136" i="7" s="1"/>
  <c r="C136" i="7" a="1"/>
  <c r="C136" i="7" s="1"/>
  <c r="B145" i="7" a="1"/>
  <c r="B145" i="7" s="1"/>
  <c r="C145" i="7" a="1"/>
  <c r="C145" i="7" s="1"/>
  <c r="C44" i="7" a="1"/>
  <c r="C44" i="7" s="1"/>
  <c r="B44" i="7" a="1"/>
  <c r="B44" i="7" s="1"/>
  <c r="B74" i="7" a="1"/>
  <c r="B74" i="7" s="1"/>
  <c r="C74" i="7" a="1"/>
  <c r="C74" i="7" s="1"/>
  <c r="C113" i="7" a="1"/>
  <c r="C113" i="7" s="1"/>
  <c r="B113" i="7" a="1"/>
  <c r="B113" i="7" s="1"/>
  <c r="B131" i="7" a="1"/>
  <c r="B131" i="7" s="1"/>
  <c r="C131" i="7" a="1"/>
  <c r="C131" i="7" s="1"/>
  <c r="C72" i="7" a="1"/>
  <c r="C72" i="7" s="1"/>
  <c r="B72" i="7" a="1"/>
  <c r="B72" i="7" s="1"/>
  <c r="C67" i="7" a="1"/>
  <c r="C67" i="7" s="1"/>
  <c r="B67" i="7" a="1"/>
  <c r="B67" i="7" s="1"/>
  <c r="C12" i="7" a="1"/>
  <c r="C12" i="7" s="1"/>
  <c r="B12" i="7" a="1"/>
  <c r="B12" i="7" s="1"/>
  <c r="B63" i="7" a="1"/>
  <c r="B63" i="7" s="1"/>
  <c r="C63" i="7" a="1"/>
  <c r="C63" i="7" s="1"/>
  <c r="C27" i="7" a="1"/>
  <c r="C27" i="7" s="1"/>
  <c r="B27" i="7" a="1"/>
  <c r="B27" i="7" s="1"/>
  <c r="C51" i="7" a="1"/>
  <c r="C51" i="7" s="1"/>
  <c r="B51" i="7" a="1"/>
  <c r="B51" i="7" s="1"/>
  <c r="B3" i="7" a="1"/>
  <c r="B3" i="7" s="1"/>
  <c r="C3" i="7" a="1"/>
  <c r="C3" i="7" s="1"/>
  <c r="C107" i="7" a="1"/>
  <c r="C107" i="7" s="1"/>
  <c r="B107" i="7" a="1"/>
  <c r="B107" i="7" s="1"/>
  <c r="B146" i="7" a="1"/>
  <c r="B146" i="7" s="1"/>
  <c r="C146" i="7" a="1"/>
  <c r="C146" i="7" s="1"/>
  <c r="B39" i="7" a="1"/>
  <c r="B39" i="7" s="1"/>
  <c r="C39" i="7" a="1"/>
  <c r="C39" i="7" s="1"/>
  <c r="C4" i="7" a="1"/>
  <c r="C4" i="7" s="1"/>
  <c r="B4" i="7" a="1"/>
  <c r="B4" i="7" s="1"/>
  <c r="C84" i="7" a="1"/>
  <c r="C84" i="7" s="1"/>
  <c r="B84" i="7" a="1"/>
  <c r="B84" i="7" s="1"/>
  <c r="B133" i="7" a="1"/>
  <c r="B133" i="7" s="1"/>
  <c r="C133" i="7" a="1"/>
  <c r="C133" i="7" s="1"/>
  <c r="B76" i="7" a="1"/>
  <c r="B76" i="7" s="1"/>
  <c r="C76" i="7" a="1"/>
  <c r="C76" i="7" s="1"/>
  <c r="B24" i="7" a="1"/>
  <c r="B24" i="7" s="1"/>
  <c r="C24" i="7" a="1"/>
  <c r="C24" i="7" s="1"/>
  <c r="B111" i="7" a="1"/>
  <c r="B111" i="7" s="1"/>
  <c r="C111" i="7" a="1"/>
  <c r="C111" i="7" s="1"/>
  <c r="B139" i="7" a="1"/>
  <c r="B139" i="7" s="1"/>
  <c r="C139" i="7" a="1"/>
  <c r="C139" i="7" s="1"/>
  <c r="B104" i="7" a="1"/>
  <c r="B104" i="7" s="1"/>
  <c r="C104" i="7" a="1"/>
  <c r="C104" i="7" s="1"/>
  <c r="B62" i="7" a="1"/>
  <c r="B62" i="7" s="1"/>
  <c r="C62" i="7" a="1"/>
  <c r="C62" i="7" s="1"/>
  <c r="B78" i="7" a="1"/>
  <c r="B78" i="7" s="1"/>
  <c r="C78" i="7" a="1"/>
  <c r="C78" i="7" s="1"/>
  <c r="B19" i="7" a="1"/>
  <c r="B19" i="7" s="1"/>
  <c r="C19" i="7" a="1"/>
  <c r="C19" i="7" s="1"/>
  <c r="B95" i="7" a="1"/>
  <c r="B95" i="7" s="1"/>
  <c r="C95" i="7" a="1"/>
  <c r="C95" i="7" s="1"/>
  <c r="B34" i="7" a="1"/>
  <c r="B34" i="7" s="1"/>
  <c r="C34" i="7" a="1"/>
  <c r="C34" i="7" s="1"/>
  <c r="B6" i="7" a="1"/>
  <c r="B6" i="7" s="1"/>
  <c r="C6" i="7" a="1"/>
  <c r="C6" i="7" s="1"/>
  <c r="B46" i="7" a="1"/>
  <c r="B46" i="7" s="1"/>
  <c r="C46" i="7" a="1"/>
  <c r="C46" i="7" s="1"/>
  <c r="C123" i="7" a="1"/>
  <c r="C123" i="7" s="1"/>
  <c r="B123" i="7" a="1"/>
  <c r="B123" i="7" s="1"/>
  <c r="B69" i="7" a="1"/>
  <c r="B69" i="7" s="1"/>
  <c r="C69" i="7" a="1"/>
  <c r="C69" i="7" s="1"/>
  <c r="C53" i="7" a="1"/>
  <c r="C53" i="7" s="1"/>
  <c r="B53" i="7" a="1"/>
  <c r="B53" i="7" s="1"/>
  <c r="C54" i="7" a="1"/>
  <c r="C54" i="7" s="1"/>
  <c r="B54" i="7" a="1"/>
  <c r="B54" i="7" s="1"/>
  <c r="C70" i="7" a="1"/>
  <c r="C70" i="7" s="1"/>
  <c r="B70" i="7" a="1"/>
  <c r="B70" i="7" s="1"/>
  <c r="C130" i="7" a="1"/>
  <c r="C130" i="7" s="1"/>
  <c r="B130" i="7" a="1"/>
  <c r="B130" i="7" s="1"/>
  <c r="B13" i="7" a="1"/>
  <c r="B13" i="7" s="1"/>
  <c r="C13" i="7" a="1"/>
  <c r="C13" i="7" s="1"/>
  <c r="B75" i="7" a="1"/>
  <c r="B75" i="7" s="1"/>
  <c r="C75" i="7" a="1"/>
  <c r="C75" i="7" s="1"/>
  <c r="B33" i="7" a="1"/>
  <c r="B33" i="7" s="1"/>
  <c r="C33" i="7" a="1"/>
  <c r="C33" i="7" s="1"/>
  <c r="B93" i="7" a="1"/>
  <c r="B93" i="7" s="1"/>
  <c r="C93" i="7" a="1"/>
  <c r="C93" i="7" s="1"/>
  <c r="B79" i="7" a="1"/>
  <c r="B79" i="7" s="1"/>
  <c r="C79" i="7" a="1"/>
  <c r="C79" i="7" s="1"/>
  <c r="B56" i="7" a="1"/>
  <c r="B56" i="7" s="1"/>
  <c r="C56" i="7" a="1"/>
  <c r="C56" i="7" s="1"/>
  <c r="C125" i="7" a="1"/>
  <c r="C125" i="7" s="1"/>
  <c r="B125" i="7" a="1"/>
  <c r="B125" i="7" s="1"/>
  <c r="B29" i="7" a="1"/>
  <c r="B29" i="7" s="1"/>
  <c r="C29" i="7" a="1"/>
  <c r="C29" i="7" s="1"/>
  <c r="B115" i="7" a="1"/>
  <c r="B115" i="7" s="1"/>
  <c r="C115" i="7" a="1"/>
  <c r="C115" i="7" s="1"/>
  <c r="B132" i="7" a="1"/>
  <c r="B132" i="7" s="1"/>
  <c r="C132" i="7" a="1"/>
  <c r="C132" i="7" s="1"/>
  <c r="C36" i="7" a="1"/>
  <c r="C36" i="7" s="1"/>
  <c r="B36" i="7" a="1"/>
  <c r="B36" i="7" s="1"/>
  <c r="C58" i="7" a="1"/>
  <c r="C58" i="7" s="1"/>
  <c r="B58" i="7" a="1"/>
  <c r="B58" i="7" s="1"/>
  <c r="C18" i="7" a="1"/>
  <c r="C18" i="7" s="1"/>
  <c r="B18" i="7" a="1"/>
  <c r="B18" i="7" s="1"/>
  <c r="C9" i="7" a="1"/>
  <c r="C9" i="7" s="1"/>
  <c r="B9" i="7" a="1"/>
  <c r="B9" i="7" s="1"/>
  <c r="C127" i="7" a="1"/>
  <c r="C127" i="7" s="1"/>
  <c r="B127" i="7" a="1"/>
  <c r="B127" i="7" s="1"/>
  <c r="C38" i="7" a="1"/>
  <c r="C38" i="7" s="1"/>
  <c r="B38" i="7" a="1"/>
  <c r="B38" i="7" s="1"/>
  <c r="B119" i="7" a="1"/>
  <c r="B119" i="7" s="1"/>
  <c r="C119" i="7" a="1"/>
  <c r="C119" i="7" s="1"/>
  <c r="B108" i="7" a="1"/>
  <c r="B108" i="7" s="1"/>
  <c r="C108" i="7" a="1"/>
  <c r="C108" i="7" s="1"/>
  <c r="C45" i="7" a="1"/>
  <c r="C45" i="7" s="1"/>
  <c r="B45" i="7" a="1"/>
  <c r="B45" i="7" s="1"/>
  <c r="C112" i="7" a="1"/>
  <c r="C112" i="7" s="1"/>
  <c r="B112" i="7" a="1"/>
  <c r="B112" i="7" s="1"/>
  <c r="C47" i="7" a="1"/>
  <c r="C47" i="7" s="1"/>
  <c r="B47" i="7" a="1"/>
  <c r="B47" i="7" s="1"/>
  <c r="C80" i="7" a="1"/>
  <c r="C80" i="7" s="1"/>
  <c r="B80" i="7" a="1"/>
  <c r="B80" i="7" s="1"/>
  <c r="C82" i="7" a="1"/>
  <c r="C82" i="7" s="1"/>
  <c r="B82" i="7" a="1"/>
  <c r="B82" i="7" s="1"/>
  <c r="C41" i="7" a="1"/>
  <c r="C41" i="7" s="1"/>
  <c r="B41" i="7" a="1"/>
  <c r="B41" i="7" s="1"/>
  <c r="C55" i="7" a="1"/>
  <c r="C55" i="7" s="1"/>
  <c r="B55" i="7" a="1"/>
  <c r="B55" i="7" s="1"/>
  <c r="C20" i="7" a="1"/>
  <c r="C20" i="7" s="1"/>
  <c r="B20" i="7" a="1"/>
  <c r="B20" i="7" s="1"/>
  <c r="B15" i="7" a="1"/>
  <c r="B15" i="7" s="1"/>
  <c r="C15" i="7" a="1"/>
  <c r="C15" i="7" s="1"/>
  <c r="B37" i="7" a="1"/>
  <c r="B37" i="7" s="1"/>
  <c r="C37" i="7" a="1"/>
  <c r="C37" i="7" s="1"/>
  <c r="B118" i="7" a="1"/>
  <c r="B118" i="7" s="1"/>
  <c r="C118" i="7" a="1"/>
  <c r="C118" i="7" s="1"/>
  <c r="B43" i="7" a="1"/>
  <c r="B43" i="7" s="1"/>
  <c r="C43" i="7" a="1"/>
  <c r="C43" i="7" s="1"/>
  <c r="C8" i="7" a="1"/>
  <c r="C8" i="7" s="1"/>
  <c r="B8" i="7" a="1"/>
  <c r="B8" i="7" s="1"/>
  <c r="C97" i="7" a="1"/>
  <c r="C97" i="7" s="1"/>
  <c r="B97" i="7" a="1"/>
  <c r="B97" i="7" s="1"/>
  <c r="C5" i="7" a="1"/>
  <c r="C5" i="7" s="1"/>
  <c r="B5" i="7" a="1"/>
  <c r="B5" i="7" s="1"/>
  <c r="C103" i="7" a="1"/>
  <c r="C103" i="7" s="1"/>
  <c r="B103" i="7" a="1"/>
  <c r="B103" i="7" s="1"/>
  <c r="C100" i="7" a="1"/>
  <c r="C100" i="7" s="1"/>
  <c r="B100" i="7" a="1"/>
  <c r="B100" i="7" s="1"/>
  <c r="C64" i="7" a="1"/>
  <c r="C64" i="7" s="1"/>
  <c r="B64" i="7" a="1"/>
  <c r="B64" i="7" s="1"/>
  <c r="C32" i="7" a="1"/>
  <c r="C32" i="7" s="1"/>
  <c r="B32" i="7" a="1"/>
  <c r="B32" i="7" s="1"/>
  <c r="B137" i="7" a="1"/>
  <c r="B137" i="7" s="1"/>
  <c r="C137" i="7" a="1"/>
  <c r="C137" i="7" s="1"/>
  <c r="C7" i="7" a="1"/>
  <c r="C7" i="7" s="1"/>
  <c r="B7" i="7" a="1"/>
  <c r="B7" i="7" s="1"/>
  <c r="B66" i="7" a="1"/>
  <c r="B66" i="7" s="1"/>
  <c r="C66" i="7" a="1"/>
  <c r="C66" i="7" s="1"/>
  <c r="B23" i="7" a="1"/>
  <c r="B23" i="7" s="1"/>
  <c r="C23" i="7" a="1"/>
  <c r="C23" i="7" s="1"/>
  <c r="C87" i="7" a="1"/>
  <c r="C87" i="7" s="1"/>
  <c r="B87" i="7" a="1"/>
  <c r="B87" i="7" s="1"/>
  <c r="B22" i="7" a="1"/>
  <c r="B22" i="7" s="1"/>
  <c r="C22" i="7" a="1"/>
  <c r="C22" i="7" s="1"/>
  <c r="B10" i="7" a="1"/>
  <c r="B10" i="7" s="1"/>
  <c r="C10" i="7" a="1"/>
  <c r="C10" i="7" s="1"/>
  <c r="B138" i="7" a="1"/>
  <c r="B138" i="7" s="1"/>
  <c r="C138" i="7" a="1"/>
  <c r="C138" i="7" s="1"/>
  <c r="B57" i="7" a="1"/>
  <c r="B57" i="7" s="1"/>
  <c r="C57" i="7" a="1"/>
  <c r="C57" i="7" s="1"/>
  <c r="C105" i="7" a="1"/>
  <c r="C105" i="7" s="1"/>
  <c r="B105" i="7" a="1"/>
  <c r="B105" i="7" s="1"/>
  <c r="B85" i="7" a="1"/>
  <c r="B85" i="7" s="1"/>
  <c r="C85" i="7" a="1"/>
  <c r="C85" i="7" s="1"/>
  <c r="B98" i="7" a="1"/>
  <c r="B98" i="7" s="1"/>
  <c r="C98" i="7" a="1"/>
  <c r="C98" i="7" s="1"/>
  <c r="C128" i="7" a="1"/>
  <c r="C128" i="7" s="1"/>
  <c r="B128" i="7" a="1"/>
  <c r="B128" i="7" s="1"/>
  <c r="C90" i="7" a="1"/>
  <c r="C90" i="7" s="1"/>
  <c r="B90" i="7" a="1"/>
  <c r="B90" i="7" s="1"/>
  <c r="B101" i="7" a="1"/>
  <c r="B101" i="7" s="1"/>
  <c r="C101" i="7" a="1"/>
  <c r="C101" i="7" s="1"/>
  <c r="C106" i="7" a="1"/>
  <c r="C106" i="7" s="1"/>
  <c r="B106" i="7" a="1"/>
  <c r="B106" i="7" s="1"/>
  <c r="B83" i="7" a="1"/>
  <c r="B83" i="7" s="1"/>
  <c r="C83" i="7" a="1"/>
  <c r="C83" i="7" s="1"/>
  <c r="B99" i="7" a="1"/>
  <c r="B99" i="7" s="1"/>
  <c r="C99" i="7" a="1"/>
  <c r="C99" i="7" s="1"/>
  <c r="C129" i="7" a="1"/>
  <c r="C129" i="7" s="1"/>
  <c r="B129" i="7" a="1"/>
  <c r="B129" i="7" s="1"/>
  <c r="C109" i="7" a="1"/>
  <c r="C109" i="7" s="1"/>
  <c r="B109" i="7" a="1"/>
  <c r="B109" i="7" s="1"/>
  <c r="C21" i="7" a="1"/>
  <c r="C21" i="7" s="1"/>
  <c r="B21" i="7" a="1"/>
  <c r="B21" i="7" s="1"/>
  <c r="B50" i="7" a="1"/>
  <c r="B50" i="7" s="1"/>
  <c r="C50" i="7" a="1"/>
  <c r="C50" i="7" s="1"/>
  <c r="C65" i="7" a="1"/>
  <c r="C65" i="7" s="1"/>
  <c r="B65" i="7" a="1"/>
  <c r="B65" i="7" s="1"/>
  <c r="C26" i="7" a="1"/>
  <c r="C26" i="7" s="1"/>
  <c r="B26" i="7" a="1"/>
  <c r="B26" i="7" s="1"/>
  <c r="C30" i="7" a="1"/>
  <c r="C30" i="7" s="1"/>
  <c r="B30" i="7" a="1"/>
  <c r="B30" i="7" s="1"/>
  <c r="B143" i="7" a="1"/>
  <c r="B143" i="7" s="1"/>
  <c r="C143" i="7" a="1"/>
  <c r="C143" i="7" s="1"/>
  <c r="B68" i="7" a="1"/>
  <c r="B68" i="7" s="1"/>
  <c r="C68" i="7" a="1"/>
  <c r="C68" i="7" s="1"/>
  <c r="B117" i="7" a="1"/>
  <c r="B117" i="7" s="1"/>
  <c r="C117" i="7" a="1"/>
  <c r="C117" i="7" s="1"/>
  <c r="C31" i="7" a="1"/>
  <c r="C31" i="7" s="1"/>
  <c r="B31" i="7" a="1"/>
  <c r="B31" i="7" s="1"/>
  <c r="C17" i="7" a="1"/>
  <c r="C17" i="7" s="1"/>
  <c r="B17" i="7" a="1"/>
  <c r="B17" i="7" s="1"/>
  <c r="B122" i="7" a="1"/>
  <c r="B122" i="7" s="1"/>
  <c r="C122" i="7" a="1"/>
  <c r="C122" i="7" s="1"/>
  <c r="C40" i="7" a="1"/>
  <c r="C40" i="7" s="1"/>
  <c r="B40" i="7" a="1"/>
  <c r="B40" i="7" s="1"/>
  <c r="C116" i="7" a="1"/>
  <c r="C116" i="7" s="1"/>
  <c r="B116" i="7" a="1"/>
  <c r="B116" i="7" s="1"/>
  <c r="C124" i="7" a="1"/>
  <c r="C124" i="7" s="1"/>
  <c r="B124" i="7" a="1"/>
  <c r="B124" i="7" s="1"/>
  <c r="B96" i="7" a="1"/>
  <c r="B96" i="7" s="1"/>
  <c r="C96" i="7" a="1"/>
  <c r="C96" i="7" s="1"/>
  <c r="C14" i="7" a="1"/>
  <c r="C14" i="7" s="1"/>
  <c r="B14" i="7" a="1"/>
  <c r="B14" i="7" s="1"/>
  <c r="C94" i="7" a="1"/>
  <c r="C94" i="7" s="1"/>
  <c r="B94" i="7" a="1"/>
  <c r="B94" i="7" s="1"/>
  <c r="B102" i="7" a="1"/>
  <c r="B102" i="7" s="1"/>
  <c r="C102" i="7" a="1"/>
  <c r="C102" i="7" s="1"/>
  <c r="C73" i="7" a="1"/>
  <c r="C73" i="7" s="1"/>
  <c r="B73" i="7" a="1"/>
  <c r="B73" i="7" s="1"/>
  <c r="C86" i="7" a="1"/>
  <c r="C86" i="7" s="1"/>
  <c r="B86" i="7" a="1"/>
  <c r="B86" i="7" s="1"/>
  <c r="C141" i="7" a="1"/>
  <c r="C141" i="7" s="1"/>
  <c r="B141" i="7" a="1"/>
  <c r="B141" i="7" s="1"/>
  <c r="C49" i="7" a="1"/>
  <c r="C49" i="7" s="1"/>
  <c r="B49" i="7" a="1"/>
  <c r="B49" i="7" s="1"/>
  <c r="B89" i="7" a="1"/>
  <c r="B89" i="7" s="1"/>
  <c r="C89" i="7" a="1"/>
  <c r="C89" i="7" s="1"/>
  <c r="C11" i="7" a="1"/>
  <c r="C11" i="7" s="1"/>
  <c r="B11" i="7" a="1"/>
  <c r="B11" i="7" s="1"/>
  <c r="C114" i="7" a="1"/>
  <c r="C114" i="7" s="1"/>
  <c r="B114" i="7" a="1"/>
  <c r="B114" i="7" s="1"/>
  <c r="C35" i="7" a="1"/>
  <c r="C35" i="7" s="1"/>
  <c r="B35" i="7" a="1"/>
  <c r="B35" i="7" s="1"/>
  <c r="C60" i="7" a="1"/>
  <c r="C60" i="7" s="1"/>
  <c r="B60" i="7" a="1"/>
  <c r="B60" i="7" s="1"/>
  <c r="B77" i="7" a="1"/>
  <c r="B77" i="7" s="1"/>
  <c r="C77" i="7" a="1"/>
  <c r="C77" i="7" s="1"/>
  <c r="B28" i="7" a="1"/>
  <c r="B28" i="7" s="1"/>
  <c r="C28" i="7" a="1"/>
  <c r="C28" i="7" s="1"/>
  <c r="B121" i="7" a="1"/>
  <c r="B121" i="7" s="1"/>
  <c r="C121" i="7" a="1"/>
  <c r="C121" i="7" s="1"/>
  <c r="C59" i="7" a="1"/>
  <c r="C59" i="7" s="1"/>
  <c r="B59" i="7" a="1"/>
  <c r="B59" i="7" s="1"/>
  <c r="B42" i="7" a="1"/>
  <c r="B42" i="7" s="1"/>
  <c r="C42" i="7" a="1"/>
  <c r="C42" i="7" s="1"/>
</calcChain>
</file>

<file path=xl/sharedStrings.xml><?xml version="1.0" encoding="utf-8"?>
<sst xmlns="http://schemas.openxmlformats.org/spreadsheetml/2006/main" count="5336" uniqueCount="515">
  <si>
    <t>工號</t>
  </si>
  <si>
    <t>姓名</t>
  </si>
  <si>
    <t>部門</t>
  </si>
  <si>
    <t>職位</t>
  </si>
  <si>
    <t>專員</t>
  </si>
  <si>
    <t>組長</t>
  </si>
  <si>
    <t>鄭淑鐘</t>
  </si>
  <si>
    <t>賴慶燁</t>
  </si>
  <si>
    <t>南龍裡</t>
  </si>
  <si>
    <t>南天鵬</t>
  </si>
  <si>
    <t>夏塔拉</t>
  </si>
  <si>
    <t>馬立泥</t>
  </si>
  <si>
    <t>肅坦</t>
  </si>
  <si>
    <t>百翔</t>
  </si>
  <si>
    <t>阿迪朋</t>
  </si>
  <si>
    <t>阿沙文</t>
  </si>
  <si>
    <t>阿凱</t>
  </si>
  <si>
    <t>宇藍南</t>
  </si>
  <si>
    <t>松沙</t>
  </si>
  <si>
    <t>威耐</t>
  </si>
  <si>
    <t>陳俊智</t>
  </si>
  <si>
    <t>黃氏金莉</t>
  </si>
  <si>
    <t>陳世傑</t>
  </si>
  <si>
    <t>周安琪</t>
  </si>
  <si>
    <t>連維敏</t>
  </si>
  <si>
    <t>朱淑君</t>
  </si>
  <si>
    <t>松甲</t>
  </si>
  <si>
    <t>陳意琛</t>
  </si>
  <si>
    <t>周柏杰</t>
  </si>
  <si>
    <t>蘇拉岡</t>
  </si>
  <si>
    <t>呂雅秀</t>
  </si>
  <si>
    <t>朗吾</t>
  </si>
  <si>
    <t>巴林亞</t>
  </si>
  <si>
    <t>克里達</t>
  </si>
  <si>
    <t>及可</t>
  </si>
  <si>
    <t>陳怡珊</t>
  </si>
  <si>
    <t>鄭萍</t>
  </si>
  <si>
    <t>李昱鋐</t>
  </si>
  <si>
    <t>覃麗嬋</t>
  </si>
  <si>
    <t>蘇英輝</t>
  </si>
  <si>
    <t>阿塘</t>
  </si>
  <si>
    <t>陳奕廷</t>
  </si>
  <si>
    <t>王美婷</t>
  </si>
  <si>
    <t>于宗訓</t>
  </si>
  <si>
    <t>孫素琴</t>
  </si>
  <si>
    <t>陳俐秀</t>
  </si>
  <si>
    <t>陳燕華</t>
  </si>
  <si>
    <t>郭惠婷</t>
  </si>
  <si>
    <t>尤(禾云)棠</t>
  </si>
  <si>
    <t>傅文成</t>
  </si>
  <si>
    <t>羅文彥</t>
  </si>
  <si>
    <t>曾泓霖</t>
  </si>
  <si>
    <t>潘佩君</t>
  </si>
  <si>
    <t>王秀雯</t>
  </si>
  <si>
    <t>石容瑄</t>
  </si>
  <si>
    <t>陳惠萍</t>
  </si>
  <si>
    <t>戴曜瑋</t>
  </si>
  <si>
    <t>清馬拉</t>
  </si>
  <si>
    <t>尤念萍</t>
  </si>
  <si>
    <t>陳孟怡</t>
  </si>
  <si>
    <t>楊心恬</t>
  </si>
  <si>
    <t>林德和</t>
  </si>
  <si>
    <t>陳巧倫</t>
  </si>
  <si>
    <t>紀佩欣</t>
  </si>
  <si>
    <t>崇南</t>
  </si>
  <si>
    <t>邦迪</t>
  </si>
  <si>
    <t>吳拉查</t>
  </si>
  <si>
    <t>姜威藍</t>
  </si>
  <si>
    <t>郭藍林</t>
  </si>
  <si>
    <t>吉實達</t>
  </si>
  <si>
    <t>潘盈蓁</t>
  </si>
  <si>
    <t>陳凱</t>
  </si>
  <si>
    <t>朱冠瑋</t>
  </si>
  <si>
    <t>林依婷</t>
  </si>
  <si>
    <t>周清家</t>
  </si>
  <si>
    <t>詹郁瑛</t>
  </si>
  <si>
    <t>龔淑屏</t>
  </si>
  <si>
    <t>楊玉鳳</t>
  </si>
  <si>
    <t>鍾欣芳</t>
  </si>
  <si>
    <t>劉祐誠</t>
  </si>
  <si>
    <t>黃士咸</t>
  </si>
  <si>
    <t>曾夷璋</t>
  </si>
  <si>
    <t>王舒瑩</t>
  </si>
  <si>
    <t>蔡麗娟</t>
  </si>
  <si>
    <t>梁美麗</t>
  </si>
  <si>
    <t>莊慈君</t>
  </si>
  <si>
    <t>林綉玲</t>
  </si>
  <si>
    <t>馬程鳳</t>
  </si>
  <si>
    <t>郭韋霆</t>
  </si>
  <si>
    <t>拉桑</t>
  </si>
  <si>
    <t>阮美和</t>
  </si>
  <si>
    <t>王柳琦</t>
  </si>
  <si>
    <t>黃繼億</t>
  </si>
  <si>
    <t>白惇維</t>
  </si>
  <si>
    <t>徐惠蘭</t>
  </si>
  <si>
    <t>沙洋</t>
  </si>
  <si>
    <t>孫培娜</t>
  </si>
  <si>
    <t>潘其龍</t>
  </si>
  <si>
    <t>俗吉</t>
  </si>
  <si>
    <t>沙空</t>
  </si>
  <si>
    <t>趙秋賢</t>
  </si>
  <si>
    <t>林氏美</t>
  </si>
  <si>
    <t>張舒涵</t>
  </si>
  <si>
    <t>宋善蓬</t>
  </si>
  <si>
    <t>蘇華姑</t>
  </si>
  <si>
    <t>張政芳</t>
  </si>
  <si>
    <t>瓦山</t>
  </si>
  <si>
    <t>磊瓦</t>
  </si>
  <si>
    <t>蘇拉碟</t>
  </si>
  <si>
    <t>阮祝玲</t>
  </si>
  <si>
    <t>潘嵐狄</t>
  </si>
  <si>
    <t>偉昌</t>
  </si>
  <si>
    <t>努瓦</t>
  </si>
  <si>
    <t>巴查</t>
  </si>
  <si>
    <t>沈怡婷</t>
  </si>
  <si>
    <t>蔡麗花</t>
  </si>
  <si>
    <t>楊瑪莉</t>
  </si>
  <si>
    <t>戴全柏</t>
  </si>
  <si>
    <t>鄭凱仁</t>
  </si>
  <si>
    <t>鄭景文</t>
  </si>
  <si>
    <t>陳佳倫</t>
  </si>
  <si>
    <t>李庭慧</t>
  </si>
  <si>
    <t>尹詩婷</t>
  </si>
  <si>
    <t>吳桂梅</t>
  </si>
  <si>
    <t>陳福郎</t>
  </si>
  <si>
    <t>蘇恬幼</t>
  </si>
  <si>
    <t>張欽發</t>
  </si>
  <si>
    <t>蔡欣芸</t>
  </si>
  <si>
    <t>陳家祥</t>
  </si>
  <si>
    <t>0628</t>
  </si>
  <si>
    <t>2856</t>
  </si>
  <si>
    <t>2223</t>
  </si>
  <si>
    <t>3005</t>
  </si>
  <si>
    <t>1115</t>
  </si>
  <si>
    <t>2909</t>
  </si>
  <si>
    <t>2910</t>
  </si>
  <si>
    <t>2928</t>
  </si>
  <si>
    <t>2968</t>
  </si>
  <si>
    <t>3002</t>
  </si>
  <si>
    <t>3003</t>
  </si>
  <si>
    <t>2832</t>
  </si>
  <si>
    <t>2834</t>
  </si>
  <si>
    <t>2844</t>
  </si>
  <si>
    <t>2869</t>
  </si>
  <si>
    <t>2873</t>
  </si>
  <si>
    <t>2589</t>
  </si>
  <si>
    <t>2776</t>
  </si>
  <si>
    <t>2546</t>
  </si>
  <si>
    <t>1101</t>
  </si>
  <si>
    <t>2056</t>
  </si>
  <si>
    <t>1713</t>
  </si>
  <si>
    <t>2258</t>
  </si>
  <si>
    <t>1799</t>
  </si>
  <si>
    <t>2418</t>
  </si>
  <si>
    <t>2226</t>
  </si>
  <si>
    <t>2724</t>
  </si>
  <si>
    <t>2827</t>
  </si>
  <si>
    <t>2565</t>
  </si>
  <si>
    <t>3004</t>
  </si>
  <si>
    <t>2930</t>
  </si>
  <si>
    <t>2868</t>
  </si>
  <si>
    <t>2919</t>
  </si>
  <si>
    <t>2216</t>
  </si>
  <si>
    <t>1547</t>
  </si>
  <si>
    <t>2321</t>
  </si>
  <si>
    <t>2097</t>
  </si>
  <si>
    <t>2964</t>
  </si>
  <si>
    <t>2835</t>
  </si>
  <si>
    <t>2404</t>
  </si>
  <si>
    <t>3009</t>
  </si>
  <si>
    <t>3008</t>
  </si>
  <si>
    <t>2911</t>
  </si>
  <si>
    <t>2934</t>
  </si>
  <si>
    <t>2938</t>
  </si>
  <si>
    <t>2941</t>
  </si>
  <si>
    <t>3011</t>
  </si>
  <si>
    <t>2954</t>
  </si>
  <si>
    <t>2947</t>
  </si>
  <si>
    <t>0890</t>
  </si>
  <si>
    <t>2521</t>
  </si>
  <si>
    <t>2057</t>
  </si>
  <si>
    <t>0193</t>
  </si>
  <si>
    <t>2091</t>
  </si>
  <si>
    <t>1861</t>
  </si>
  <si>
    <t>2200</t>
  </si>
  <si>
    <t>2548</t>
  </si>
  <si>
    <t>2564</t>
  </si>
  <si>
    <t>2664</t>
  </si>
  <si>
    <t>2706</t>
  </si>
  <si>
    <t>2798</t>
  </si>
  <si>
    <t>2699</t>
  </si>
  <si>
    <t>2849</t>
  </si>
  <si>
    <t>2850</t>
  </si>
  <si>
    <t>2866</t>
  </si>
  <si>
    <t>2870</t>
  </si>
  <si>
    <t>2896</t>
  </si>
  <si>
    <t>1172</t>
  </si>
  <si>
    <t>2309</t>
  </si>
  <si>
    <t>1648</t>
  </si>
  <si>
    <t>3019</t>
  </si>
  <si>
    <t>3006</t>
  </si>
  <si>
    <t>2917</t>
  </si>
  <si>
    <t>2984</t>
  </si>
  <si>
    <t>3012</t>
  </si>
  <si>
    <t>0012</t>
  </si>
  <si>
    <t>2334</t>
  </si>
  <si>
    <t>0497</t>
  </si>
  <si>
    <t>0855</t>
  </si>
  <si>
    <t>2915</t>
  </si>
  <si>
    <t>0632</t>
  </si>
  <si>
    <t>2942</t>
  </si>
  <si>
    <t>2817</t>
  </si>
  <si>
    <t>2823</t>
  </si>
  <si>
    <t>2707</t>
  </si>
  <si>
    <t>2887</t>
  </si>
  <si>
    <t>2264</t>
  </si>
  <si>
    <t>2220</t>
  </si>
  <si>
    <t>1874</t>
  </si>
  <si>
    <t>2012</t>
  </si>
  <si>
    <t>1847</t>
  </si>
  <si>
    <t>3000</t>
  </si>
  <si>
    <t>1834</t>
  </si>
  <si>
    <t>2413</t>
  </si>
  <si>
    <t>2906</t>
  </si>
  <si>
    <t>1232</t>
  </si>
  <si>
    <t>2270</t>
  </si>
  <si>
    <t>2173</t>
  </si>
  <si>
    <t>2186</t>
  </si>
  <si>
    <t>2429</t>
  </si>
  <si>
    <t>2481</t>
  </si>
  <si>
    <t>3007</t>
  </si>
  <si>
    <t>2893</t>
  </si>
  <si>
    <t>1817</t>
  </si>
  <si>
    <t>2884</t>
  </si>
  <si>
    <t>2867</t>
  </si>
  <si>
    <t>2685</t>
  </si>
  <si>
    <t>2582</t>
  </si>
  <si>
    <t>2588</t>
  </si>
  <si>
    <t>2830</t>
  </si>
  <si>
    <t>2833</t>
  </si>
  <si>
    <t>2802</t>
  </si>
  <si>
    <t>2944</t>
  </si>
  <si>
    <t>2931</t>
  </si>
  <si>
    <t>2932</t>
  </si>
  <si>
    <t>2927</t>
  </si>
  <si>
    <t>3001</t>
  </si>
  <si>
    <t>2993</t>
  </si>
  <si>
    <t>2996</t>
  </si>
  <si>
    <t>2029</t>
  </si>
  <si>
    <t>0857</t>
  </si>
  <si>
    <t>3017</t>
  </si>
  <si>
    <t>3018</t>
  </si>
  <si>
    <t>0835</t>
  </si>
  <si>
    <t>0329</t>
  </si>
  <si>
    <t>0661</t>
  </si>
  <si>
    <t>1415</t>
  </si>
  <si>
    <t>3022</t>
  </si>
  <si>
    <t>2939</t>
  </si>
  <si>
    <t>2979</t>
  </si>
  <si>
    <t>2949</t>
  </si>
  <si>
    <t>3015</t>
  </si>
  <si>
    <t>0859</t>
  </si>
  <si>
    <t>2645</t>
  </si>
  <si>
    <t>2863</t>
  </si>
  <si>
    <t>業務課</t>
  </si>
  <si>
    <t>塗裝組</t>
  </si>
  <si>
    <t>組一組</t>
  </si>
  <si>
    <t>沖床組</t>
  </si>
  <si>
    <t>財務部</t>
  </si>
  <si>
    <t>資材課</t>
  </si>
  <si>
    <t>組二組</t>
  </si>
  <si>
    <t>品保課</t>
  </si>
  <si>
    <t>製造課</t>
  </si>
  <si>
    <t>營業部</t>
  </si>
  <si>
    <t>廠務部</t>
  </si>
  <si>
    <t>組三組</t>
  </si>
  <si>
    <t>研發課</t>
  </si>
  <si>
    <t>加工組</t>
  </si>
  <si>
    <t>董事會</t>
  </si>
  <si>
    <t>總經理室</t>
  </si>
  <si>
    <t>總務課</t>
  </si>
  <si>
    <t>助理專員</t>
  </si>
  <si>
    <t>業務助理</t>
  </si>
  <si>
    <t>技術員</t>
  </si>
  <si>
    <t>助理工程師</t>
  </si>
  <si>
    <t>班長</t>
  </si>
  <si>
    <t>副組長</t>
  </si>
  <si>
    <t>會計人員</t>
  </si>
  <si>
    <t>課長</t>
  </si>
  <si>
    <t>行政助理</t>
  </si>
  <si>
    <t>採購助理</t>
  </si>
  <si>
    <t>堆高機員</t>
  </si>
  <si>
    <t>副課長</t>
  </si>
  <si>
    <t>助理</t>
  </si>
  <si>
    <t>品檢員</t>
  </si>
  <si>
    <t>經理</t>
  </si>
  <si>
    <t>工程師</t>
  </si>
  <si>
    <t>儲備幹部</t>
  </si>
  <si>
    <t>董事長</t>
  </si>
  <si>
    <t>總經理</t>
  </si>
  <si>
    <t>副總經理</t>
  </si>
  <si>
    <t>秘書</t>
  </si>
  <si>
    <t>清潔員</t>
  </si>
  <si>
    <t>代理副課長</t>
  </si>
  <si>
    <t>加權後總分</t>
    <phoneticPr fontId="1" type="noConversion"/>
  </si>
  <si>
    <t>跨部門分數</t>
    <phoneticPr fontId="1" type="noConversion"/>
  </si>
  <si>
    <t>主管複評</t>
    <phoneticPr fontId="1" type="noConversion"/>
  </si>
  <si>
    <t>部內分數/初評</t>
    <phoneticPr fontId="1" type="noConversion"/>
  </si>
  <si>
    <t>獎懲分數</t>
    <phoneticPr fontId="1" type="noConversion"/>
  </si>
  <si>
    <t>陳玉慧</t>
  </si>
  <si>
    <t>伍珈彣</t>
  </si>
  <si>
    <t>3024</t>
  </si>
  <si>
    <t>隆峽</t>
  </si>
  <si>
    <t>郭惠燕</t>
  </si>
  <si>
    <t>3029</t>
  </si>
  <si>
    <t>吉沙達</t>
  </si>
  <si>
    <t>3032</t>
  </si>
  <si>
    <t>郭乃源</t>
  </si>
  <si>
    <t>3030</t>
  </si>
  <si>
    <t>3031</t>
  </si>
  <si>
    <t>3023</t>
  </si>
  <si>
    <t>拉匹潘</t>
  </si>
  <si>
    <t>3027</t>
  </si>
  <si>
    <t>阿匹雷</t>
  </si>
  <si>
    <t>3028</t>
  </si>
  <si>
    <t>3025</t>
  </si>
  <si>
    <t>3026</t>
  </si>
  <si>
    <t>司機</t>
  </si>
  <si>
    <t>直接主管</t>
    <phoneticPr fontId="1" type="noConversion"/>
  </si>
  <si>
    <t>陳佳安</t>
  </si>
  <si>
    <t>李富崑</t>
  </si>
  <si>
    <t>余美玉</t>
  </si>
  <si>
    <t>林逸宸</t>
  </si>
  <si>
    <t>是否建立</t>
    <phoneticPr fontId="1" type="noConversion"/>
  </si>
  <si>
    <t>蔡麗娟</t>
    <phoneticPr fontId="1" type="noConversion"/>
  </si>
  <si>
    <t>✓</t>
    <phoneticPr fontId="1" type="noConversion"/>
  </si>
  <si>
    <t>新人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</si>
  <si>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</si>
  <si>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</si>
  <si>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</si>
  <si>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</si>
  <si>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</si>
  <si>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</si>
  <si>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</si>
  <si>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</si>
  <si>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</si>
  <si>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部內分數2</t>
  </si>
  <si>
    <t>部內分數3</t>
  </si>
  <si>
    <t>部內分數4</t>
  </si>
  <si>
    <t>部內分數5</t>
  </si>
  <si>
    <t>部內分數6</t>
  </si>
  <si>
    <t>部內分數7</t>
  </si>
  <si>
    <t>部內分數8</t>
  </si>
  <si>
    <t>部內分數9</t>
  </si>
  <si>
    <t>部內分數10</t>
  </si>
  <si>
    <t>部內分數</t>
    <phoneticPr fontId="1" type="noConversion"/>
  </si>
  <si>
    <t>跨共評</t>
    <phoneticPr fontId="1" type="noConversion"/>
  </si>
  <si>
    <t>跨共評2</t>
  </si>
  <si>
    <t>跨共評3</t>
  </si>
  <si>
    <t>跨共評4</t>
  </si>
  <si>
    <t>跨共評5</t>
  </si>
  <si>
    <t>跨共評6</t>
  </si>
  <si>
    <t>跨共評7</t>
  </si>
  <si>
    <t>跨共評8</t>
  </si>
  <si>
    <t>跨共評9</t>
  </si>
  <si>
    <t>跨共評10</t>
  </si>
  <si>
    <t>複評</t>
    <phoneticPr fontId="1" type="noConversion"/>
  </si>
  <si>
    <t>複評2</t>
  </si>
  <si>
    <t>複評3</t>
  </si>
  <si>
    <t>複評4</t>
  </si>
  <si>
    <t>複評5</t>
  </si>
  <si>
    <t>複評6</t>
  </si>
  <si>
    <t>複評7</t>
  </si>
  <si>
    <t>複評8</t>
  </si>
  <si>
    <t>複評9</t>
  </si>
  <si>
    <t>複評10</t>
  </si>
  <si>
    <t>部內分數11</t>
  </si>
  <si>
    <t>部內平均</t>
    <phoneticPr fontId="1" type="noConversion"/>
  </si>
  <si>
    <t>共評平均</t>
    <phoneticPr fontId="1" type="noConversion"/>
  </si>
  <si>
    <t>複評平均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</si>
  <si>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</si>
  <si>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</si>
  <si>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</si>
  <si>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</si>
  <si>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</si>
  <si>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</si>
  <si>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✓✓</t>
    <phoneticPr fontId="1" type="noConversion"/>
  </si>
  <si>
    <t>新人</t>
    <phoneticPr fontId="1" type="noConversion"/>
  </si>
  <si>
    <t>不在職</t>
    <phoneticPr fontId="1" type="noConversion"/>
  </si>
  <si>
    <t>移工</t>
    <phoneticPr fontId="1" type="noConversion"/>
  </si>
  <si>
    <t>外配</t>
    <phoneticPr fontId="1" type="noConversion"/>
  </si>
  <si>
    <t>新人</t>
    <phoneticPr fontId="1" type="noConversion"/>
  </si>
  <si>
    <t>新人</t>
    <phoneticPr fontId="1" type="noConversion"/>
  </si>
  <si>
    <t>離職</t>
    <phoneticPr fontId="1" type="noConversion"/>
  </si>
  <si>
    <t>移工</t>
    <phoneticPr fontId="1" type="noConversion"/>
  </si>
  <si>
    <t>✓✓</t>
    <phoneticPr fontId="1" type="noConversion"/>
  </si>
  <si>
    <t>移工</t>
    <phoneticPr fontId="1" type="noConversion"/>
  </si>
  <si>
    <t>現場</t>
    <phoneticPr fontId="1" type="noConversion"/>
  </si>
  <si>
    <t>外配</t>
    <phoneticPr fontId="1" type="noConversion"/>
  </si>
  <si>
    <t>現場</t>
    <phoneticPr fontId="1" type="noConversion"/>
  </si>
  <si>
    <t>移工</t>
    <phoneticPr fontId="1" type="noConversion"/>
  </si>
  <si>
    <t>移工</t>
    <phoneticPr fontId="1" type="noConversion"/>
  </si>
  <si>
    <t>現場</t>
    <phoneticPr fontId="1" type="noConversion"/>
  </si>
  <si>
    <t>現場</t>
    <phoneticPr fontId="1" type="noConversion"/>
  </si>
  <si>
    <t>現場</t>
    <phoneticPr fontId="1" type="noConversion"/>
  </si>
  <si>
    <t>移工</t>
    <phoneticPr fontId="1" type="noConversion"/>
  </si>
  <si>
    <t>現場</t>
    <phoneticPr fontId="1" type="noConversion"/>
  </si>
  <si>
    <t>現場</t>
    <phoneticPr fontId="1" type="noConversion"/>
  </si>
  <si>
    <t>不需</t>
    <phoneticPr fontId="1" type="noConversion"/>
  </si>
  <si>
    <t>嘉獎</t>
    <phoneticPr fontId="1" type="noConversion"/>
  </si>
  <si>
    <t>小功</t>
    <phoneticPr fontId="1" type="noConversion"/>
  </si>
  <si>
    <t>大功</t>
    <phoneticPr fontId="1" type="noConversion"/>
  </si>
  <si>
    <t>申誡</t>
    <phoneticPr fontId="1" type="noConversion"/>
  </si>
  <si>
    <t>小過</t>
    <phoneticPr fontId="1" type="noConversion"/>
  </si>
  <si>
    <t>大過</t>
    <phoneticPr fontId="1" type="noConversion"/>
  </si>
  <si>
    <t>那孔(新)</t>
    <phoneticPr fontId="1" type="noConversion"/>
  </si>
  <si>
    <t>他那空(新)</t>
    <phoneticPr fontId="1" type="noConversion"/>
  </si>
  <si>
    <t>央南(新)</t>
    <phoneticPr fontId="1" type="noConversion"/>
  </si>
  <si>
    <t>班文(新)</t>
    <phoneticPr fontId="1" type="noConversion"/>
  </si>
  <si>
    <t>匹拉(新)</t>
    <phoneticPr fontId="1" type="noConversion"/>
  </si>
  <si>
    <t>郭均惠(調組)</t>
    <phoneticPr fontId="1" type="noConversion"/>
  </si>
  <si>
    <t>王茲鈴(調組)</t>
    <phoneticPr fontId="1" type="noConversion"/>
  </si>
  <si>
    <t>那彭(新)</t>
    <phoneticPr fontId="1" type="noConversion"/>
  </si>
  <si>
    <t>提拉瓦(新)</t>
    <phoneticPr fontId="1" type="noConversion"/>
  </si>
  <si>
    <t>薩財(新)</t>
    <phoneticPr fontId="1" type="noConversion"/>
  </si>
  <si>
    <t>三理(新)</t>
    <phoneticPr fontId="1" type="noConversion"/>
  </si>
  <si>
    <t>阿匹雷(新)</t>
    <phoneticPr fontId="1" type="noConversion"/>
  </si>
  <si>
    <t>拉匹潘(新)</t>
    <phoneticPr fontId="1" type="noConversion"/>
  </si>
  <si>
    <t>拉桑(新)</t>
    <phoneticPr fontId="1" type="noConversion"/>
  </si>
  <si>
    <t>部內分數102</t>
  </si>
  <si>
    <t>斯立查(新)</t>
    <phoneticPr fontId="1" type="noConversion"/>
  </si>
  <si>
    <t>斯立查(新)</t>
    <phoneticPr fontId="1" type="noConversion"/>
  </si>
  <si>
    <t>班文(新)</t>
    <phoneticPr fontId="1" type="noConversion"/>
  </si>
  <si>
    <t>央南(新)</t>
    <phoneticPr fontId="1" type="noConversion"/>
  </si>
  <si>
    <t>那彭</t>
    <phoneticPr fontId="1" type="noConversion"/>
  </si>
  <si>
    <t>跨共評92</t>
  </si>
  <si>
    <t>跨共評93</t>
  </si>
  <si>
    <t>查朋(新)</t>
    <phoneticPr fontId="1" type="noConversion"/>
  </si>
  <si>
    <t>查朋(新)</t>
    <phoneticPr fontId="1" type="noConversion"/>
  </si>
  <si>
    <t>提拉瓦(新)</t>
    <phoneticPr fontId="1" type="noConversion"/>
  </si>
  <si>
    <t>薩財(新)</t>
    <phoneticPr fontId="1" type="noConversion"/>
  </si>
  <si>
    <t>三理(新)</t>
    <phoneticPr fontId="1" type="noConversion"/>
  </si>
  <si>
    <t>甘麗婷(離)</t>
    <phoneticPr fontId="1" type="noConversion"/>
  </si>
  <si>
    <t>列標籤</t>
  </si>
  <si>
    <t>總計</t>
  </si>
  <si>
    <t>B</t>
  </si>
  <si>
    <t>C</t>
  </si>
  <si>
    <t>D</t>
  </si>
  <si>
    <t>E</t>
  </si>
  <si>
    <t>A</t>
  </si>
  <si>
    <t>欄標籤</t>
  </si>
  <si>
    <t>計數 - 等級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</si>
  <si>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</si>
  <si>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</si>
  <si>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</si>
  <si>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</si>
  <si>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</si>
  <si>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工號</t>
    <phoneticPr fontId="1" type="noConversion"/>
  </si>
  <si>
    <t>姓名</t>
    <phoneticPr fontId="1" type="noConversion"/>
  </si>
  <si>
    <t>部門</t>
    <phoneticPr fontId="1" type="noConversion"/>
  </si>
  <si>
    <t>職稱</t>
    <phoneticPr fontId="1" type="noConversion"/>
  </si>
  <si>
    <t>主管</t>
    <phoneticPr fontId="1" type="noConversion"/>
  </si>
  <si>
    <t>總分</t>
    <phoneticPr fontId="1" type="noConversion"/>
  </si>
  <si>
    <t>等級</t>
    <phoneticPr fontId="1" type="noConversion"/>
  </si>
  <si>
    <t>白惇維</t>
    <phoneticPr fontId="1" type="noConversion"/>
  </si>
  <si>
    <t>覃麗嬋</t>
    <phoneticPr fontId="1" type="noConversion"/>
  </si>
  <si>
    <t>王秀雯</t>
    <phoneticPr fontId="1" type="noConversion"/>
  </si>
  <si>
    <t>王秀雯</t>
    <phoneticPr fontId="1" type="noConversion"/>
  </si>
  <si>
    <t>王秀雯</t>
    <phoneticPr fontId="1" type="noConversion"/>
  </si>
  <si>
    <t>紀佩欣</t>
    <phoneticPr fontId="1" type="noConversion"/>
  </si>
  <si>
    <t>紀佩欣</t>
    <phoneticPr fontId="1" type="noConversion"/>
  </si>
  <si>
    <t>紀佩欣</t>
    <phoneticPr fontId="1" type="noConversion"/>
  </si>
  <si>
    <t>紀佩欣</t>
    <phoneticPr fontId="1" type="noConversion"/>
  </si>
  <si>
    <t>紀佩欣</t>
    <phoneticPr fontId="1" type="noConversion"/>
  </si>
  <si>
    <t>朱冠瑋</t>
    <phoneticPr fontId="1" type="noConversion"/>
  </si>
  <si>
    <t>王舒瑩</t>
    <phoneticPr fontId="1" type="noConversion"/>
  </si>
  <si>
    <t>王舒瑩</t>
    <phoneticPr fontId="1" type="noConversion"/>
  </si>
  <si>
    <t>王舒瑩</t>
    <phoneticPr fontId="1" type="noConversion"/>
  </si>
  <si>
    <t>王舒瑩</t>
    <phoneticPr fontId="1" type="noConversion"/>
  </si>
  <si>
    <t>白惇維</t>
    <phoneticPr fontId="1" type="noConversion"/>
  </si>
  <si>
    <t>白惇維</t>
    <phoneticPr fontId="1" type="noConversion"/>
  </si>
  <si>
    <t>白惇維</t>
    <phoneticPr fontId="1" type="noConversion"/>
  </si>
  <si>
    <t>蘇恬幼</t>
    <phoneticPr fontId="1" type="noConversion"/>
  </si>
  <si>
    <t>蘇恬幼</t>
    <phoneticPr fontId="1" type="noConversion"/>
  </si>
  <si>
    <t>加權後總分</t>
  </si>
  <si>
    <t>等級</t>
    <phoneticPr fontId="1" type="noConversion"/>
  </si>
  <si>
    <t>等級2</t>
    <phoneticPr fontId="1" type="noConversion"/>
  </si>
  <si>
    <t>全公司排名</t>
    <phoneticPr fontId="1" type="noConversion"/>
  </si>
  <si>
    <t>全公司排名2</t>
    <phoneticPr fontId="1" type="noConversion"/>
  </si>
  <si>
    <t>不包含獎懲總分</t>
    <phoneticPr fontId="1" type="noConversion"/>
  </si>
  <si>
    <t>名次</t>
    <phoneticPr fontId="1" type="noConversion"/>
  </si>
  <si>
    <t>姓名</t>
    <phoneticPr fontId="1" type="noConversion"/>
  </si>
  <si>
    <t>部門</t>
    <phoneticPr fontId="1" type="noConversion"/>
  </si>
  <si>
    <t>=IFERROR(
  INDEX(員工資料!$C$2:$C$999,
    SMALL(
      IF!$I$2:$I$999=$A2,
         ROW([Sheet1]Sheet1!$I$2:$I$999)-ROW([Sheet1]Sheet1!$I$2)+1
      ),
      COUNTIF($A$2:$A2,$A2)
    )
  ),
"")</t>
    <phoneticPr fontId="1" type="noConversion"/>
  </si>
  <si>
    <t>不</t>
    <phoneticPr fontId="1" type="noConversion"/>
  </si>
  <si>
    <t>包</t>
    <phoneticPr fontId="1" type="noConversion"/>
  </si>
  <si>
    <t>含</t>
    <phoneticPr fontId="1" type="noConversion"/>
  </si>
  <si>
    <t>獎</t>
    <phoneticPr fontId="1" type="noConversion"/>
  </si>
  <si>
    <t>懲</t>
    <phoneticPr fontId="1" type="noConversion"/>
  </si>
  <si>
    <t>←</t>
    <phoneticPr fontId="1" type="noConversion"/>
  </si>
  <si>
    <t>名次</t>
    <phoneticPr fontId="1" type="noConversion"/>
  </si>
  <si>
    <t>包</t>
    <phoneticPr fontId="1" type="noConversion"/>
  </si>
  <si>
    <t>含</t>
    <phoneticPr fontId="1" type="noConversion"/>
  </si>
  <si>
    <t>獎</t>
    <phoneticPr fontId="1" type="noConversion"/>
  </si>
  <si>
    <t>懲</t>
    <phoneticPr fontId="1" type="noConversion"/>
  </si>
  <si>
    <t>←</t>
    <phoneticPr fontId="1" type="noConversion"/>
  </si>
  <si>
    <t>超標</t>
    <phoneticPr fontId="1" type="noConversion"/>
  </si>
  <si>
    <t>超標</t>
    <phoneticPr fontId="1" type="noConversion"/>
  </si>
  <si>
    <t>晉升</t>
    <phoneticPr fontId="1" type="noConversion"/>
  </si>
  <si>
    <t>(空白)</t>
  </si>
  <si>
    <t>計數 - 等級2</t>
  </si>
  <si>
    <t>廠務部</t>
    <phoneticPr fontId="1" type="noConversion"/>
  </si>
  <si>
    <t>工程師</t>
    <phoneticPr fontId="1" type="noConversion"/>
  </si>
  <si>
    <t>廠務部</t>
    <phoneticPr fontId="1" type="noConversion"/>
  </si>
  <si>
    <t>工程師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</si>
</sst>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宋体"/>
      <family val="3"/>
      <charset val="136"/>
    </font>
    <font>
      <sz val="11"/>
      <color theme="1"/>
      <name val="宋体"/>
    </font>
    <font>
      <sz val="10"/>
      <name val="宋体"/>
    </font>
    <font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3"/>
      </right>
      <top style="thin">
        <color theme="4" tint="0.39997558519241921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theme="4" tint="0.39997558519241921"/>
      </top>
      <bottom style="thin">
        <color indexed="63"/>
      </bottom>
      <diagonal/>
    </border>
    <border>
      <left style="thin">
        <color theme="4" tint="0.39997558519241921"/>
      </left>
      <right style="thin">
        <color indexed="63"/>
      </right>
      <top style="thin">
        <color theme="4" tint="0.39997558519241921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vertical="center" wrapText="1"/>
    </xf>
    <xf numFmtId="49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center" vertical="center" wrapText="1"/>
    </xf>
    <xf numFmtId="49" fontId="4" fillId="4" borderId="1" xfId="0" applyNumberFormat="1" applyFont="1" applyFill="1" applyBorder="1" applyAlignment="1" applyProtection="1">
      <alignment horizontal="center" vertical="center" wrapText="1"/>
    </xf>
    <xf numFmtId="49" fontId="4" fillId="5" borderId="1" xfId="0" applyNumberFormat="1" applyFont="1" applyFill="1" applyBorder="1" applyAlignment="1" applyProtection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5" fillId="6" borderId="0" xfId="0" applyNumberFormat="1" applyFont="1" applyFill="1">
      <alignment vertical="center"/>
    </xf>
    <xf numFmtId="0" fontId="5" fillId="7" borderId="0" xfId="0" applyNumberFormat="1" applyFont="1" applyFill="1">
      <alignment vertical="center"/>
    </xf>
    <xf numFmtId="0" fontId="5" fillId="6" borderId="0" xfId="0" applyFont="1" applyFill="1">
      <alignment vertical="center"/>
    </xf>
    <xf numFmtId="0" fontId="0" fillId="6" borderId="0" xfId="0" applyFill="1">
      <alignment vertical="center"/>
    </xf>
    <xf numFmtId="0" fontId="5" fillId="7" borderId="0" xfId="0" applyFont="1" applyFill="1" applyAlignment="1">
      <alignment horizontal="left" vertical="center"/>
    </xf>
    <xf numFmtId="0" fontId="3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8" borderId="3" xfId="0" applyNumberFormat="1" applyFont="1" applyFill="1" applyBorder="1" applyAlignment="1">
      <alignment horizontal="center" vertical="center" wrapText="1"/>
    </xf>
    <xf numFmtId="49" fontId="4" fillId="8" borderId="6" xfId="0" applyNumberFormat="1" applyFont="1" applyFill="1" applyBorder="1" applyAlignment="1">
      <alignment vertical="center" wrapText="1"/>
    </xf>
    <xf numFmtId="49" fontId="4" fillId="8" borderId="5" xfId="0" applyNumberFormat="1" applyFont="1" applyFill="1" applyBorder="1" applyAlignment="1">
      <alignment horizontal="center" vertical="center" wrapText="1"/>
    </xf>
    <xf numFmtId="49" fontId="4" fillId="8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176" fontId="2" fillId="0" borderId="0" xfId="0" applyNumberFormat="1" applyFont="1" applyAlignment="1">
      <alignment vertical="center" wrapText="1"/>
    </xf>
    <xf numFmtId="176" fontId="4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/>
    </xf>
    <xf numFmtId="49" fontId="0" fillId="0" borderId="1" xfId="0" applyNumberFormat="1" applyFont="1" applyFill="1" applyBorder="1" applyAlignment="1" applyProtection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9" fillId="15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/>
    </xf>
  </cellXfs>
  <cellStyles count="1">
    <cellStyle name="一般" xfId="0" builtinId="0"/>
  </cellStyles>
  <dxfs count="201"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3"/>
        </right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3"/>
        </left>
        <right style="thin">
          <color indexed="63"/>
        </right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3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176" formatCode="0.00_);[Red]\(0.00\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176" formatCode="0.00_);[Red]\(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176" formatCode="0.00_);[Red]\(0.00\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176" formatCode="0.00_);[Red]\(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176" formatCode="0.00_);[Red]\(0.00\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176" formatCode="0.00_);[Red]\(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 style="thin">
          <color theme="4" tint="0.39997558519241921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 style="thin">
          <color theme="4" tint="0.39997558519241921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3"/>
        </left>
        <right style="thin">
          <color indexed="63"/>
        </right>
        <top style="thin">
          <color theme="4" tint="0.39997558519241921"/>
        </top>
        <bottom style="thin">
          <color indexed="63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indexed="6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176" formatCode="0.00_);[Red]\(0.00\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176" formatCode="0.00_);[Red]\(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numFmt numFmtId="176" formatCode="0.00_);[Red]\(0.00\)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176" formatCode="0.00_);[Red]\(0.0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indexed="63"/>
        </bottom>
      </border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宋体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3"/>
        </right>
        <top/>
        <bottom style="thin">
          <color indexed="63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1"/>
        <name val="宋体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none"/>
      </font>
      <alignment horizontal="general" vertical="center" textRotation="0" wrapText="1" indent="0" justifyLastLine="0" shrinkToFit="0" readingOrder="0"/>
    </dxf>
    <dxf>
      <fill>
        <patternFill patternType="solid">
          <fgColor indexed="65"/>
          <bgColor theme="4" tint="0.59999389629810485"/>
        </patternFill>
      </fill>
    </dxf>
    <dxf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8" tint="0.79998168889431442"/>
        </patternFill>
      </fill>
    </dxf>
    <dxf>
      <fill>
        <patternFill patternType="solid">
          <fgColor indexed="65"/>
          <bgColor theme="4" tint="0.59999389629810485"/>
        </patternFill>
      </fill>
    </dxf>
    <dxf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scheme val="minor"/>
      </font>
      <fill>
        <patternFill patternType="solid">
          <fgColor indexed="65"/>
          <bgColor theme="4" tint="0.59999389629810485"/>
        </patternFill>
      </fill>
    </dxf>
    <dxf>
      <fill>
        <patternFill>
          <bgColor theme="5"/>
        </patternFill>
      </fill>
    </dxf>
  </dxfs>
  <tableStyles count="1" defaultTableStyle="TableStyleMedium2" defaultPivotStyle="PivotStyleLight16">
    <tableStyle name="表格樣式 1" pivot="0" count="1">
      <tableStyleElement type="firstColumn" dxfId="2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7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0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8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[114年終考核結果.xlsx]等級分配表!樞紐分析表2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等級分配表!$B$3:$B$4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等級分配表!$A$5:$A$21</c:f>
              <c:strCache>
                <c:ptCount val="16"/>
                <c:pt idx="0">
                  <c:v>加工組</c:v>
                </c:pt>
                <c:pt idx="1">
                  <c:v>沖床組</c:v>
                </c:pt>
                <c:pt idx="2">
                  <c:v>品保課</c:v>
                </c:pt>
                <c:pt idx="3">
                  <c:v>研發課</c:v>
                </c:pt>
                <c:pt idx="4">
                  <c:v>財務部</c:v>
                </c:pt>
                <c:pt idx="5">
                  <c:v>組一組</c:v>
                </c:pt>
                <c:pt idx="6">
                  <c:v>組二組</c:v>
                </c:pt>
                <c:pt idx="7">
                  <c:v>組三組</c:v>
                </c:pt>
                <c:pt idx="8">
                  <c:v>塗裝組</c:v>
                </c:pt>
                <c:pt idx="9">
                  <c:v>業務課</c:v>
                </c:pt>
                <c:pt idx="10">
                  <c:v>資材課</c:v>
                </c:pt>
                <c:pt idx="11">
                  <c:v>製造課</c:v>
                </c:pt>
                <c:pt idx="12">
                  <c:v>廠務部</c:v>
                </c:pt>
                <c:pt idx="13">
                  <c:v>營業部</c:v>
                </c:pt>
                <c:pt idx="14">
                  <c:v>總務課</c:v>
                </c:pt>
                <c:pt idx="15">
                  <c:v>總經理室</c:v>
                </c:pt>
              </c:strCache>
            </c:strRef>
          </c:cat>
          <c:val>
            <c:numRef>
              <c:f>等級分配表!$B$5:$B$21</c:f>
              <c:numCache>
                <c:formatCode>General</c:formatCode>
                <c:ptCount val="16"/>
                <c:pt idx="0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7-4A21-BC1F-65B7E31BB1EE}"/>
            </c:ext>
          </c:extLst>
        </c:ser>
        <c:ser>
          <c:idx val="1"/>
          <c:order val="1"/>
          <c:tx>
            <c:strRef>
              <c:f>等級分配表!$C$3:$C$4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等級分配表!$A$5:$A$21</c:f>
              <c:strCache>
                <c:ptCount val="16"/>
                <c:pt idx="0">
                  <c:v>加工組</c:v>
                </c:pt>
                <c:pt idx="1">
                  <c:v>沖床組</c:v>
                </c:pt>
                <c:pt idx="2">
                  <c:v>品保課</c:v>
                </c:pt>
                <c:pt idx="3">
                  <c:v>研發課</c:v>
                </c:pt>
                <c:pt idx="4">
                  <c:v>財務部</c:v>
                </c:pt>
                <c:pt idx="5">
                  <c:v>組一組</c:v>
                </c:pt>
                <c:pt idx="6">
                  <c:v>組二組</c:v>
                </c:pt>
                <c:pt idx="7">
                  <c:v>組三組</c:v>
                </c:pt>
                <c:pt idx="8">
                  <c:v>塗裝組</c:v>
                </c:pt>
                <c:pt idx="9">
                  <c:v>業務課</c:v>
                </c:pt>
                <c:pt idx="10">
                  <c:v>資材課</c:v>
                </c:pt>
                <c:pt idx="11">
                  <c:v>製造課</c:v>
                </c:pt>
                <c:pt idx="12">
                  <c:v>廠務部</c:v>
                </c:pt>
                <c:pt idx="13">
                  <c:v>營業部</c:v>
                </c:pt>
                <c:pt idx="14">
                  <c:v>總務課</c:v>
                </c:pt>
                <c:pt idx="15">
                  <c:v>總經理室</c:v>
                </c:pt>
              </c:strCache>
            </c:strRef>
          </c:cat>
          <c:val>
            <c:numRef>
              <c:f>等級分配表!$C$5:$C$21</c:f>
              <c:numCache>
                <c:formatCode>General</c:formatCode>
                <c:ptCount val="16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3</c:v>
                </c:pt>
                <c:pt idx="7">
                  <c:v>4</c:v>
                </c:pt>
                <c:pt idx="8">
                  <c:v>8</c:v>
                </c:pt>
                <c:pt idx="9">
                  <c:v>2</c:v>
                </c:pt>
                <c:pt idx="10">
                  <c:v>7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7-4A21-BC1F-65B7E31BB1EE}"/>
            </c:ext>
          </c:extLst>
        </c:ser>
        <c:ser>
          <c:idx val="2"/>
          <c:order val="2"/>
          <c:tx>
            <c:strRef>
              <c:f>等級分配表!$D$3:$D$4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等級分配表!$A$5:$A$21</c:f>
              <c:strCache>
                <c:ptCount val="16"/>
                <c:pt idx="0">
                  <c:v>加工組</c:v>
                </c:pt>
                <c:pt idx="1">
                  <c:v>沖床組</c:v>
                </c:pt>
                <c:pt idx="2">
                  <c:v>品保課</c:v>
                </c:pt>
                <c:pt idx="3">
                  <c:v>研發課</c:v>
                </c:pt>
                <c:pt idx="4">
                  <c:v>財務部</c:v>
                </c:pt>
                <c:pt idx="5">
                  <c:v>組一組</c:v>
                </c:pt>
                <c:pt idx="6">
                  <c:v>組二組</c:v>
                </c:pt>
                <c:pt idx="7">
                  <c:v>組三組</c:v>
                </c:pt>
                <c:pt idx="8">
                  <c:v>塗裝組</c:v>
                </c:pt>
                <c:pt idx="9">
                  <c:v>業務課</c:v>
                </c:pt>
                <c:pt idx="10">
                  <c:v>資材課</c:v>
                </c:pt>
                <c:pt idx="11">
                  <c:v>製造課</c:v>
                </c:pt>
                <c:pt idx="12">
                  <c:v>廠務部</c:v>
                </c:pt>
                <c:pt idx="13">
                  <c:v>營業部</c:v>
                </c:pt>
                <c:pt idx="14">
                  <c:v>總務課</c:v>
                </c:pt>
                <c:pt idx="15">
                  <c:v>總經理室</c:v>
                </c:pt>
              </c:strCache>
            </c:strRef>
          </c:cat>
          <c:val>
            <c:numRef>
              <c:f>等級分配表!$D$5:$D$21</c:f>
              <c:numCache>
                <c:formatCode>General</c:formatCode>
                <c:ptCount val="16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7</c:v>
                </c:pt>
                <c:pt idx="10">
                  <c:v>4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7-4A21-BC1F-65B7E31BB1EE}"/>
            </c:ext>
          </c:extLst>
        </c:ser>
        <c:ser>
          <c:idx val="3"/>
          <c:order val="3"/>
          <c:tx>
            <c:strRef>
              <c:f>等級分配表!$E$3:$E$4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等級分配表!$A$5:$A$21</c:f>
              <c:strCache>
                <c:ptCount val="16"/>
                <c:pt idx="0">
                  <c:v>加工組</c:v>
                </c:pt>
                <c:pt idx="1">
                  <c:v>沖床組</c:v>
                </c:pt>
                <c:pt idx="2">
                  <c:v>品保課</c:v>
                </c:pt>
                <c:pt idx="3">
                  <c:v>研發課</c:v>
                </c:pt>
                <c:pt idx="4">
                  <c:v>財務部</c:v>
                </c:pt>
                <c:pt idx="5">
                  <c:v>組一組</c:v>
                </c:pt>
                <c:pt idx="6">
                  <c:v>組二組</c:v>
                </c:pt>
                <c:pt idx="7">
                  <c:v>組三組</c:v>
                </c:pt>
                <c:pt idx="8">
                  <c:v>塗裝組</c:v>
                </c:pt>
                <c:pt idx="9">
                  <c:v>業務課</c:v>
                </c:pt>
                <c:pt idx="10">
                  <c:v>資材課</c:v>
                </c:pt>
                <c:pt idx="11">
                  <c:v>製造課</c:v>
                </c:pt>
                <c:pt idx="12">
                  <c:v>廠務部</c:v>
                </c:pt>
                <c:pt idx="13">
                  <c:v>營業部</c:v>
                </c:pt>
                <c:pt idx="14">
                  <c:v>總務課</c:v>
                </c:pt>
                <c:pt idx="15">
                  <c:v>總經理室</c:v>
                </c:pt>
              </c:strCache>
            </c:strRef>
          </c:cat>
          <c:val>
            <c:numRef>
              <c:f>等級分配表!$E$5:$E$21</c:f>
              <c:numCache>
                <c:formatCode>General</c:formatCode>
                <c:ptCount val="16"/>
                <c:pt idx="0">
                  <c:v>8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7-4A21-BC1F-65B7E31BB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637856"/>
        <c:axId val="463638272"/>
      </c:barChart>
      <c:catAx>
        <c:axId val="4636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3638272"/>
        <c:crosses val="autoZero"/>
        <c:auto val="1"/>
        <c:lblAlgn val="ctr"/>
        <c:lblOffset val="100"/>
        <c:noMultiLvlLbl val="0"/>
      </c:catAx>
      <c:valAx>
        <c:axId val="4636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36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200024</xdr:colOff>
      <xdr:row>2</xdr:row>
      <xdr:rowOff>6350</xdr:rowOff>
    </xdr:from>
    <xdr:to>
      <xdr:col>19</xdr:col>
      <xdr:colOff>336549</xdr:colOff>
      <xdr:row>22</xdr:row>
      <xdr:rowOff>120650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814030</xdr:colOff>
      <xdr:row>0</xdr:row>
      <xdr:rowOff>0</xdr:rowOff>
    </xdr:from>
    <xdr:to>
      <xdr:col>19</xdr:col>
      <xdr:colOff>693381</xdr:colOff>
      <xdr:row>11</xdr:row>
      <xdr:rowOff>11068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部門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24847" y="0"/>
              <a:ext cx="1830144" cy="2309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395288</xdr:colOff>
      <xdr:row>1</xdr:row>
      <xdr:rowOff>187324</xdr:rowOff>
    </xdr:from>
    <xdr:to>
      <xdr:col>15</xdr:col>
      <xdr:colOff>334963</xdr:colOff>
      <xdr:row>13</xdr:row>
      <xdr:rowOff>60321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等級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等級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61913" y="361949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456843</xdr:colOff>
      <xdr:row>0</xdr:row>
      <xdr:rowOff>47625</xdr:rowOff>
    </xdr:from>
    <xdr:to>
      <xdr:col>27</xdr:col>
      <xdr:colOff>468485</xdr:colOff>
      <xdr:row>59</xdr:row>
      <xdr:rowOff>85151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部門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門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6010" y="47625"/>
              <a:ext cx="1837267" cy="23446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  <xdr:twoCellAnchor editAs="absolute">
    <xdr:from>
      <xdr:col>42</xdr:col>
      <xdr:colOff>368828</xdr:colOff>
      <xdr:row>48</xdr:row>
      <xdr:rowOff>52387</xdr:rowOff>
    </xdr:from>
    <xdr:to>
      <xdr:col>45</xdr:col>
      <xdr:colOff>377295</xdr:colOff>
      <xdr:row>60</xdr:row>
      <xdr:rowOff>121176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等級2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等級2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71745" y="232304"/>
              <a:ext cx="1834092" cy="2375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44</xdr:col>
      <xdr:colOff>512405</xdr:colOff>
      <xdr:row>0</xdr:row>
      <xdr:rowOff>0</xdr:rowOff>
    </xdr:from>
    <xdr:to>
      <xdr:col>47</xdr:col>
      <xdr:colOff>510818</xdr:colOff>
      <xdr:row>11</xdr:row>
      <xdr:rowOff>11068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部門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門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22405" y="0"/>
              <a:ext cx="1831976" cy="2297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  <xdr:twoCellAnchor editAs="absolute">
    <xdr:from>
      <xdr:col>24</xdr:col>
      <xdr:colOff>180975</xdr:colOff>
      <xdr:row>0</xdr:row>
      <xdr:rowOff>52387</xdr:rowOff>
    </xdr:from>
    <xdr:to>
      <xdr:col>27</xdr:col>
      <xdr:colOff>176212</xdr:colOff>
      <xdr:row>11</xdr:row>
      <xdr:rowOff>100009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等級2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等級2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7225" y="52387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44</xdr:col>
      <xdr:colOff>274280</xdr:colOff>
      <xdr:row>0</xdr:row>
      <xdr:rowOff>0</xdr:rowOff>
    </xdr:from>
    <xdr:to>
      <xdr:col>47</xdr:col>
      <xdr:colOff>272693</xdr:colOff>
      <xdr:row>28</xdr:row>
      <xdr:rowOff>169818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部門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門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22405" y="0"/>
              <a:ext cx="1831976" cy="2297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935037</xdr:colOff>
      <xdr:row>0</xdr:row>
      <xdr:rowOff>52387</xdr:rowOff>
    </xdr:from>
    <xdr:to>
      <xdr:col>26</xdr:col>
      <xdr:colOff>549275</xdr:colOff>
      <xdr:row>30</xdr:row>
      <xdr:rowOff>84134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等級2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等級2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7225" y="52387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44</xdr:col>
      <xdr:colOff>512405</xdr:colOff>
      <xdr:row>0</xdr:row>
      <xdr:rowOff>0</xdr:rowOff>
    </xdr:from>
    <xdr:to>
      <xdr:col>47</xdr:col>
      <xdr:colOff>510818</xdr:colOff>
      <xdr:row>58</xdr:row>
      <xdr:rowOff>26943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部門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門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22405" y="0"/>
              <a:ext cx="1831976" cy="2297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  <xdr:twoCellAnchor editAs="absolute">
    <xdr:from>
      <xdr:col>24</xdr:col>
      <xdr:colOff>180975</xdr:colOff>
      <xdr:row>0</xdr:row>
      <xdr:rowOff>52387</xdr:rowOff>
    </xdr:from>
    <xdr:to>
      <xdr:col>27</xdr:col>
      <xdr:colOff>176212</xdr:colOff>
      <xdr:row>58</xdr:row>
      <xdr:rowOff>115884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等級2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等級2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7225" y="52387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此圖案代表表格交叉分析篩選器。Excel 或更新版本支援表格交叉分析篩選器。
如果圖案是在舊版 Excel 中修改，或如果曾以 Excel 2007 或較舊版本儲存活頁簿，便無法使用交叉分析篩選器。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41.57003761574" createdVersion="6" refreshedVersion="6" minRefreshableVersion="3" recordCount="145">
  <cacheSource type="worksheet">
    <worksheetSource ref="A1:K146" sheet="員工資料"/>
  </cacheSource>
  <cacheFields count="11">
    <cacheField name="是否建立" numFmtId="0">
      <sharedItems containsBlank="1"/>
    </cacheField>
    <cacheField name="工號" numFmtId="49">
      <sharedItems/>
    </cacheField>
    <cacheField name="姓名" numFmtId="49">
      <sharedItems/>
    </cacheField>
    <cacheField name="部門" numFmtId="49">
      <sharedItems count="17">
        <s v="業務課"/>
        <s v="塗裝組"/>
        <s v="組一組"/>
        <s v="沖床組"/>
        <s v="財務部"/>
        <s v="資材課"/>
        <s v="組二組"/>
        <s v="品保課"/>
        <s v="製造課"/>
        <s v="營業部"/>
        <s v="廠務部"/>
        <s v="組三組"/>
        <s v="研發課"/>
        <s v="加工組"/>
        <s v="董事會"/>
        <s v="總經理室"/>
        <s v="總務課"/>
      </sharedItems>
    </cacheField>
    <cacheField name="職位" numFmtId="49">
      <sharedItems/>
    </cacheField>
    <cacheField name="直接主管" numFmtId="0">
      <sharedItems containsBlank="1"/>
    </cacheField>
    <cacheField name="不包含獎懲總分" numFmtId="176">
      <sharedItems containsString="0" containsBlank="1" containsNumber="1" minValue="45.8" maxValue="87.6"/>
    </cacheField>
    <cacheField name="等級" numFmtId="0">
      <sharedItems containsBlank="1" count="7">
        <s v="C"/>
        <s v="B"/>
        <s v="E"/>
        <s v="D"/>
        <m/>
        <e v="#DIV/0!" u="1"/>
        <s v="A" u="1"/>
      </sharedItems>
    </cacheField>
    <cacheField name="全公司排名" numFmtId="0">
      <sharedItems containsBlank="1" containsMixedTypes="1" containsNumber="1" containsInteger="1" minValue="1" maxValue="134"/>
    </cacheField>
    <cacheField name="加權後總分" numFmtId="176">
      <sharedItems containsString="0" containsBlank="1" containsNumber="1" minValue="45.8" maxValue="109.61904761904762"/>
    </cacheField>
    <cacheField name="等級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41.572838194443" createdVersion="6" refreshedVersion="6" minRefreshableVersion="3" recordCount="146">
  <cacheSource type="worksheet">
    <worksheetSource ref="A1:W1048576" sheet="員工資料"/>
  </cacheSource>
  <cacheFields count="23">
    <cacheField name="是否建立" numFmtId="0">
      <sharedItems containsBlank="1"/>
    </cacheField>
    <cacheField name="工號" numFmtId="0">
      <sharedItems containsBlank="1"/>
    </cacheField>
    <cacheField name="姓名" numFmtId="0">
      <sharedItems containsBlank="1"/>
    </cacheField>
    <cacheField name="部門" numFmtId="0">
      <sharedItems containsBlank="1" count="18">
        <s v="業務課"/>
        <s v="塗裝組"/>
        <s v="組一組"/>
        <s v="沖床組"/>
        <s v="財務部"/>
        <s v="資材課"/>
        <s v="組二組"/>
        <s v="品保課"/>
        <s v="製造課"/>
        <s v="營業部"/>
        <s v="廠務部"/>
        <s v="組三組"/>
        <s v="研發課"/>
        <s v="加工組"/>
        <s v="董事會"/>
        <s v="總經理室"/>
        <s v="總務課"/>
        <m/>
      </sharedItems>
    </cacheField>
    <cacheField name="職位" numFmtId="0">
      <sharedItems containsBlank="1"/>
    </cacheField>
    <cacheField name="直接主管" numFmtId="0">
      <sharedItems containsBlank="1"/>
    </cacheField>
    <cacheField name="不包含獎懲總分" numFmtId="176">
      <sharedItems containsString="0" containsBlank="1" containsNumber="1" minValue="0" maxValue="87.6"/>
    </cacheField>
    <cacheField name="等級" numFmtId="0">
      <sharedItems containsBlank="1"/>
    </cacheField>
    <cacheField name="全公司排名" numFmtId="0">
      <sharedItems containsString="0" containsBlank="1" containsNumber="1" containsInteger="1" minValue="1" maxValue="126"/>
    </cacheField>
    <cacheField name="加權後總分" numFmtId="176">
      <sharedItems containsString="0" containsBlank="1" containsNumber="1" minValue="45.8" maxValue="109.61904761904762"/>
    </cacheField>
    <cacheField name="等級2" numFmtId="0">
      <sharedItems containsBlank="1" count="6">
        <s v="C"/>
        <s v="B"/>
        <s v="E"/>
        <s v="D"/>
        <m/>
        <s v="A"/>
      </sharedItems>
    </cacheField>
    <cacheField name="全公司排名2" numFmtId="0">
      <sharedItems containsBlank="1" containsMixedTypes="1" containsNumber="1" containsInteger="1" minValue="1" maxValue="124"/>
    </cacheField>
    <cacheField name="部內分數/初評" numFmtId="0">
      <sharedItems containsBlank="1" containsMixedTypes="1" containsNumber="1" minValue="50" maxValue="92"/>
    </cacheField>
    <cacheField name="跨部門分數" numFmtId="0">
      <sharedItems containsBlank="1" containsMixedTypes="1" containsNumber="1" minValue="58.333333333333336" maxValue="96.4"/>
    </cacheField>
    <cacheField name="主管複評" numFmtId="0">
      <sharedItems containsBlank="1" containsMixedTypes="1" containsNumber="1" minValue="37" maxValue="88"/>
    </cacheField>
    <cacheField name="嘉獎" numFmtId="0">
      <sharedItems containsString="0" containsBlank="1" containsNumber="1" containsInteger="1" minValue="1" maxValue="1"/>
    </cacheField>
    <cacheField name="小功" numFmtId="0">
      <sharedItems containsNonDate="0" containsString="0" containsBlank="1"/>
    </cacheField>
    <cacheField name="大功" numFmtId="0">
      <sharedItems containsString="0" containsBlank="1" containsNumber="1" containsInteger="1" minValue="1" maxValue="1"/>
    </cacheField>
    <cacheField name="申誡" numFmtId="0">
      <sharedItems containsString="0" containsBlank="1" containsNumber="1" containsInteger="1" minValue="1" maxValue="2"/>
    </cacheField>
    <cacheField name="小過" numFmtId="0">
      <sharedItems containsNonDate="0" containsString="0" containsBlank="1"/>
    </cacheField>
    <cacheField name="大過" numFmtId="0">
      <sharedItems containsNonDate="0" containsString="0" containsBlank="1"/>
    </cacheField>
    <cacheField name="獎懲分數" numFmtId="0">
      <sharedItems containsString="0" containsBlank="1" containsNumber="1" containsInteger="1" minValue="-10" maxValue="27"/>
    </cacheField>
    <cacheField name="加權後總分2" numFmtId="176">
      <sharedItems containsBlank="1" containsMixedTypes="1" containsNumber="1" minValue="45.8" maxValue="109.619047619047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048.47399259259" createdVersion="6" refreshedVersion="6" minRefreshableVersion="3" recordCount="146">
  <cacheSource type="worksheet">
    <worksheetSource ref="C1:K1048576" sheet="員工資料 (3)"/>
  </cacheSource>
  <cacheFields count="9">
    <cacheField name="姓名" numFmtId="0">
      <sharedItems containsBlank="1"/>
    </cacheField>
    <cacheField name="部門" numFmtId="0">
      <sharedItems containsBlank="1" count="18">
        <s v="業務課"/>
        <s v="塗裝組"/>
        <s v="組一組"/>
        <s v="沖床組"/>
        <s v="財務部"/>
        <s v="資材課"/>
        <s v="組二組"/>
        <s v="品保課"/>
        <s v="製造課"/>
        <s v="營業部"/>
        <s v="廠務部"/>
        <s v="組三組"/>
        <s v="研發課"/>
        <s v="加工組"/>
        <s v="董事會"/>
        <s v="總經理室"/>
        <s v="總務課"/>
        <m/>
      </sharedItems>
    </cacheField>
    <cacheField name="職位" numFmtId="0">
      <sharedItems containsBlank="1"/>
    </cacheField>
    <cacheField name="直接主管" numFmtId="0">
      <sharedItems containsBlank="1"/>
    </cacheField>
    <cacheField name="不包含獎懲總分" numFmtId="176">
      <sharedItems containsString="0" containsBlank="1" containsNumber="1" minValue="0" maxValue="87.6"/>
    </cacheField>
    <cacheField name="等級" numFmtId="0">
      <sharedItems containsBlank="1" count="5">
        <s v="C"/>
        <s v="B"/>
        <s v="E"/>
        <s v="D"/>
        <m/>
      </sharedItems>
    </cacheField>
    <cacheField name="全公司排名" numFmtId="0">
      <sharedItems containsString="0" containsBlank="1" containsNumber="1" containsInteger="1" minValue="1" maxValue="126"/>
    </cacheField>
    <cacheField name="加權後總分" numFmtId="176">
      <sharedItems containsString="0" containsBlank="1" containsNumber="1" minValue="45.8" maxValue="109.61904761904762"/>
    </cacheField>
    <cacheField name="等級2" numFmtId="0">
      <sharedItems containsBlank="1" count="6">
        <s v="C"/>
        <s v="B"/>
        <s v="E"/>
        <s v="D"/>
        <m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">
  <r>
    <s v="✓✓"/>
    <s v="=IFERROR(_x000a_  INDEX(員工資料!$C$2:$C$999,_x000a_    SMALL(_x000a_      IF!$I$2:$I$999=$A2,_x000a_         ROW([Sheet1]Sheet1!$I$2:$I$999)-ROW([Sheet1]Sheet1!$I$2)+1_x000a_      ),_x000a_      COUNTIF($A$2:$A2,$A2)_x000a_    )_x000a_  ),_x000a_&quot;&quot;)"/>
    <s v="鄭淑鐘"/>
    <x v="0"/>
    <s v="助理專員"/>
    <s v="伍珈彣"/>
    <n v="74.7"/>
    <x v="0"/>
    <n v="52"/>
    <n v="74.7"/>
    <s v="C"/>
  </r>
  <r>
    <s v="✓✓"/>
    <s v="2856"/>
    <s v="陳玉慧"/>
    <x v="0"/>
    <s v="業務助理"/>
    <s v="伍珈彣"/>
    <n v="77.3"/>
    <x v="0"/>
    <n v="30"/>
    <n v="77.3"/>
    <s v="C"/>
  </r>
  <r>
    <s v="✓✓"/>
    <s v="2223"/>
    <s v="伍珈彣"/>
    <x v="0"/>
    <s v="組長"/>
    <s v="鄭景文"/>
    <n v="80.285714285714292"/>
    <x v="1"/>
    <n v="25"/>
    <n v="80.285714285714292"/>
    <s v="B"/>
  </r>
  <r>
    <s v="✓"/>
    <s v="1115"/>
    <s v="賴慶燁"/>
    <x v="1"/>
    <s v="助理工程師"/>
    <s v="郭惠燕"/>
    <n v="87.6"/>
    <x v="1"/>
    <n v="1"/>
    <n v="87.6"/>
    <s v="B"/>
  </r>
  <r>
    <s v="移工"/>
    <s v="3024"/>
    <s v="那彭"/>
    <x v="1"/>
    <s v="技術員"/>
    <s v="郭惠燕"/>
    <n v="50"/>
    <x v="2"/>
    <n v="126"/>
    <n v="50"/>
    <s v="E"/>
  </r>
  <r>
    <s v="移工"/>
    <s v="2928"/>
    <s v="夏塔拉"/>
    <x v="1"/>
    <s v="技術員"/>
    <s v="郭惠燕"/>
    <n v="68.400000000000006"/>
    <x v="3"/>
    <n v="93"/>
    <n v="68.400000000000006"/>
    <s v="D"/>
  </r>
  <r>
    <s v="移工"/>
    <s v="2968"/>
    <s v="馬立泥"/>
    <x v="1"/>
    <s v="技術員"/>
    <s v="郭惠燕"/>
    <n v="63.4"/>
    <x v="3"/>
    <n v="110"/>
    <n v="63.4"/>
    <s v="D"/>
  </r>
  <r>
    <s v="移工"/>
    <s v="3002"/>
    <s v="肅坦"/>
    <x v="1"/>
    <s v="技術員"/>
    <s v="白惇維"/>
    <n v="73.199999999999989"/>
    <x v="0"/>
    <n v="65"/>
    <n v="73.199999999999989"/>
    <s v="C"/>
  </r>
  <r>
    <s v="移工"/>
    <s v="3003"/>
    <s v="百翔"/>
    <x v="1"/>
    <s v="技術員"/>
    <s v="白惇維"/>
    <n v="73.599999999999994"/>
    <x v="0"/>
    <n v="61"/>
    <n v="73.599999999999994"/>
    <s v="C"/>
  </r>
  <r>
    <s v="移工"/>
    <s v="3005"/>
    <s v="隆峽"/>
    <x v="1"/>
    <s v="技術員"/>
    <s v="郭惠燕"/>
    <n v="73.800000000000011"/>
    <x v="0"/>
    <n v="59"/>
    <n v="73.800000000000011"/>
    <s v="C"/>
  </r>
  <r>
    <s v="移工"/>
    <s v="2873"/>
    <s v="松沙"/>
    <x v="1"/>
    <s v="技術員"/>
    <s v="郭惠燕"/>
    <n v="83.8"/>
    <x v="1"/>
    <n v="5"/>
    <n v="83.8"/>
    <s v="B"/>
  </r>
  <r>
    <s v="移工"/>
    <s v="2869"/>
    <s v="宇藍南"/>
    <x v="1"/>
    <s v="技術員"/>
    <s v="周清家"/>
    <n v="62.400000000000006"/>
    <x v="3"/>
    <n v="113"/>
    <n v="62.400000000000006"/>
    <s v="D"/>
  </r>
  <r>
    <s v="移工"/>
    <s v="2909"/>
    <s v="南龍裡"/>
    <x v="1"/>
    <s v="技術員"/>
    <s v="郭惠燕"/>
    <n v="69.2"/>
    <x v="3"/>
    <n v="87"/>
    <n v="69.2"/>
    <s v="D"/>
  </r>
  <r>
    <s v="移工"/>
    <s v="2910"/>
    <s v="南天鵬"/>
    <x v="1"/>
    <s v="技術員"/>
    <s v="周清家"/>
    <n v="67.8"/>
    <x v="3"/>
    <n v="95"/>
    <n v="67.8"/>
    <s v="D"/>
  </r>
  <r>
    <s v="移工"/>
    <s v="2776"/>
    <s v="陳俊智"/>
    <x v="1"/>
    <s v="技術員"/>
    <s v="郭惠燕"/>
    <n v="77"/>
    <x v="0"/>
    <n v="33"/>
    <n v="77"/>
    <s v="C"/>
  </r>
  <r>
    <s v="移工"/>
    <s v="2832"/>
    <s v="阿迪朋"/>
    <x v="1"/>
    <s v="技術員"/>
    <s v="陳佳安"/>
    <n v="70.599999999999994"/>
    <x v="0"/>
    <n v="84"/>
    <n v="70.599999999999994"/>
    <s v="C"/>
  </r>
  <r>
    <s v="移工"/>
    <s v="2834"/>
    <s v="阿沙文"/>
    <x v="1"/>
    <s v="技術員"/>
    <s v="郭惠燕"/>
    <n v="62.8"/>
    <x v="3"/>
    <n v="112"/>
    <n v="62.8"/>
    <s v="D"/>
  </r>
  <r>
    <s v="移工"/>
    <s v="2844"/>
    <s v="阿凱"/>
    <x v="1"/>
    <s v="技術員"/>
    <s v="郭惠燕"/>
    <n v="59.8"/>
    <x v="2"/>
    <n v="118"/>
    <n v="59.8"/>
    <s v="E"/>
  </r>
  <r>
    <s v="✓"/>
    <s v="1713"/>
    <s v="周安琪"/>
    <x v="1"/>
    <s v="班長"/>
    <s v="郭惠燕"/>
    <n v="68.566666666666663"/>
    <x v="3"/>
    <n v="92"/>
    <n v="68.566666666666663"/>
    <s v="D"/>
  </r>
  <r>
    <s v="外配"/>
    <s v="2546"/>
    <s v="黃氏金莉"/>
    <x v="1"/>
    <s v="技術員"/>
    <s v="郭惠燕"/>
    <n v="74.400000000000006"/>
    <x v="0"/>
    <n v="55"/>
    <n v="74.400000000000006"/>
    <s v="C"/>
  </r>
  <r>
    <s v="移工"/>
    <s v="2589"/>
    <s v="威耐"/>
    <x v="1"/>
    <s v="班長"/>
    <s v="郭惠燕"/>
    <n v="73.275000000000006"/>
    <x v="0"/>
    <n v="63"/>
    <n v="73.275000000000006"/>
    <s v="C"/>
  </r>
  <r>
    <s v="✓"/>
    <s v="1101"/>
    <s v="郭惠燕"/>
    <x v="1"/>
    <s v="組長"/>
    <s v="周清家"/>
    <n v="72.8"/>
    <x v="0"/>
    <n v="69"/>
    <n v="75.8"/>
    <s v="C"/>
  </r>
  <r>
    <s v="現場"/>
    <s v="2056"/>
    <s v="陳世傑"/>
    <x v="1"/>
    <s v="技術員"/>
    <s v="郭惠燕"/>
    <n v="55.8"/>
    <x v="2"/>
    <n v="120"/>
    <n v="55.8"/>
    <s v="E"/>
  </r>
  <r>
    <s v="外配"/>
    <s v="2258"/>
    <s v="連維敏"/>
    <x v="2"/>
    <s v="技術員"/>
    <s v="陳佳安"/>
    <n v="74.2"/>
    <x v="0"/>
    <n v="56"/>
    <n v="74.2"/>
    <s v="C"/>
  </r>
  <r>
    <s v="現場"/>
    <s v="1799"/>
    <s v="朱淑君"/>
    <x v="2"/>
    <s v="技術員"/>
    <s v="陳怡珊"/>
    <n v="76.800000000000011"/>
    <x v="0"/>
    <n v="37"/>
    <n v="76.800000000000011"/>
    <s v="C"/>
  </r>
  <r>
    <s v="現場"/>
    <s v="2565"/>
    <s v="呂雅秀"/>
    <x v="2"/>
    <s v="技術員"/>
    <s v="陳佳安"/>
    <n v="63.599999999999994"/>
    <x v="3"/>
    <n v="109"/>
    <n v="63.599999999999994"/>
    <s v="D"/>
  </r>
  <r>
    <s v="移工"/>
    <s v="2418"/>
    <s v="松甲"/>
    <x v="2"/>
    <s v="技術員"/>
    <s v="陳佳安"/>
    <n v="82.8"/>
    <x v="1"/>
    <n v="9"/>
    <n v="82.8"/>
    <s v="B"/>
  </r>
  <r>
    <s v="現場"/>
    <s v="2226"/>
    <s v="陳意琛"/>
    <x v="2"/>
    <s v="技術員"/>
    <s v="陳佳安"/>
    <n v="74.199999999999989"/>
    <x v="0"/>
    <n v="57"/>
    <n v="74.199999999999989"/>
    <s v="C"/>
  </r>
  <r>
    <s v="移工"/>
    <s v="2827"/>
    <s v="蘇拉岡"/>
    <x v="2"/>
    <s v="技術員"/>
    <s v="陳佳安"/>
    <n v="77.599999999999994"/>
    <x v="0"/>
    <n v="29"/>
    <n v="77.599999999999994"/>
    <s v="C"/>
  </r>
  <r>
    <s v="現場"/>
    <s v="2724"/>
    <s v="周柏杰"/>
    <x v="2"/>
    <s v="技術員"/>
    <s v="陳佳安"/>
    <n v="70.599999999999994"/>
    <x v="0"/>
    <n v="84"/>
    <n v="70.599999999999994"/>
    <s v="C"/>
  </r>
  <r>
    <s v="移工"/>
    <s v="3004"/>
    <s v="朗吾"/>
    <x v="2"/>
    <s v="技術員"/>
    <s v="陳怡珊"/>
    <n v="61.2"/>
    <x v="3"/>
    <n v="115"/>
    <n v="61.2"/>
    <s v="D"/>
  </r>
  <r>
    <s v="移工"/>
    <s v="2868"/>
    <s v="克里達"/>
    <x v="2"/>
    <s v="技術員"/>
    <s v="陳佳安"/>
    <n v="75.8"/>
    <x v="0"/>
    <n v="45"/>
    <n v="75.8"/>
    <s v="C"/>
  </r>
  <r>
    <s v="移工"/>
    <s v="2930"/>
    <s v="巴林亞"/>
    <x v="2"/>
    <s v="技術員"/>
    <s v="陳怡珊"/>
    <n v="70.8"/>
    <x v="0"/>
    <n v="83"/>
    <n v="70.8"/>
    <s v="C"/>
  </r>
  <r>
    <s v="移工"/>
    <s v="2919"/>
    <s v="及可"/>
    <x v="2"/>
    <s v="技術員"/>
    <s v="陳怡珊"/>
    <n v="68.8"/>
    <x v="3"/>
    <n v="89"/>
    <n v="68.8"/>
    <s v="D"/>
  </r>
  <r>
    <s v="移工"/>
    <s v="3029"/>
    <s v="吉沙達"/>
    <x v="2"/>
    <s v="技術員"/>
    <s v="陳怡珊"/>
    <n v="56.6"/>
    <x v="2"/>
    <n v="119"/>
    <n v="56.6"/>
    <s v="E"/>
  </r>
  <r>
    <s v="✓"/>
    <s v="2216"/>
    <s v="陳怡珊"/>
    <x v="2"/>
    <s v="副組長"/>
    <s v="楊玉鳳"/>
    <n v="76.959183673469383"/>
    <x v="0"/>
    <n v="35"/>
    <n v="76.959183673469383"/>
    <s v="C"/>
  </r>
  <r>
    <s v="現場"/>
    <s v="1547"/>
    <s v="鄭萍"/>
    <x v="3"/>
    <s v="技術員"/>
    <s v="覃麗嬋"/>
    <n v="71.599999999999994"/>
    <x v="0"/>
    <n v="79"/>
    <n v="71.599999999999994"/>
    <s v="C"/>
  </r>
  <r>
    <s v="✓"/>
    <s v="2097"/>
    <s v="覃麗嬋"/>
    <x v="3"/>
    <s v="副組長"/>
    <s v="周清家"/>
    <n v="77.061224489795933"/>
    <x v="0"/>
    <n v="32"/>
    <n v="77.061224489795933"/>
    <s v="C"/>
  </r>
  <r>
    <s v="✓"/>
    <s v="2321"/>
    <s v="李昱鋐"/>
    <x v="3"/>
    <s v="班長"/>
    <s v="覃麗嬋"/>
    <n v="75.099999999999994"/>
    <x v="0"/>
    <n v="49"/>
    <n v="75.099999999999994"/>
    <s v="C"/>
  </r>
  <r>
    <s v="現場"/>
    <s v="2964"/>
    <s v="蘇英輝"/>
    <x v="3"/>
    <s v="技術員"/>
    <s v="白惇維"/>
    <n v="61.8"/>
    <x v="3"/>
    <n v="114"/>
    <n v="61.8"/>
    <s v="D"/>
  </r>
  <r>
    <s v="移工"/>
    <s v="2835"/>
    <s v="阿塘"/>
    <x v="3"/>
    <s v="技術員"/>
    <s v="覃麗嬋"/>
    <n v="72.599999999999994"/>
    <x v="0"/>
    <n v="73"/>
    <n v="72.599999999999994"/>
    <s v="C"/>
  </r>
  <r>
    <s v="現場"/>
    <s v="2404"/>
    <s v="陳奕廷"/>
    <x v="3"/>
    <s v="技術員"/>
    <s v="覃麗嬋"/>
    <n v="76"/>
    <x v="0"/>
    <n v="41"/>
    <n v="76"/>
    <s v="C"/>
  </r>
  <r>
    <s v="✓✓"/>
    <s v="3009"/>
    <s v="王美婷"/>
    <x v="4"/>
    <s v="會計人員"/>
    <s v="陳佳倫"/>
    <n v="80.8"/>
    <x v="1"/>
    <n v="18"/>
    <n v="80.8"/>
    <s v="B"/>
  </r>
  <r>
    <s v="✓✓"/>
    <s v="2911"/>
    <s v="孫素琴"/>
    <x v="4"/>
    <s v="會計人員"/>
    <s v="陳佳倫"/>
    <n v="84.86666666666666"/>
    <x v="1"/>
    <n v="3"/>
    <n v="84.86666666666666"/>
    <s v="B"/>
  </r>
  <r>
    <s v="✓✓"/>
    <s v="2934"/>
    <s v="陳俐秀"/>
    <x v="4"/>
    <s v="課長"/>
    <s v="陳佳倫"/>
    <n v="76"/>
    <x v="0"/>
    <n v="41"/>
    <n v="76"/>
    <s v="C"/>
  </r>
  <r>
    <s v="✓✓"/>
    <s v="2938"/>
    <s v="陳燕華"/>
    <x v="4"/>
    <s v="會計人員"/>
    <s v="陳佳倫"/>
    <n v="74.733333333333334"/>
    <x v="0"/>
    <n v="51"/>
    <n v="74.733333333333334"/>
    <s v="C"/>
  </r>
  <r>
    <s v="新人"/>
    <s v="3008"/>
    <s v="于宗訓"/>
    <x v="4"/>
    <s v="會計人員"/>
    <s v="陳俐秀"/>
    <m/>
    <x v="2"/>
    <e v="#N/A"/>
    <m/>
    <m/>
  </r>
  <r>
    <s v="✓✓"/>
    <s v="3011"/>
    <s v="尤(禾云)棠"/>
    <x v="5"/>
    <s v="採購助理"/>
    <s v="王秀雯"/>
    <n v="72.2"/>
    <x v="0"/>
    <n v="76"/>
    <n v="72.2"/>
    <s v="C"/>
  </r>
  <r>
    <s v="外配"/>
    <s v="2954"/>
    <s v="傅文成"/>
    <x v="5"/>
    <s v="技術員"/>
    <s v="白惇維"/>
    <n v="60.833333333333329"/>
    <x v="3"/>
    <n v="116"/>
    <n v="60.833333333333329"/>
    <s v="D"/>
  </r>
  <r>
    <s v="✓✓"/>
    <s v="2947"/>
    <s v="羅文彥"/>
    <x v="5"/>
    <s v="堆高機員"/>
    <s v="王秀雯"/>
    <n v="71.875"/>
    <x v="0"/>
    <n v="77"/>
    <n v="71.875"/>
    <s v="C"/>
  </r>
  <r>
    <s v="✓✓"/>
    <s v="2941"/>
    <s v="郭惠婷"/>
    <x v="5"/>
    <s v="行政助理"/>
    <s v="王秀雯"/>
    <n v="72.75"/>
    <x v="0"/>
    <n v="72"/>
    <n v="72.75"/>
    <s v="C"/>
  </r>
  <r>
    <s v="新人"/>
    <s v="3032"/>
    <s v="郭乃源"/>
    <x v="5"/>
    <s v="司機"/>
    <s v="王秀雯"/>
    <m/>
    <x v="4"/>
    <m/>
    <m/>
    <m/>
  </r>
  <r>
    <s v="✓✓"/>
    <s v="0890"/>
    <s v="曾泓霖"/>
    <x v="5"/>
    <s v="組長"/>
    <s v="陳佳倫"/>
    <n v="74.612244897959187"/>
    <x v="0"/>
    <n v="53"/>
    <n v="68.612244897959187"/>
    <s v="D"/>
  </r>
  <r>
    <s v="✓✓"/>
    <s v="2091"/>
    <s v="陳惠萍"/>
    <x v="5"/>
    <s v="組長"/>
    <s v="王秀雯"/>
    <n v="80.693877551020421"/>
    <x v="1"/>
    <n v="20"/>
    <n v="80.693877551020421"/>
    <s v="B"/>
  </r>
  <r>
    <s v="✓✓"/>
    <s v="0193"/>
    <s v="石容瑄"/>
    <x v="5"/>
    <s v="助理專員"/>
    <s v="王秀雯"/>
    <n v="80.938775510204081"/>
    <x v="1"/>
    <n v="17"/>
    <n v="80.938775510204081"/>
    <s v="B"/>
  </r>
  <r>
    <s v="不在職"/>
    <s v="2521"/>
    <s v="潘佩君"/>
    <x v="5"/>
    <s v="班長"/>
    <s v="陳惠萍"/>
    <m/>
    <x v="4"/>
    <m/>
    <m/>
    <m/>
  </r>
  <r>
    <s v="✓✓"/>
    <s v="2057"/>
    <s v="王秀雯"/>
    <x v="5"/>
    <s v="副課長"/>
    <s v="鄭景文"/>
    <n v="81.349999999999994"/>
    <x v="1"/>
    <n v="14"/>
    <n v="81.349999999999994"/>
    <s v="B"/>
  </r>
  <r>
    <s v="✓✓"/>
    <s v="2798"/>
    <s v="陳巧倫"/>
    <x v="5"/>
    <s v="助理"/>
    <s v="王秀雯"/>
    <n v="64.599999999999994"/>
    <x v="3"/>
    <n v="107"/>
    <n v="64.599999999999994"/>
    <s v="D"/>
  </r>
  <r>
    <s v="✓✓"/>
    <s v="2664"/>
    <s v="楊心恬"/>
    <x v="5"/>
    <s v="技術員"/>
    <s v="王秀雯"/>
    <n v="73.175000000000011"/>
    <x v="0"/>
    <n v="66"/>
    <n v="73.175000000000011"/>
    <s v="C"/>
  </r>
  <r>
    <s v="✓✓"/>
    <s v="2706"/>
    <s v="林德和"/>
    <x v="5"/>
    <s v="技術員"/>
    <s v="王秀雯"/>
    <n v="69.525000000000006"/>
    <x v="3"/>
    <n v="86"/>
    <n v="69.525000000000006"/>
    <s v="D"/>
  </r>
  <r>
    <s v="✓✓"/>
    <s v="1861"/>
    <s v="戴曜瑋"/>
    <x v="5"/>
    <s v="技術員"/>
    <s v="王秀雯"/>
    <n v="70.849999999999994"/>
    <x v="0"/>
    <n v="82"/>
    <n v="64.849999999999994"/>
    <s v="D"/>
  </r>
  <r>
    <s v="移工"/>
    <s v="2200"/>
    <s v="清馬拉"/>
    <x v="5"/>
    <s v="技術員"/>
    <s v="王秀雯"/>
    <n v="66.677777777777777"/>
    <x v="3"/>
    <n v="99"/>
    <n v="63.677777777777777"/>
    <s v="D"/>
  </r>
  <r>
    <s v="✓✓"/>
    <s v="2548"/>
    <s v="尤念萍"/>
    <x v="5"/>
    <s v="班長"/>
    <s v="王秀雯"/>
    <n v="74.826666666666668"/>
    <x v="0"/>
    <n v="50"/>
    <n v="74.826666666666668"/>
    <s v="C"/>
  </r>
  <r>
    <s v="✓✓"/>
    <s v="2564"/>
    <s v="陳孟怡"/>
    <x v="5"/>
    <s v="助理"/>
    <s v="陳惠萍"/>
    <n v="80.5"/>
    <x v="1"/>
    <n v="22"/>
    <n v="80.5"/>
    <s v="B"/>
  </r>
  <r>
    <s v="移工"/>
    <s v="1172"/>
    <s v="吉實達"/>
    <x v="6"/>
    <s v="組長"/>
    <s v="楊玉鳳"/>
    <n v="80.732142857142861"/>
    <x v="1"/>
    <n v="19"/>
    <n v="80.732142857142861"/>
    <s v="B"/>
  </r>
  <r>
    <s v="現場"/>
    <s v="2309"/>
    <s v="潘盈蓁"/>
    <x v="6"/>
    <s v="技術員"/>
    <s v="楊玉鳳"/>
    <n v="71"/>
    <x v="0"/>
    <n v="80"/>
    <n v="71"/>
    <s v="C"/>
  </r>
  <r>
    <s v="✓"/>
    <s v="2699"/>
    <s v="紀佩欣"/>
    <x v="6"/>
    <s v="副組長"/>
    <s v="楊玉鳳"/>
    <n v="80"/>
    <x v="1"/>
    <n v="28"/>
    <n v="80"/>
    <s v="B"/>
  </r>
  <r>
    <s v="移工"/>
    <s v="2849"/>
    <s v="崇南"/>
    <x v="6"/>
    <s v="技術員"/>
    <s v="紀佩欣"/>
    <n v="66.599999999999994"/>
    <x v="3"/>
    <n v="100"/>
    <n v="66.599999999999994"/>
    <s v="D"/>
  </r>
  <r>
    <s v="移工"/>
    <s v="2850"/>
    <s v="邦迪"/>
    <x v="6"/>
    <s v="技術員"/>
    <s v="楊玉鳳"/>
    <n v="65.599999999999994"/>
    <x v="3"/>
    <n v="104"/>
    <n v="65.599999999999994"/>
    <s v="D"/>
  </r>
  <r>
    <s v="移工"/>
    <s v="2870"/>
    <s v="姜威藍"/>
    <x v="6"/>
    <s v="技術員"/>
    <s v="周清家"/>
    <n v="68.8"/>
    <x v="3"/>
    <n v="89"/>
    <n v="68.8"/>
    <s v="D"/>
  </r>
  <r>
    <s v="移工"/>
    <s v="2896"/>
    <s v="郭藍林"/>
    <x v="6"/>
    <s v="技術員"/>
    <s v="紀佩欣"/>
    <n v="68.8"/>
    <x v="3"/>
    <n v="89"/>
    <n v="68.8"/>
    <s v="D"/>
  </r>
  <r>
    <s v="移工"/>
    <s v="2866"/>
    <s v="吳拉查"/>
    <x v="6"/>
    <s v="技術員"/>
    <s v="楊玉鳳"/>
    <n v="76.400000000000006"/>
    <x v="0"/>
    <n v="39"/>
    <n v="76.400000000000006"/>
    <s v="C"/>
  </r>
  <r>
    <s v="移工"/>
    <s v="1648"/>
    <s v="陳凱"/>
    <x v="6"/>
    <s v="技術員"/>
    <s v="楊玉鳳"/>
    <n v="75.599999999999994"/>
    <x v="0"/>
    <n v="47"/>
    <n v="75.599999999999994"/>
    <s v="C"/>
  </r>
  <r>
    <s v="移工"/>
    <s v="3030"/>
    <s v="查朋(新)"/>
    <x v="6"/>
    <s v="技術員"/>
    <s v="紀佩欣"/>
    <n v="46"/>
    <x v="2"/>
    <n v="133"/>
    <n v="46"/>
    <s v="E"/>
  </r>
  <r>
    <s v="移工"/>
    <s v="3031"/>
    <s v="提拉瓦(新)"/>
    <x v="6"/>
    <s v="技術員"/>
    <s v="紀佩欣"/>
    <n v="47.400000000000006"/>
    <x v="2"/>
    <n v="132"/>
    <n v="47.400000000000006"/>
    <s v="E"/>
  </r>
  <r>
    <s v="移工"/>
    <s v="3019"/>
    <s v="薩財(新)"/>
    <x v="6"/>
    <s v="技術員"/>
    <s v="紀佩欣"/>
    <n v="51"/>
    <x v="2"/>
    <n v="125"/>
    <n v="51"/>
    <s v="E"/>
  </r>
  <r>
    <s v="移工"/>
    <s v="3006"/>
    <s v="三理(新)"/>
    <x v="6"/>
    <s v="技術員"/>
    <s v="紀佩欣"/>
    <n v="65.599999999999994"/>
    <x v="3"/>
    <n v="104"/>
    <n v="65.599999999999994"/>
    <s v="D"/>
  </r>
  <r>
    <s v="✓✓"/>
    <s v="3012"/>
    <s v="林依婷"/>
    <x v="7"/>
    <s v="品檢員"/>
    <s v="朱冠瑋"/>
    <n v="72.433333333333337"/>
    <x v="0"/>
    <n v="75"/>
    <n v="72.433333333333337"/>
    <s v="C"/>
  </r>
  <r>
    <s v="✓✓"/>
    <s v="2984"/>
    <s v="朱冠瑋"/>
    <x v="7"/>
    <s v="課長"/>
    <s v="陳佳倫"/>
    <n v="80.957142857142856"/>
    <x v="1"/>
    <n v="16"/>
    <n v="80.957142857142856"/>
    <s v="B"/>
  </r>
  <r>
    <s v="✓✓"/>
    <s v="0012"/>
    <s v="周清家"/>
    <x v="7"/>
    <s v="專員"/>
    <s v="朱冠瑋"/>
    <n v="63.716666666666654"/>
    <x v="3"/>
    <n v="108"/>
    <n v="63.716666666666654"/>
    <s v="D"/>
  </r>
  <r>
    <s v="✓✓"/>
    <s v="2334"/>
    <s v="詹郁瑛"/>
    <x v="7"/>
    <s v="技術員"/>
    <s v="李富崑"/>
    <n v="76.816666666666663"/>
    <x v="0"/>
    <n v="36"/>
    <n v="76.816666666666663"/>
    <s v="C"/>
  </r>
  <r>
    <s v="✓✓"/>
    <s v="0497"/>
    <s v="龔淑屏"/>
    <x v="8"/>
    <s v="課長"/>
    <s v="陳佳倫"/>
    <n v="82.8"/>
    <x v="1"/>
    <n v="9"/>
    <n v="85.8"/>
    <s v="B"/>
  </r>
  <r>
    <s v="✓✓"/>
    <s v="0855"/>
    <s v="楊玉鳳"/>
    <x v="8"/>
    <s v="副課長"/>
    <s v="周清家"/>
    <n v="75.849999999999994"/>
    <x v="0"/>
    <n v="44"/>
    <n v="75.849999999999994"/>
    <s v="C"/>
  </r>
  <r>
    <s v="✓✓"/>
    <s v="2915"/>
    <s v="鍾欣芳"/>
    <x v="8"/>
    <s v="助理"/>
    <s v="龔淑屏"/>
    <n v="81.058333333333337"/>
    <x v="1"/>
    <n v="15"/>
    <n v="81.058333333333337"/>
    <s v="B"/>
  </r>
  <r>
    <s v="✓✓"/>
    <s v="0632"/>
    <s v="劉祐誠"/>
    <x v="9"/>
    <s v="經理"/>
    <s v="鄭景文"/>
    <n v="71.8"/>
    <x v="0"/>
    <n v="78"/>
    <n v="74.8"/>
    <s v="C"/>
  </r>
  <r>
    <s v="✓✓"/>
    <s v="2942"/>
    <s v="黃士咸"/>
    <x v="10"/>
    <s v="工程師"/>
    <s v="劉祐誠"/>
    <n v="80.400000000000006"/>
    <x v="1"/>
    <n v="24"/>
    <n v="80.400000000000006"/>
    <s v="B"/>
  </r>
  <r>
    <s v="✓✓"/>
    <s v="2817"/>
    <s v="曾夷璋"/>
    <x v="10"/>
    <s v="工程師"/>
    <s v="白惇維"/>
    <n v="72.900000000000006"/>
    <x v="0"/>
    <n v="68"/>
    <n v="75.900000000000006"/>
    <s v="C"/>
  </r>
  <r>
    <s v="✓"/>
    <s v="2823"/>
    <s v="王舒瑩"/>
    <x v="11"/>
    <s v="班長"/>
    <s v="余美玉"/>
    <n v="80.416666666666657"/>
    <x v="1"/>
    <n v="23"/>
    <n v="80.416666666666657"/>
    <s v="B"/>
  </r>
  <r>
    <s v="現場"/>
    <s v="2707"/>
    <s v="蔡麗娟"/>
    <x v="11"/>
    <s v="技術員"/>
    <s v="陳怡珊"/>
    <n v="76.400000000000006"/>
    <x v="0"/>
    <n v="39"/>
    <n v="76.400000000000006"/>
    <s v="C"/>
  </r>
  <r>
    <s v="現場"/>
    <s v="2264"/>
    <s v="梁美麗"/>
    <x v="11"/>
    <s v="技術員"/>
    <s v="陳怡珊"/>
    <n v="81.400000000000006"/>
    <x v="1"/>
    <n v="13"/>
    <n v="81.400000000000006"/>
    <s v="B"/>
  </r>
  <r>
    <s v="現場"/>
    <s v="1847"/>
    <s v="郭韋霆"/>
    <x v="11"/>
    <s v="技術員"/>
    <s v="陳怡珊"/>
    <n v="80.199999999999989"/>
    <x v="1"/>
    <n v="26"/>
    <n v="80.199999999999989"/>
    <s v="B"/>
  </r>
  <r>
    <s v="現場"/>
    <s v="2220"/>
    <s v="莊慈君"/>
    <x v="11"/>
    <s v="技術員"/>
    <s v="陳怡珊"/>
    <n v="72.8"/>
    <x v="0"/>
    <n v="69"/>
    <n v="72.8"/>
    <s v="C"/>
  </r>
  <r>
    <s v="現場"/>
    <s v="1874"/>
    <s v="林綉玲"/>
    <x v="11"/>
    <s v="技術員"/>
    <s v="陳怡珊"/>
    <n v="74.599999999999994"/>
    <x v="0"/>
    <n v="54"/>
    <n v="74.599999999999994"/>
    <s v="C"/>
  </r>
  <r>
    <s v="現場"/>
    <s v="2012"/>
    <s v="馬程鳳"/>
    <x v="11"/>
    <s v="技術員"/>
    <s v="郭惠燕"/>
    <n v="66"/>
    <x v="3"/>
    <n v="102"/>
    <n v="66"/>
    <s v="D"/>
  </r>
  <r>
    <s v="現場"/>
    <s v="2996"/>
    <s v="甘麗婷(離)"/>
    <x v="11"/>
    <s v="技術員"/>
    <s v="白惇維"/>
    <m/>
    <x v="2"/>
    <m/>
    <m/>
    <m/>
  </r>
  <r>
    <s v="現場"/>
    <s v="3000"/>
    <s v="拉桑"/>
    <x v="11"/>
    <s v="技術員"/>
    <s v="林逸宸"/>
    <n v="49"/>
    <x v="2"/>
    <n v="129"/>
    <n v="49"/>
    <s v="E"/>
  </r>
  <r>
    <s v="現場"/>
    <s v="1834"/>
    <s v="阮美和"/>
    <x v="11"/>
    <s v="技術員"/>
    <s v="陳怡珊"/>
    <n v="77"/>
    <x v="0"/>
    <n v="33"/>
    <n v="77"/>
    <s v="C"/>
  </r>
  <r>
    <s v="現場"/>
    <s v="3023"/>
    <s v="拉匹潘"/>
    <x v="11"/>
    <s v="技術員"/>
    <s v="白惇維"/>
    <n v="48.400000000000006"/>
    <x v="2"/>
    <n v="130"/>
    <n v="48.400000000000006"/>
    <s v="E"/>
  </r>
  <r>
    <s v="現場"/>
    <s v="3027"/>
    <s v="阿匹雷"/>
    <x v="11"/>
    <s v="技術員"/>
    <s v="楊玉鳳"/>
    <n v="45.8"/>
    <x v="2"/>
    <n v="134"/>
    <n v="45.8"/>
    <s v="E"/>
  </r>
  <r>
    <s v="✓✓"/>
    <s v="2413"/>
    <s v="王柳琦"/>
    <x v="12"/>
    <s v="工程師"/>
    <s v="劉祐誠"/>
    <n v="82.2"/>
    <x v="1"/>
    <n v="12"/>
    <n v="82.2"/>
    <s v="B"/>
  </r>
  <r>
    <s v="離職"/>
    <s v="2906"/>
    <s v="黃繼億"/>
    <x v="12"/>
    <s v="工程師"/>
    <s v="劉祐誠"/>
    <m/>
    <x v="2"/>
    <e v="#N/A"/>
    <m/>
    <m/>
  </r>
  <r>
    <s v="✓✓"/>
    <s v="2270"/>
    <s v="徐惠蘭"/>
    <x v="12"/>
    <s v="助理"/>
    <s v="劉祐誠"/>
    <n v="80.109090909090895"/>
    <x v="1"/>
    <n v="27"/>
    <n v="80.109090909090895"/>
    <s v="B"/>
  </r>
  <r>
    <s v="✓✓"/>
    <s v="1232"/>
    <s v="白惇維"/>
    <x v="12"/>
    <s v="課長"/>
    <s v="鄭景文"/>
    <n v="75.7"/>
    <x v="0"/>
    <n v="46"/>
    <n v="75.7"/>
    <s v="C"/>
  </r>
  <r>
    <s v="移工"/>
    <s v="2173"/>
    <s v="沙洋"/>
    <x v="12"/>
    <s v="技術員"/>
    <s v="劉祐誠"/>
    <n v="72.474999999999994"/>
    <x v="0"/>
    <n v="74"/>
    <n v="72.474999999999994"/>
    <s v="C"/>
  </r>
  <r>
    <s v="現場"/>
    <s v="2186"/>
    <s v="孫培娜"/>
    <x v="13"/>
    <s v="技術員"/>
    <s v="周清家"/>
    <n v="73"/>
    <x v="0"/>
    <n v="67"/>
    <n v="73"/>
    <s v="C"/>
  </r>
  <r>
    <s v="現場"/>
    <s v="2582"/>
    <s v="張政芳"/>
    <x v="13"/>
    <s v="技術員"/>
    <s v="周清家"/>
    <n v="67"/>
    <x v="3"/>
    <n v="97"/>
    <n v="67"/>
    <s v="D"/>
  </r>
  <r>
    <s v="現場"/>
    <s v="2588"/>
    <s v="瓦山"/>
    <x v="13"/>
    <s v="技術員"/>
    <s v="周清家"/>
    <n v="68.199999999999989"/>
    <x v="3"/>
    <n v="94"/>
    <n v="68.199999999999989"/>
    <s v="D"/>
  </r>
  <r>
    <s v="現場"/>
    <s v="3007"/>
    <s v="沙空"/>
    <x v="13"/>
    <s v="班長"/>
    <s v="白惇維"/>
    <n v="84.8"/>
    <x v="1"/>
    <n v="4"/>
    <n v="84.8"/>
    <s v="B"/>
  </r>
  <r>
    <s v="現場"/>
    <s v="2429"/>
    <s v="潘其龍"/>
    <x v="13"/>
    <s v="技術員"/>
    <s v="周清家"/>
    <n v="63.2"/>
    <x v="3"/>
    <n v="111"/>
    <n v="63.2"/>
    <s v="D"/>
  </r>
  <r>
    <s v="現場"/>
    <s v="2481"/>
    <s v="俗吉"/>
    <x v="13"/>
    <s v="技術員"/>
    <s v="周清家"/>
    <n v="76"/>
    <x v="0"/>
    <n v="41"/>
    <n v="76"/>
    <s v="C"/>
  </r>
  <r>
    <s v="現場"/>
    <s v="2685"/>
    <s v="蘇華姑"/>
    <x v="13"/>
    <s v="技術員"/>
    <s v="周清家"/>
    <n v="75.199999999999989"/>
    <x v="0"/>
    <n v="48"/>
    <n v="75.199999999999989"/>
    <s v="C"/>
  </r>
  <r>
    <s v="現場"/>
    <s v="2802"/>
    <s v="阮祝玲"/>
    <x v="13"/>
    <s v="技術員"/>
    <s v="周清家"/>
    <n v="87.2"/>
    <x v="1"/>
    <n v="2"/>
    <n v="87.2"/>
    <s v="B"/>
  </r>
  <r>
    <s v="現場"/>
    <s v="2830"/>
    <s v="磊瓦"/>
    <x v="13"/>
    <s v="技術員"/>
    <s v="周清家"/>
    <n v="80.599999999999994"/>
    <x v="1"/>
    <n v="21"/>
    <n v="80.599999999999994"/>
    <s v="B"/>
  </r>
  <r>
    <s v="現場"/>
    <s v="2833"/>
    <s v="蘇拉碟"/>
    <x v="13"/>
    <s v="技術員"/>
    <s v="周清家"/>
    <n v="83.6"/>
    <x v="1"/>
    <n v="7"/>
    <n v="83.6"/>
    <s v="B"/>
  </r>
  <r>
    <s v="現場"/>
    <s v="2917"/>
    <s v="郭均惠(調組)"/>
    <x v="13"/>
    <s v="技術員"/>
    <s v="紀佩欣"/>
    <n v="51.2"/>
    <x v="2"/>
    <n v="124"/>
    <n v="51.2"/>
    <s v="E"/>
  </r>
  <r>
    <s v="現場"/>
    <s v="1817"/>
    <s v="林氏美"/>
    <x v="13"/>
    <s v="技術員"/>
    <s v="周清家"/>
    <n v="73.2"/>
    <x v="0"/>
    <n v="64"/>
    <n v="73.2"/>
    <s v="C"/>
  </r>
  <r>
    <s v="現場"/>
    <s v="2867"/>
    <s v="宋善蓬"/>
    <x v="13"/>
    <s v="技術員"/>
    <s v="周清家"/>
    <n v="74"/>
    <x v="0"/>
    <n v="58"/>
    <n v="74"/>
    <s v="C"/>
  </r>
  <r>
    <s v="現場"/>
    <s v="2884"/>
    <s v="張舒涵"/>
    <x v="13"/>
    <s v="儲備幹部"/>
    <s v="周清家"/>
    <n v="83.8"/>
    <x v="1"/>
    <n v="5"/>
    <n v="83.8"/>
    <s v="B"/>
  </r>
  <r>
    <s v="現場"/>
    <s v="2887"/>
    <s v="王茲鈴(調組)"/>
    <x v="13"/>
    <s v="技術員"/>
    <s v="余美玉"/>
    <n v="45.8"/>
    <x v="2"/>
    <n v="134"/>
    <n v="45.8"/>
    <s v="E"/>
  </r>
  <r>
    <s v="現場"/>
    <s v="2893"/>
    <s v="趙秋賢"/>
    <x v="13"/>
    <s v="技術員"/>
    <s v="周清家"/>
    <n v="71"/>
    <x v="0"/>
    <n v="80"/>
    <n v="71"/>
    <s v="C"/>
  </r>
  <r>
    <s v="現場"/>
    <s v="2927"/>
    <s v="巴查"/>
    <x v="13"/>
    <s v="技術員"/>
    <s v="紀佩欣"/>
    <n v="67"/>
    <x v="3"/>
    <n v="97"/>
    <n v="67"/>
    <s v="D"/>
  </r>
  <r>
    <s v="現場"/>
    <s v="2931"/>
    <s v="偉昌"/>
    <x v="13"/>
    <s v="技術員"/>
    <s v="龔淑屏"/>
    <n v="66"/>
    <x v="3"/>
    <n v="102"/>
    <n v="66"/>
    <s v="D"/>
  </r>
  <r>
    <s v="現場"/>
    <s v="2932"/>
    <s v="努瓦"/>
    <x v="13"/>
    <s v="技術員"/>
    <s v="龔淑屏"/>
    <n v="60.6"/>
    <x v="3"/>
    <n v="117"/>
    <n v="60.6"/>
    <s v="D"/>
  </r>
  <r>
    <s v="現場"/>
    <s v="2944"/>
    <s v="潘嵐狄"/>
    <x v="13"/>
    <s v="技術員"/>
    <s v="白惇維"/>
    <n v="76.8"/>
    <x v="0"/>
    <n v="38"/>
    <n v="76.8"/>
    <s v="C"/>
  </r>
  <r>
    <s v="現場"/>
    <s v="3001"/>
    <s v="那孔(新)"/>
    <x v="13"/>
    <s v="技術員"/>
    <s v="林逸宸"/>
    <n v="48"/>
    <x v="2"/>
    <n v="131"/>
    <n v="48"/>
    <s v="E"/>
  </r>
  <r>
    <s v="現場"/>
    <s v="2993"/>
    <s v="沈怡婷"/>
    <x v="13"/>
    <s v="技術員"/>
    <s v="白惇維"/>
    <n v="67.8"/>
    <x v="3"/>
    <n v="95"/>
    <n v="67.8"/>
    <s v="D"/>
  </r>
  <r>
    <s v="現場"/>
    <s v="3017"/>
    <s v="他那空(新)"/>
    <x v="13"/>
    <s v="技術員"/>
    <s v="白惇維"/>
    <n v="55"/>
    <x v="2"/>
    <n v="121"/>
    <n v="55"/>
    <s v="E"/>
  </r>
  <r>
    <s v="現場"/>
    <s v="3018"/>
    <s v="央南(新)"/>
    <x v="13"/>
    <s v="技術員"/>
    <s v="白惇維"/>
    <n v="54.8"/>
    <x v="2"/>
    <n v="122"/>
    <n v="54.8"/>
    <s v="E"/>
  </r>
  <r>
    <s v="現場"/>
    <s v="0857"/>
    <s v="楊瑪莉"/>
    <x v="13"/>
    <s v="技術員"/>
    <s v="周清家"/>
    <n v="83.6"/>
    <x v="1"/>
    <n v="7"/>
    <n v="83.6"/>
    <s v="B"/>
  </r>
  <r>
    <s v="現場"/>
    <s v="3028"/>
    <s v="班文(新)"/>
    <x v="13"/>
    <s v="技術員"/>
    <s v="白惇維"/>
    <n v="52.2"/>
    <x v="2"/>
    <n v="123"/>
    <n v="52.2"/>
    <s v="E"/>
  </r>
  <r>
    <s v="現場"/>
    <s v="3025"/>
    <s v="匹拉(新)"/>
    <x v="13"/>
    <s v="技術員"/>
    <s v="白惇維"/>
    <n v="50"/>
    <x v="2"/>
    <n v="126"/>
    <n v="50"/>
    <s v="E"/>
  </r>
  <r>
    <s v="現場"/>
    <s v="3026"/>
    <s v="斯立查(新)"/>
    <x v="13"/>
    <s v="技術員"/>
    <s v="白惇維"/>
    <n v="49.4"/>
    <x v="2"/>
    <n v="128"/>
    <n v="49.4"/>
    <s v="E"/>
  </r>
  <r>
    <s v="現場"/>
    <s v="2029"/>
    <s v="蔡麗花"/>
    <x v="13"/>
    <s v="技術員"/>
    <s v="周清家"/>
    <n v="72.8"/>
    <x v="0"/>
    <n v="69"/>
    <n v="72.8"/>
    <s v="C"/>
  </r>
  <r>
    <s v="現場"/>
    <s v="0835"/>
    <s v="戴全柏"/>
    <x v="13"/>
    <s v="技術員"/>
    <s v="周清家"/>
    <n v="73.8"/>
    <x v="0"/>
    <n v="60"/>
    <n v="73.8"/>
    <s v="C"/>
  </r>
  <r>
    <s v="不需"/>
    <s v="0329"/>
    <s v="鄭凱仁"/>
    <x v="14"/>
    <s v="董事長"/>
    <s v="鄭凱仁"/>
    <m/>
    <x v="4"/>
    <m/>
    <m/>
    <m/>
  </r>
  <r>
    <s v="✓✓"/>
    <s v="1415"/>
    <s v="陳佳倫"/>
    <x v="15"/>
    <s v="副總經理"/>
    <s v="鄭凱仁"/>
    <m/>
    <x v="4"/>
    <m/>
    <m/>
    <m/>
  </r>
  <r>
    <s v="✓✓"/>
    <s v="0661"/>
    <s v="鄭景文"/>
    <x v="15"/>
    <s v="總經理"/>
    <m/>
    <m/>
    <x v="4"/>
    <m/>
    <m/>
    <m/>
  </r>
  <r>
    <s v="新人"/>
    <s v="3022"/>
    <s v="李庭慧"/>
    <x v="15"/>
    <s v="秘書"/>
    <s v="陳佳倫"/>
    <m/>
    <x v="4"/>
    <m/>
    <m/>
    <m/>
  </r>
  <r>
    <s v="✓✓"/>
    <s v="2939"/>
    <s v="尹詩婷"/>
    <x v="15"/>
    <s v="秘書"/>
    <s v="陳佳倫"/>
    <n v="82.61904761904762"/>
    <x v="1"/>
    <n v="11"/>
    <n v="109.61904761904762"/>
    <s v="A"/>
  </r>
  <r>
    <s v="✓✓"/>
    <s v="2949"/>
    <s v="陳福郎"/>
    <x v="16"/>
    <s v="助理專員"/>
    <s v="張欽發"/>
    <n v="66.099999999999994"/>
    <x v="3"/>
    <n v="101"/>
    <n v="66.099999999999994"/>
    <s v="D"/>
  </r>
  <r>
    <s v="新人"/>
    <s v="3015"/>
    <s v="蘇恬幼"/>
    <x v="16"/>
    <s v="課長"/>
    <s v="陳佳倫"/>
    <m/>
    <x v="2"/>
    <e v="#N/A"/>
    <m/>
    <m/>
  </r>
  <r>
    <m/>
    <s v="2979"/>
    <s v="吳桂梅"/>
    <x v="16"/>
    <s v="清潔員"/>
    <s v="林逸宸"/>
    <n v="73.5"/>
    <x v="0"/>
    <n v="62"/>
    <n v="73.5"/>
    <s v="C"/>
  </r>
  <r>
    <s v="✓✓"/>
    <s v="0859"/>
    <s v="張欽發"/>
    <x v="16"/>
    <s v="助理專員"/>
    <s v="曾泓霖"/>
    <n v="77.125"/>
    <x v="0"/>
    <n v="31"/>
    <n v="77.125"/>
    <s v="C"/>
  </r>
  <r>
    <s v="✓✓"/>
    <s v="2645"/>
    <s v="蔡欣芸"/>
    <x v="16"/>
    <s v="助理"/>
    <s v="鄭景文"/>
    <n v="69"/>
    <x v="3"/>
    <n v="88"/>
    <n v="69"/>
    <s v="D"/>
  </r>
  <r>
    <s v="✓✓"/>
    <s v="2863"/>
    <s v="陳家祥"/>
    <x v="16"/>
    <s v="代理副課長"/>
    <s v="白惇維"/>
    <n v="64.7"/>
    <x v="3"/>
    <n v="106"/>
    <n v="67.7"/>
    <s v="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6">
  <r>
    <s v="✓✓"/>
    <s v="=IFERROR(_x000a_  INDEX(員工資料!$C$2:$C$999,_x000a_    SMALL(_x000a_      IF!$I$2:$I$999=$A2,_x000a_         ROW([Sheet1]Sheet1!$I$2:$I$999)-ROW([Sheet1]Sheet1!$I$2)+1_x000a_      ),_x000a_      COUNTIF($A$2:$A2,$A2)_x000a_    )_x000a_  ),_x000a_&quot;&quot;)"/>
    <s v="鄭淑鐘"/>
    <x v="0"/>
    <s v="助理專員"/>
    <s v="伍珈彣"/>
    <n v="74.7"/>
    <s v="C"/>
    <n v="52"/>
    <n v="74.7"/>
    <x v="0"/>
    <n v="55"/>
    <n v="79.5"/>
    <n v="74.400000000000006"/>
    <n v="72"/>
    <m/>
    <m/>
    <m/>
    <m/>
    <m/>
    <m/>
    <m/>
    <e v="#DIV/0!"/>
  </r>
  <r>
    <s v="✓✓"/>
    <s v="2856"/>
    <s v="陳玉慧"/>
    <x v="0"/>
    <s v="業務助理"/>
    <s v="伍珈彣"/>
    <n v="77.3"/>
    <s v="C"/>
    <n v="30"/>
    <n v="77.3"/>
    <x v="0"/>
    <n v="30"/>
    <n v="81"/>
    <n v="77.8"/>
    <n v="74"/>
    <m/>
    <m/>
    <m/>
    <m/>
    <m/>
    <m/>
    <m/>
    <n v="109.61904761904762"/>
  </r>
  <r>
    <s v="✓✓"/>
    <s v="2223"/>
    <s v="伍珈彣"/>
    <x v="0"/>
    <s v="組長"/>
    <s v="鄭景文"/>
    <n v="80.285714285714292"/>
    <s v="B"/>
    <n v="25"/>
    <n v="80.285714285714292"/>
    <x v="1"/>
    <n v="25"/>
    <n v="73"/>
    <n v="81.8"/>
    <m/>
    <m/>
    <m/>
    <m/>
    <m/>
    <m/>
    <m/>
    <m/>
    <n v="87.6"/>
  </r>
  <r>
    <s v="✓"/>
    <s v="1115"/>
    <s v="賴慶燁"/>
    <x v="1"/>
    <s v="助理工程師"/>
    <s v="郭惠燕"/>
    <n v="87.6"/>
    <s v="B"/>
    <n v="1"/>
    <n v="87.6"/>
    <x v="1"/>
    <n v="2"/>
    <n v="87"/>
    <m/>
    <n v="88"/>
    <m/>
    <m/>
    <m/>
    <m/>
    <m/>
    <m/>
    <m/>
    <n v="87.2"/>
  </r>
  <r>
    <s v="移工"/>
    <s v="3024"/>
    <s v="那彭"/>
    <x v="1"/>
    <s v="技術員"/>
    <s v="郭惠燕"/>
    <n v="50"/>
    <s v="E"/>
    <n v="121"/>
    <n v="50"/>
    <x v="2"/>
    <n v="121"/>
    <n v="68"/>
    <m/>
    <n v="38"/>
    <m/>
    <m/>
    <m/>
    <m/>
    <m/>
    <m/>
    <m/>
    <n v="86"/>
  </r>
  <r>
    <s v="移工"/>
    <s v="2928"/>
    <s v="夏塔拉"/>
    <x v="1"/>
    <s v="技術員"/>
    <s v="郭惠燕"/>
    <n v="68.400000000000006"/>
    <s v="D"/>
    <n v="93"/>
    <n v="68.400000000000006"/>
    <x v="3"/>
    <n v="92"/>
    <n v="72"/>
    <m/>
    <n v="66"/>
    <m/>
    <m/>
    <m/>
    <m/>
    <m/>
    <m/>
    <m/>
    <n v="85.8"/>
  </r>
  <r>
    <s v="移工"/>
    <s v="2968"/>
    <s v="馬立泥"/>
    <x v="1"/>
    <s v="技術員"/>
    <s v="郭惠燕"/>
    <n v="63.4"/>
    <s v="D"/>
    <n v="109"/>
    <n v="63.4"/>
    <x v="3"/>
    <n v="109"/>
    <n v="73"/>
    <m/>
    <n v="57"/>
    <m/>
    <m/>
    <m/>
    <m/>
    <m/>
    <m/>
    <m/>
    <n v="84.86666666666666"/>
  </r>
  <r>
    <s v="移工"/>
    <s v="3002"/>
    <s v="肅坦"/>
    <x v="1"/>
    <s v="技術員"/>
    <s v="白惇維"/>
    <n v="73.199999999999989"/>
    <s v="C"/>
    <n v="65"/>
    <n v="73.199999999999989"/>
    <x v="0"/>
    <n v="67"/>
    <n v="75"/>
    <m/>
    <n v="72"/>
    <m/>
    <m/>
    <m/>
    <m/>
    <m/>
    <m/>
    <m/>
    <n v="84.8"/>
  </r>
  <r>
    <s v="移工"/>
    <s v="3003"/>
    <s v="百翔"/>
    <x v="1"/>
    <s v="技術員"/>
    <s v="白惇維"/>
    <n v="73.599999999999994"/>
    <s v="C"/>
    <n v="61"/>
    <n v="73.599999999999994"/>
    <x v="0"/>
    <n v="63"/>
    <n v="76"/>
    <m/>
    <n v="72"/>
    <m/>
    <m/>
    <m/>
    <m/>
    <m/>
    <m/>
    <m/>
    <n v="83.8"/>
  </r>
  <r>
    <s v="移工"/>
    <s v="3005"/>
    <s v="隆峽"/>
    <x v="1"/>
    <s v="技術員"/>
    <s v="郭惠燕"/>
    <n v="73.800000000000011"/>
    <s v="C"/>
    <n v="59"/>
    <n v="73.800000000000011"/>
    <x v="0"/>
    <n v="61"/>
    <n v="78"/>
    <m/>
    <n v="71"/>
    <m/>
    <m/>
    <m/>
    <m/>
    <m/>
    <m/>
    <m/>
    <n v="83.8"/>
  </r>
  <r>
    <s v="移工"/>
    <s v="2873"/>
    <s v="松沙"/>
    <x v="1"/>
    <s v="技術員"/>
    <s v="郭惠燕"/>
    <n v="83.8"/>
    <s v="B"/>
    <n v="5"/>
    <n v="83.8"/>
    <x v="1"/>
    <n v="7"/>
    <n v="91"/>
    <m/>
    <n v="79"/>
    <m/>
    <m/>
    <m/>
    <m/>
    <m/>
    <m/>
    <m/>
    <n v="83.6"/>
  </r>
  <r>
    <s v="移工"/>
    <s v="2869"/>
    <s v="宇藍南"/>
    <x v="1"/>
    <s v="技術員"/>
    <s v="周清家"/>
    <n v="62.400000000000006"/>
    <s v="D"/>
    <n v="112"/>
    <n v="62.400000000000006"/>
    <x v="3"/>
    <n v="112"/>
    <n v="66"/>
    <m/>
    <n v="60"/>
    <m/>
    <m/>
    <m/>
    <m/>
    <m/>
    <m/>
    <m/>
    <n v="83.6"/>
  </r>
  <r>
    <s v="移工"/>
    <s v="2909"/>
    <s v="南龍裡"/>
    <x v="1"/>
    <s v="技術員"/>
    <s v="郭惠燕"/>
    <n v="69.2"/>
    <s v="D"/>
    <n v="87"/>
    <n v="69.2"/>
    <x v="3"/>
    <n v="85"/>
    <n v="77"/>
    <m/>
    <n v="64"/>
    <m/>
    <m/>
    <m/>
    <m/>
    <m/>
    <m/>
    <m/>
    <n v="82.8"/>
  </r>
  <r>
    <s v="移工"/>
    <s v="2910"/>
    <s v="南天鵬"/>
    <x v="1"/>
    <s v="技術員"/>
    <s v="周清家"/>
    <n v="67.8"/>
    <s v="D"/>
    <n v="95"/>
    <n v="67.8"/>
    <x v="3"/>
    <n v="94"/>
    <n v="75"/>
    <m/>
    <n v="63"/>
    <m/>
    <m/>
    <m/>
    <m/>
    <m/>
    <m/>
    <m/>
    <n v="82.2"/>
  </r>
  <r>
    <s v="移工"/>
    <s v="2776"/>
    <s v="陳俊智"/>
    <x v="1"/>
    <s v="技術員"/>
    <s v="郭惠燕"/>
    <n v="77"/>
    <s v="C"/>
    <n v="33"/>
    <n v="77"/>
    <x v="0"/>
    <n v="33"/>
    <n v="83"/>
    <m/>
    <n v="73"/>
    <m/>
    <m/>
    <m/>
    <m/>
    <m/>
    <m/>
    <m/>
    <n v="81.400000000000006"/>
  </r>
  <r>
    <s v="移工"/>
    <s v="2832"/>
    <s v="阿迪朋"/>
    <x v="1"/>
    <s v="技術員"/>
    <s v="陳佳安"/>
    <n v="70.599999999999994"/>
    <s v="C"/>
    <n v="84"/>
    <n v="70.599999999999994"/>
    <x v="0"/>
    <n v="82"/>
    <n v="79"/>
    <m/>
    <n v="65"/>
    <m/>
    <m/>
    <m/>
    <m/>
    <m/>
    <m/>
    <m/>
    <n v="81.349999999999994"/>
  </r>
  <r>
    <s v="移工"/>
    <s v="2834"/>
    <s v="阿沙文"/>
    <x v="1"/>
    <s v="技術員"/>
    <s v="郭惠燕"/>
    <n v="62.8"/>
    <s v="D"/>
    <n v="111"/>
    <n v="62.8"/>
    <x v="3"/>
    <n v="111"/>
    <n v="61"/>
    <m/>
    <n v="64"/>
    <m/>
    <m/>
    <m/>
    <m/>
    <m/>
    <m/>
    <m/>
    <n v="81.058333333333337"/>
  </r>
  <r>
    <s v="移工"/>
    <s v="2844"/>
    <s v="阿凱"/>
    <x v="1"/>
    <s v="技術員"/>
    <s v="郭惠燕"/>
    <n v="59.8"/>
    <s v="E"/>
    <n v="117"/>
    <n v="59.8"/>
    <x v="2"/>
    <n v="117"/>
    <n v="64"/>
    <m/>
    <n v="57"/>
    <m/>
    <m/>
    <m/>
    <m/>
    <m/>
    <m/>
    <m/>
    <n v="80.693877551020421"/>
  </r>
  <r>
    <s v="✓"/>
    <s v="1713"/>
    <s v="周安琪"/>
    <x v="1"/>
    <s v="班長"/>
    <s v="郭惠燕"/>
    <n v="68.566666666666663"/>
    <s v="D"/>
    <n v="92"/>
    <n v="68.566666666666663"/>
    <x v="3"/>
    <n v="91"/>
    <n v="83"/>
    <n v="58.333333333333336"/>
    <n v="76"/>
    <m/>
    <m/>
    <m/>
    <m/>
    <m/>
    <m/>
    <m/>
    <n v="80.599999999999994"/>
  </r>
  <r>
    <s v="外配"/>
    <s v="2546"/>
    <s v="黃氏金莉"/>
    <x v="1"/>
    <s v="技術員"/>
    <s v="郭惠燕"/>
    <n v="74.400000000000006"/>
    <s v="C"/>
    <n v="55"/>
    <n v="74.400000000000006"/>
    <x v="0"/>
    <n v="57"/>
    <n v="84"/>
    <m/>
    <n v="68"/>
    <m/>
    <m/>
    <m/>
    <m/>
    <m/>
    <m/>
    <m/>
    <n v="80.5"/>
  </r>
  <r>
    <s v="移工"/>
    <s v="2589"/>
    <s v="威耐"/>
    <x v="1"/>
    <s v="班長"/>
    <s v="郭惠燕"/>
    <n v="73.275000000000006"/>
    <s v="C"/>
    <n v="63"/>
    <n v="73.275000000000006"/>
    <x v="0"/>
    <n v="65"/>
    <n v="80"/>
    <n v="70.75"/>
    <n v="73"/>
    <m/>
    <m/>
    <m/>
    <m/>
    <m/>
    <m/>
    <m/>
    <n v="79.938775510204081"/>
  </r>
  <r>
    <s v="✓"/>
    <s v="1101"/>
    <s v="郭惠燕"/>
    <x v="1"/>
    <s v="組長"/>
    <s v="周清家"/>
    <n v="72.8"/>
    <s v="C"/>
    <n v="69"/>
    <n v="75.8"/>
    <x v="0"/>
    <n v="46"/>
    <n v="76"/>
    <n v="72"/>
    <n v="82"/>
    <n v="1"/>
    <m/>
    <m/>
    <m/>
    <m/>
    <m/>
    <n v="3"/>
    <n v="79.416666666666657"/>
  </r>
  <r>
    <s v="現場"/>
    <s v="2056"/>
    <s v="陳世傑"/>
    <x v="1"/>
    <s v="技術員"/>
    <s v="郭惠燕"/>
    <n v="55.8"/>
    <s v="E"/>
    <n v="119"/>
    <n v="55.8"/>
    <x v="2"/>
    <n v="119"/>
    <n v="60"/>
    <m/>
    <n v="53"/>
    <m/>
    <m/>
    <m/>
    <m/>
    <m/>
    <m/>
    <m/>
    <n v="79.285714285714292"/>
  </r>
  <r>
    <s v="外配"/>
    <s v="2258"/>
    <s v="連維敏"/>
    <x v="2"/>
    <s v="技術員"/>
    <s v="陳佳安"/>
    <n v="74.2"/>
    <s v="C"/>
    <n v="56"/>
    <n v="74.2"/>
    <x v="0"/>
    <n v="58"/>
    <n v="73"/>
    <m/>
    <n v="75"/>
    <m/>
    <m/>
    <m/>
    <m/>
    <m/>
    <m/>
    <m/>
    <n v="79.109090909090895"/>
  </r>
  <r>
    <s v="現場"/>
    <s v="1799"/>
    <s v="朱淑君"/>
    <x v="2"/>
    <s v="技術員"/>
    <s v="陳怡珊"/>
    <n v="76.800000000000011"/>
    <s v="C"/>
    <n v="37"/>
    <n v="76.800000000000011"/>
    <x v="0"/>
    <n v="37"/>
    <n v="87"/>
    <m/>
    <n v="70"/>
    <m/>
    <m/>
    <m/>
    <m/>
    <m/>
    <m/>
    <m/>
    <n v="79"/>
  </r>
  <r>
    <s v="現場"/>
    <s v="2565"/>
    <s v="呂雅秀"/>
    <x v="2"/>
    <s v="技術員"/>
    <s v="陳佳安"/>
    <n v="63.599999999999994"/>
    <s v="D"/>
    <n v="108"/>
    <n v="63.599999999999994"/>
    <x v="3"/>
    <n v="108"/>
    <n v="66"/>
    <m/>
    <n v="62"/>
    <m/>
    <m/>
    <m/>
    <m/>
    <m/>
    <m/>
    <m/>
    <n v="78.957142857142856"/>
  </r>
  <r>
    <s v="移工"/>
    <s v="2418"/>
    <s v="松甲"/>
    <x v="2"/>
    <s v="技術員"/>
    <s v="陳佳安"/>
    <n v="82.8"/>
    <s v="B"/>
    <n v="9"/>
    <n v="82.8"/>
    <x v="1"/>
    <n v="11"/>
    <n v="84"/>
    <m/>
    <n v="82"/>
    <m/>
    <m/>
    <m/>
    <m/>
    <m/>
    <m/>
    <m/>
    <n v="78.732142857142861"/>
  </r>
  <r>
    <s v="現場"/>
    <s v="2226"/>
    <s v="陳意琛"/>
    <x v="2"/>
    <s v="技術員"/>
    <s v="陳佳安"/>
    <n v="74.199999999999989"/>
    <s v="C"/>
    <n v="57"/>
    <n v="74.199999999999989"/>
    <x v="0"/>
    <n v="59"/>
    <n v="70"/>
    <m/>
    <n v="77"/>
    <m/>
    <m/>
    <m/>
    <m/>
    <m/>
    <m/>
    <m/>
    <n v="78.199999999999989"/>
  </r>
  <r>
    <s v="移工"/>
    <s v="2827"/>
    <s v="蘇拉岡"/>
    <x v="2"/>
    <s v="技術員"/>
    <s v="陳佳安"/>
    <n v="77.599999999999994"/>
    <s v="C"/>
    <n v="29"/>
    <n v="77.599999999999994"/>
    <x v="0"/>
    <n v="29"/>
    <n v="74"/>
    <m/>
    <n v="80"/>
    <m/>
    <m/>
    <m/>
    <m/>
    <m/>
    <m/>
    <m/>
    <n v="77.8"/>
  </r>
  <r>
    <s v="現場"/>
    <s v="2724"/>
    <s v="周柏杰"/>
    <x v="2"/>
    <s v="技術員"/>
    <s v="陳佳安"/>
    <n v="70.599999999999994"/>
    <s v="C"/>
    <n v="84"/>
    <n v="70.599999999999994"/>
    <x v="0"/>
    <n v="82"/>
    <n v="67"/>
    <m/>
    <n v="73"/>
    <m/>
    <m/>
    <m/>
    <m/>
    <m/>
    <m/>
    <m/>
    <n v="77.599999999999994"/>
  </r>
  <r>
    <s v="移工"/>
    <s v="3004"/>
    <s v="朗吾"/>
    <x v="2"/>
    <s v="技術員"/>
    <s v="陳怡珊"/>
    <n v="61.2"/>
    <s v="D"/>
    <n v="114"/>
    <n v="61.2"/>
    <x v="3"/>
    <n v="114"/>
    <n v="63"/>
    <m/>
    <n v="60"/>
    <m/>
    <m/>
    <m/>
    <m/>
    <m/>
    <m/>
    <m/>
    <n v="77.400000000000006"/>
  </r>
  <r>
    <s v="移工"/>
    <s v="2868"/>
    <s v="克里達"/>
    <x v="2"/>
    <s v="技術員"/>
    <s v="陳佳安"/>
    <n v="75.8"/>
    <s v="C"/>
    <n v="45"/>
    <n v="75.8"/>
    <x v="0"/>
    <n v="46"/>
    <n v="74"/>
    <m/>
    <n v="77"/>
    <m/>
    <m/>
    <m/>
    <m/>
    <m/>
    <m/>
    <m/>
    <n v="77.3"/>
  </r>
  <r>
    <s v="移工"/>
    <s v="2930"/>
    <s v="巴林亞"/>
    <x v="2"/>
    <s v="技術員"/>
    <s v="陳怡珊"/>
    <n v="70.8"/>
    <s v="C"/>
    <n v="83"/>
    <n v="70.8"/>
    <x v="0"/>
    <n v="81"/>
    <n v="66"/>
    <m/>
    <n v="74"/>
    <m/>
    <m/>
    <m/>
    <m/>
    <m/>
    <m/>
    <m/>
    <n v="77.125"/>
  </r>
  <r>
    <s v="移工"/>
    <s v="2919"/>
    <s v="及可"/>
    <x v="2"/>
    <s v="技術員"/>
    <s v="陳怡珊"/>
    <n v="68.8"/>
    <s v="D"/>
    <n v="89"/>
    <n v="68.8"/>
    <x v="3"/>
    <n v="87"/>
    <n v="61"/>
    <m/>
    <n v="74"/>
    <m/>
    <m/>
    <m/>
    <m/>
    <m/>
    <m/>
    <m/>
    <n v="77.061224489795933"/>
  </r>
  <r>
    <s v="移工"/>
    <s v="3029"/>
    <s v="吉沙達"/>
    <x v="2"/>
    <s v="技術員"/>
    <s v="陳怡珊"/>
    <n v="56.6"/>
    <s v="E"/>
    <n v="118"/>
    <n v="56.6"/>
    <x v="2"/>
    <n v="118"/>
    <n v="50"/>
    <m/>
    <n v="61"/>
    <m/>
    <m/>
    <m/>
    <m/>
    <m/>
    <m/>
    <m/>
    <n v="77"/>
  </r>
  <r>
    <s v="✓"/>
    <s v="2216"/>
    <s v="陳怡珊"/>
    <x v="2"/>
    <s v="副組長"/>
    <s v="楊玉鳳"/>
    <n v="76.959183673469383"/>
    <s v="C"/>
    <n v="35"/>
    <n v="76.959183673469383"/>
    <x v="0"/>
    <n v="35"/>
    <n v="79"/>
    <n v="76.142857142857139"/>
    <m/>
    <m/>
    <m/>
    <m/>
    <m/>
    <m/>
    <m/>
    <m/>
    <n v="77"/>
  </r>
  <r>
    <s v="現場"/>
    <s v="1547"/>
    <s v="鄭萍"/>
    <x v="3"/>
    <s v="技術員"/>
    <s v="覃麗嬋"/>
    <n v="71.599999999999994"/>
    <s v="C"/>
    <n v="79"/>
    <n v="71.599999999999994"/>
    <x v="0"/>
    <n v="78"/>
    <n v="71"/>
    <m/>
    <n v="72"/>
    <m/>
    <m/>
    <m/>
    <m/>
    <m/>
    <m/>
    <m/>
    <n v="76.959183673469383"/>
  </r>
  <r>
    <s v="✓"/>
    <s v="2097"/>
    <s v="覃麗嬋"/>
    <x v="3"/>
    <s v="副組長"/>
    <s v="周清家"/>
    <n v="77.061224489795933"/>
    <s v="C"/>
    <n v="32"/>
    <n v="77.061224489795933"/>
    <x v="0"/>
    <n v="32"/>
    <n v="76.5"/>
    <n v="77.285714285714292"/>
    <m/>
    <m/>
    <m/>
    <m/>
    <m/>
    <m/>
    <m/>
    <m/>
    <n v="76.816666666666663"/>
  </r>
  <r>
    <s v="✓"/>
    <s v="2321"/>
    <s v="李昱鋐"/>
    <x v="3"/>
    <s v="班長"/>
    <s v="覃麗嬋"/>
    <n v="75.099999999999994"/>
    <s v="C"/>
    <n v="49"/>
    <n v="75.099999999999994"/>
    <x v="0"/>
    <n v="51"/>
    <n v="73"/>
    <n v="70"/>
    <n v="85"/>
    <m/>
    <m/>
    <m/>
    <m/>
    <m/>
    <m/>
    <m/>
    <n v="76.800000000000011"/>
  </r>
  <r>
    <s v="現場"/>
    <s v="2964"/>
    <s v="蘇英輝"/>
    <x v="3"/>
    <s v="技術員"/>
    <s v="白惇維"/>
    <n v="61.8"/>
    <s v="D"/>
    <n v="113"/>
    <n v="61.8"/>
    <x v="3"/>
    <n v="113"/>
    <n v="69"/>
    <m/>
    <n v="57"/>
    <m/>
    <m/>
    <m/>
    <m/>
    <m/>
    <m/>
    <m/>
    <n v="76.8"/>
  </r>
  <r>
    <s v="移工"/>
    <s v="2835"/>
    <s v="阿塘"/>
    <x v="3"/>
    <s v="技術員"/>
    <s v="覃麗嬋"/>
    <n v="72.599999999999994"/>
    <s v="C"/>
    <n v="73"/>
    <n v="72.599999999999994"/>
    <x v="0"/>
    <n v="73"/>
    <n v="78"/>
    <m/>
    <n v="69"/>
    <m/>
    <m/>
    <m/>
    <m/>
    <m/>
    <m/>
    <m/>
    <n v="76.400000000000006"/>
  </r>
  <r>
    <s v="現場"/>
    <s v="2404"/>
    <s v="陳奕廷"/>
    <x v="3"/>
    <s v="技術員"/>
    <s v="覃麗嬋"/>
    <n v="76"/>
    <s v="C"/>
    <n v="41"/>
    <n v="76"/>
    <x v="0"/>
    <n v="41"/>
    <n v="85"/>
    <m/>
    <n v="70"/>
    <m/>
    <m/>
    <m/>
    <m/>
    <m/>
    <m/>
    <m/>
    <n v="76.400000000000006"/>
  </r>
  <r>
    <s v="✓✓"/>
    <s v="3009"/>
    <s v="王美婷"/>
    <x v="4"/>
    <s v="會計人員"/>
    <s v="陳佳倫"/>
    <n v="80.8"/>
    <s v="B"/>
    <n v="18"/>
    <n v="80.8"/>
    <x v="1"/>
    <n v="18"/>
    <n v="81"/>
    <n v="77.599999999999994"/>
    <n v="76"/>
    <m/>
    <m/>
    <m/>
    <m/>
    <m/>
    <m/>
    <m/>
    <n v="76"/>
  </r>
  <r>
    <s v="✓✓"/>
    <s v="2911"/>
    <s v="孫素琴"/>
    <x v="4"/>
    <s v="會計人員"/>
    <s v="陳佳倫"/>
    <n v="84.86666666666666"/>
    <s v="B"/>
    <n v="3"/>
    <n v="84.86666666666666"/>
    <x v="1"/>
    <n v="5"/>
    <n v="85.333333333333329"/>
    <n v="84.6"/>
    <n v="85"/>
    <m/>
    <m/>
    <m/>
    <m/>
    <m/>
    <m/>
    <m/>
    <n v="76"/>
  </r>
  <r>
    <s v="✓✓"/>
    <s v="2934"/>
    <s v="陳俐秀"/>
    <x v="4"/>
    <s v="課長"/>
    <s v="陳佳倫"/>
    <n v="76"/>
    <s v="C"/>
    <n v="41"/>
    <n v="76"/>
    <x v="0"/>
    <n v="41"/>
    <n v="73.2"/>
    <n v="96.4"/>
    <n v="77.2"/>
    <m/>
    <m/>
    <m/>
    <m/>
    <m/>
    <m/>
    <n v="-10"/>
    <n v="75.900000000000006"/>
  </r>
  <r>
    <s v="✓✓"/>
    <s v="2938"/>
    <s v="陳燕華"/>
    <x v="4"/>
    <s v="會計人員"/>
    <s v="陳佳倫"/>
    <n v="74.733333333333334"/>
    <s v="C"/>
    <n v="51"/>
    <n v="74.733333333333334"/>
    <x v="0"/>
    <n v="54"/>
    <n v="75.666666666666671"/>
    <n v="76.599999999999994"/>
    <n v="71"/>
    <m/>
    <m/>
    <m/>
    <m/>
    <m/>
    <m/>
    <m/>
    <n v="75.849999999999994"/>
  </r>
  <r>
    <s v="新人"/>
    <s v="3008"/>
    <s v="于宗訓"/>
    <x v="4"/>
    <s v="會計人員"/>
    <s v="陳俐秀"/>
    <m/>
    <s v="E"/>
    <n v="126"/>
    <m/>
    <x v="4"/>
    <m/>
    <e v="#DIV/0!"/>
    <e v="#DIV/0!"/>
    <e v="#DIV/0!"/>
    <m/>
    <m/>
    <m/>
    <m/>
    <m/>
    <m/>
    <m/>
    <n v="75.8"/>
  </r>
  <r>
    <s v="✓✓"/>
    <s v="3011"/>
    <s v="尤(禾云)棠"/>
    <x v="5"/>
    <s v="採購助理"/>
    <s v="王秀雯"/>
    <n v="72.2"/>
    <s v="C"/>
    <n v="76"/>
    <n v="72.2"/>
    <x v="0"/>
    <n v="76"/>
    <n v="70.5"/>
    <n v="74.2"/>
    <n v="70"/>
    <m/>
    <m/>
    <m/>
    <m/>
    <m/>
    <m/>
    <m/>
    <n v="75.8"/>
  </r>
  <r>
    <s v="外配"/>
    <s v="2954"/>
    <s v="傅文成"/>
    <x v="5"/>
    <s v="技術員"/>
    <s v="白惇維"/>
    <n v="60.833333333333329"/>
    <s v="D"/>
    <n v="115"/>
    <n v="60.833333333333329"/>
    <x v="3"/>
    <n v="115"/>
    <n v="64.666666666666671"/>
    <n v="60.4"/>
    <n v="59"/>
    <m/>
    <m/>
    <m/>
    <m/>
    <m/>
    <m/>
    <m/>
    <n v="75.7"/>
  </r>
  <r>
    <s v="✓✓"/>
    <s v="2947"/>
    <s v="羅文彥"/>
    <x v="5"/>
    <s v="堆高機員"/>
    <s v="王秀雯"/>
    <n v="71.875"/>
    <s v="C"/>
    <n v="77"/>
    <n v="71.875"/>
    <x v="0"/>
    <n v="77"/>
    <n v="75.875"/>
    <n v="71.400000000000006"/>
    <n v="70"/>
    <m/>
    <m/>
    <m/>
    <m/>
    <m/>
    <m/>
    <m/>
    <n v="75.599999999999994"/>
  </r>
  <r>
    <s v="✓✓"/>
    <s v="2941"/>
    <s v="郭惠婷"/>
    <x v="5"/>
    <s v="行政助理"/>
    <s v="王秀雯"/>
    <n v="72.75"/>
    <s v="C"/>
    <n v="72"/>
    <n v="72.75"/>
    <x v="0"/>
    <n v="72"/>
    <n v="71.25"/>
    <n v="72"/>
    <n v="75"/>
    <m/>
    <m/>
    <m/>
    <m/>
    <m/>
    <m/>
    <m/>
    <n v="75.199999999999989"/>
  </r>
  <r>
    <s v="新人"/>
    <s v="3032"/>
    <s v="郭乃源"/>
    <x v="5"/>
    <s v="司機"/>
    <s v="王秀雯"/>
    <m/>
    <m/>
    <m/>
    <m/>
    <x v="4"/>
    <m/>
    <e v="#DIV/0!"/>
    <e v="#DIV/0!"/>
    <e v="#DIV/0!"/>
    <m/>
    <m/>
    <m/>
    <m/>
    <m/>
    <m/>
    <m/>
    <n v="75.099999999999994"/>
  </r>
  <r>
    <s v="✓✓"/>
    <s v="0890"/>
    <s v="曾泓霖"/>
    <x v="5"/>
    <s v="組長"/>
    <s v="陳佳倫"/>
    <n v="74.612244897959187"/>
    <s v="C"/>
    <n v="53"/>
    <n v="68.612244897959187"/>
    <x v="3"/>
    <n v="90"/>
    <n v="70.5"/>
    <n v="76.257142857142853"/>
    <m/>
    <m/>
    <m/>
    <m/>
    <n v="2"/>
    <m/>
    <m/>
    <n v="-6"/>
    <n v="74.826666666666668"/>
  </r>
  <r>
    <s v="✓✓"/>
    <s v="2091"/>
    <s v="陳惠萍"/>
    <x v="5"/>
    <s v="組長"/>
    <s v="王秀雯"/>
    <n v="80.693877551020421"/>
    <s v="B"/>
    <n v="20"/>
    <n v="80.693877551020421"/>
    <x v="1"/>
    <n v="20"/>
    <n v="84"/>
    <n v="79.371428571428581"/>
    <m/>
    <m/>
    <m/>
    <m/>
    <m/>
    <m/>
    <m/>
    <m/>
    <n v="74.8"/>
  </r>
  <r>
    <s v="✓✓"/>
    <s v="0193"/>
    <s v="石容瑄"/>
    <x v="5"/>
    <s v="助理專員"/>
    <s v="王秀雯"/>
    <n v="80.938775510204081"/>
    <s v="B"/>
    <n v="17"/>
    <n v="80.938775510204081"/>
    <x v="1"/>
    <n v="17"/>
    <n v="78"/>
    <n v="80.714285714285708"/>
    <m/>
    <m/>
    <m/>
    <m/>
    <m/>
    <m/>
    <m/>
    <m/>
    <n v="74.733333333333334"/>
  </r>
  <r>
    <s v="不在職"/>
    <s v="2521"/>
    <s v="潘佩君"/>
    <x v="5"/>
    <s v="班長"/>
    <s v="陳惠萍"/>
    <m/>
    <m/>
    <m/>
    <m/>
    <x v="4"/>
    <m/>
    <e v="#DIV/0!"/>
    <e v="#DIV/0!"/>
    <m/>
    <m/>
    <m/>
    <m/>
    <m/>
    <m/>
    <m/>
    <m/>
    <n v="74.7"/>
  </r>
  <r>
    <s v="✓✓"/>
    <s v="2057"/>
    <s v="王秀雯"/>
    <x v="5"/>
    <s v="副課長"/>
    <s v="鄭景文"/>
    <n v="81.349999999999994"/>
    <s v="B"/>
    <n v="14"/>
    <n v="81.349999999999994"/>
    <x v="1"/>
    <n v="14"/>
    <n v="83"/>
    <n v="81.5"/>
    <n v="80"/>
    <m/>
    <m/>
    <m/>
    <m/>
    <m/>
    <m/>
    <m/>
    <n v="74.599999999999994"/>
  </r>
  <r>
    <s v="✓✓"/>
    <s v="2798"/>
    <s v="陳巧倫"/>
    <x v="5"/>
    <s v="助理"/>
    <s v="王秀雯"/>
    <n v="64.599999999999994"/>
    <s v="D"/>
    <n v="106"/>
    <n v="64.599999999999994"/>
    <x v="3"/>
    <n v="105"/>
    <n v="65"/>
    <n v="65.400000000000006"/>
    <n v="63"/>
    <m/>
    <m/>
    <m/>
    <m/>
    <m/>
    <m/>
    <m/>
    <n v="74.400000000000006"/>
  </r>
  <r>
    <s v="✓✓"/>
    <s v="2664"/>
    <s v="楊心恬"/>
    <x v="5"/>
    <s v="技術員"/>
    <s v="王秀雯"/>
    <n v="73.175000000000011"/>
    <s v="C"/>
    <n v="66"/>
    <n v="73.175000000000011"/>
    <x v="0"/>
    <n v="68"/>
    <n v="74.875"/>
    <n v="74.400000000000006"/>
    <n v="70"/>
    <m/>
    <m/>
    <m/>
    <m/>
    <m/>
    <m/>
    <m/>
    <n v="74.2"/>
  </r>
  <r>
    <s v="✓✓"/>
    <s v="2706"/>
    <s v="林德和"/>
    <x v="5"/>
    <s v="技術員"/>
    <s v="王秀雯"/>
    <n v="69.525000000000006"/>
    <s v="D"/>
    <n v="86"/>
    <n v="69.525000000000006"/>
    <x v="3"/>
    <n v="84"/>
    <n v="75.625"/>
    <n v="66.2"/>
    <n v="71"/>
    <m/>
    <m/>
    <m/>
    <m/>
    <m/>
    <m/>
    <m/>
    <n v="74.199999999999989"/>
  </r>
  <r>
    <s v="✓✓"/>
    <s v="1861"/>
    <s v="戴曜瑋"/>
    <x v="5"/>
    <s v="技術員"/>
    <s v="王秀雯"/>
    <n v="70.849999999999994"/>
    <s v="C"/>
    <n v="82"/>
    <n v="64.849999999999994"/>
    <x v="3"/>
    <n v="104"/>
    <n v="69.75"/>
    <n v="64.599999999999994"/>
    <n v="62"/>
    <m/>
    <m/>
    <m/>
    <n v="2"/>
    <m/>
    <m/>
    <n v="-6"/>
    <n v="74"/>
  </r>
  <r>
    <s v="移工"/>
    <s v="2200"/>
    <s v="清馬拉"/>
    <x v="5"/>
    <s v="技術員"/>
    <s v="王秀雯"/>
    <n v="66.677777777777777"/>
    <s v="D"/>
    <n v="99"/>
    <n v="63.677777777777777"/>
    <x v="3"/>
    <n v="107"/>
    <n v="68.888888888888886"/>
    <n v="63.2"/>
    <n v="61"/>
    <m/>
    <m/>
    <m/>
    <n v="1"/>
    <m/>
    <m/>
    <n v="-3"/>
    <n v="73.800000000000011"/>
  </r>
  <r>
    <s v="✓✓"/>
    <s v="2548"/>
    <s v="尤念萍"/>
    <x v="5"/>
    <s v="班長"/>
    <s v="王秀雯"/>
    <n v="74.826666666666668"/>
    <s v="C"/>
    <n v="50"/>
    <n v="74.826666666666668"/>
    <x v="0"/>
    <n v="52"/>
    <n v="79.8"/>
    <n v="72.133333333333326"/>
    <n v="76"/>
    <m/>
    <m/>
    <m/>
    <m/>
    <m/>
    <m/>
    <m/>
    <n v="73.8"/>
  </r>
  <r>
    <s v="✓✓"/>
    <s v="2564"/>
    <s v="陳孟怡"/>
    <x v="5"/>
    <s v="助理"/>
    <s v="陳惠萍"/>
    <n v="80.5"/>
    <s v="B"/>
    <n v="22"/>
    <n v="80.5"/>
    <x v="1"/>
    <n v="22"/>
    <n v="76"/>
    <n v="82.6"/>
    <n v="80"/>
    <m/>
    <m/>
    <m/>
    <m/>
    <m/>
    <m/>
    <m/>
    <n v="73.599999999999994"/>
  </r>
  <r>
    <s v="移工"/>
    <s v="1172"/>
    <s v="吉實達"/>
    <x v="6"/>
    <s v="組長"/>
    <s v="楊玉鳳"/>
    <n v="80.732142857142861"/>
    <s v="B"/>
    <n v="19"/>
    <n v="80.732142857142861"/>
    <x v="1"/>
    <n v="19"/>
    <n v="81.5"/>
    <n v="77.625"/>
    <m/>
    <m/>
    <m/>
    <m/>
    <m/>
    <m/>
    <m/>
    <m/>
    <n v="73.5"/>
  </r>
  <r>
    <s v="現場"/>
    <s v="2309"/>
    <s v="潘盈蓁"/>
    <x v="6"/>
    <s v="技術員"/>
    <s v="楊玉鳳"/>
    <n v="71"/>
    <s v="C"/>
    <n v="80"/>
    <n v="71"/>
    <x v="0"/>
    <n v="79"/>
    <n v="71"/>
    <m/>
    <n v="71"/>
    <m/>
    <m/>
    <m/>
    <m/>
    <m/>
    <m/>
    <m/>
    <n v="73.275000000000006"/>
  </r>
  <r>
    <s v="✓"/>
    <s v="2699"/>
    <s v="紀佩欣"/>
    <x v="6"/>
    <s v="副組長"/>
    <s v="楊玉鳳"/>
    <n v="80"/>
    <s v="B"/>
    <n v="28"/>
    <n v="80"/>
    <x v="1"/>
    <n v="28"/>
    <n v="81.5"/>
    <n v="78"/>
    <m/>
    <m/>
    <m/>
    <m/>
    <m/>
    <m/>
    <m/>
    <m/>
    <n v="73.2"/>
  </r>
  <r>
    <s v="移工"/>
    <s v="2849"/>
    <s v="崇南"/>
    <x v="6"/>
    <s v="技術員"/>
    <s v="紀佩欣"/>
    <n v="66.599999999999994"/>
    <s v="D"/>
    <n v="100"/>
    <n v="66.599999999999994"/>
    <x v="3"/>
    <n v="99"/>
    <n v="75"/>
    <m/>
    <n v="61"/>
    <m/>
    <m/>
    <m/>
    <m/>
    <m/>
    <m/>
    <m/>
    <n v="73.199999999999989"/>
  </r>
  <r>
    <s v="移工"/>
    <s v="2850"/>
    <s v="邦迪"/>
    <x v="6"/>
    <s v="技術員"/>
    <s v="楊玉鳳"/>
    <n v="65.599999999999994"/>
    <s v="D"/>
    <n v="104"/>
    <n v="65.599999999999994"/>
    <x v="3"/>
    <n v="103"/>
    <n v="65"/>
    <m/>
    <n v="66"/>
    <m/>
    <m/>
    <m/>
    <m/>
    <m/>
    <m/>
    <m/>
    <n v="73.175000000000011"/>
  </r>
  <r>
    <s v="移工"/>
    <s v="2870"/>
    <s v="姜威藍"/>
    <x v="6"/>
    <s v="技術員"/>
    <s v="周清家"/>
    <n v="68.8"/>
    <s v="D"/>
    <n v="89"/>
    <n v="68.8"/>
    <x v="3"/>
    <n v="87"/>
    <n v="70"/>
    <m/>
    <n v="68"/>
    <m/>
    <m/>
    <m/>
    <m/>
    <m/>
    <m/>
    <m/>
    <n v="73"/>
  </r>
  <r>
    <s v="移工"/>
    <s v="2896"/>
    <s v="郭藍林"/>
    <x v="6"/>
    <s v="技術員"/>
    <s v="紀佩欣"/>
    <n v="68.8"/>
    <s v="D"/>
    <n v="89"/>
    <n v="68.8"/>
    <x v="3"/>
    <n v="87"/>
    <n v="79"/>
    <m/>
    <n v="62"/>
    <m/>
    <m/>
    <m/>
    <m/>
    <m/>
    <m/>
    <m/>
    <n v="72.8"/>
  </r>
  <r>
    <s v="移工"/>
    <s v="2866"/>
    <s v="吳拉查"/>
    <x v="6"/>
    <s v="技術員"/>
    <s v="楊玉鳳"/>
    <n v="76.400000000000006"/>
    <s v="C"/>
    <n v="39"/>
    <n v="76.400000000000006"/>
    <x v="0"/>
    <n v="39"/>
    <n v="80"/>
    <m/>
    <n v="74"/>
    <m/>
    <m/>
    <m/>
    <m/>
    <m/>
    <m/>
    <m/>
    <n v="72.8"/>
  </r>
  <r>
    <s v="移工"/>
    <s v="1648"/>
    <s v="陳凱"/>
    <x v="6"/>
    <s v="技術員"/>
    <s v="楊玉鳳"/>
    <n v="75.599999999999994"/>
    <s v="C"/>
    <n v="47"/>
    <n v="75.599999999999994"/>
    <x v="0"/>
    <n v="49"/>
    <n v="84"/>
    <m/>
    <n v="70"/>
    <m/>
    <m/>
    <m/>
    <m/>
    <m/>
    <m/>
    <m/>
    <n v="72.75"/>
  </r>
  <r>
    <s v="移工"/>
    <s v="3030"/>
    <s v="查朋(新)"/>
    <x v="6"/>
    <s v="技術員"/>
    <s v="紀佩欣"/>
    <n v="0"/>
    <s v="E"/>
    <n v="126"/>
    <m/>
    <x v="4"/>
    <e v="#N/A"/>
    <n v="52"/>
    <m/>
    <n v="42"/>
    <m/>
    <m/>
    <m/>
    <m/>
    <m/>
    <m/>
    <m/>
    <n v="72.599999999999994"/>
  </r>
  <r>
    <s v="移工"/>
    <s v="3031"/>
    <s v="提拉瓦(新)"/>
    <x v="6"/>
    <s v="技術員"/>
    <s v="紀佩欣"/>
    <n v="0"/>
    <s v="E"/>
    <n v="126"/>
    <m/>
    <x v="4"/>
    <e v="#N/A"/>
    <n v="54"/>
    <m/>
    <n v="43"/>
    <m/>
    <m/>
    <m/>
    <m/>
    <m/>
    <m/>
    <m/>
    <n v="72.474999999999994"/>
  </r>
  <r>
    <s v="移工"/>
    <s v="3019"/>
    <s v="薩財(新)"/>
    <x v="6"/>
    <s v="技術員"/>
    <s v="紀佩欣"/>
    <n v="0"/>
    <s v="E"/>
    <n v="126"/>
    <m/>
    <x v="4"/>
    <e v="#N/A"/>
    <n v="60"/>
    <m/>
    <n v="45"/>
    <m/>
    <m/>
    <m/>
    <m/>
    <m/>
    <m/>
    <m/>
    <n v="72.433333333333337"/>
  </r>
  <r>
    <s v="移工"/>
    <s v="3006"/>
    <s v="三理(新)"/>
    <x v="6"/>
    <s v="技術員"/>
    <s v="紀佩欣"/>
    <n v="0"/>
    <s v="E"/>
    <n v="126"/>
    <m/>
    <x v="4"/>
    <e v="#N/A"/>
    <n v="80"/>
    <m/>
    <n v="56"/>
    <m/>
    <m/>
    <m/>
    <m/>
    <m/>
    <m/>
    <m/>
    <n v="72.2"/>
  </r>
  <r>
    <s v="✓✓"/>
    <s v="3012"/>
    <s v="林依婷"/>
    <x v="7"/>
    <s v="品檢員"/>
    <s v="朱冠瑋"/>
    <n v="72.433333333333337"/>
    <s v="C"/>
    <n v="75"/>
    <n v="72.433333333333337"/>
    <x v="0"/>
    <n v="75"/>
    <n v="73.666666666666671"/>
    <n v="73.400000000000006"/>
    <n v="70"/>
    <m/>
    <m/>
    <m/>
    <m/>
    <m/>
    <m/>
    <m/>
    <n v="71.875"/>
  </r>
  <r>
    <s v="✓✓"/>
    <s v="2984"/>
    <s v="朱冠瑋"/>
    <x v="7"/>
    <s v="課長"/>
    <s v="陳佳倫"/>
    <n v="80.957142857142856"/>
    <s v="B"/>
    <n v="16"/>
    <n v="80.957142857142856"/>
    <x v="1"/>
    <n v="16"/>
    <n v="80.599999999999994"/>
    <n v="78.3"/>
    <m/>
    <m/>
    <m/>
    <m/>
    <m/>
    <m/>
    <m/>
    <m/>
    <n v="71.599999999999994"/>
  </r>
  <r>
    <s v="✓✓"/>
    <s v="0012"/>
    <s v="周清家"/>
    <x v="7"/>
    <s v="專員"/>
    <s v="朱冠瑋"/>
    <n v="63.716666666666654"/>
    <s v="D"/>
    <n v="107"/>
    <n v="63.716666666666654"/>
    <x v="3"/>
    <n v="106"/>
    <n v="61.333333333333336"/>
    <n v="65.699999999999989"/>
    <n v="62"/>
    <m/>
    <m/>
    <m/>
    <m/>
    <m/>
    <m/>
    <m/>
    <n v="71"/>
  </r>
  <r>
    <s v="✓✓"/>
    <s v="2334"/>
    <s v="詹郁瑛"/>
    <x v="7"/>
    <s v="技術員"/>
    <s v="李富崑"/>
    <n v="76.816666666666663"/>
    <s v="C"/>
    <n v="36"/>
    <n v="76.816666666666663"/>
    <x v="0"/>
    <n v="36"/>
    <n v="81.333333333333329"/>
    <n v="72.499999999999986"/>
    <n v="81"/>
    <m/>
    <m/>
    <m/>
    <m/>
    <m/>
    <m/>
    <m/>
    <n v="71"/>
  </r>
  <r>
    <s v="✓✓"/>
    <s v="0497"/>
    <s v="龔淑屏"/>
    <x v="8"/>
    <s v="課長"/>
    <s v="陳佳倫"/>
    <n v="82.8"/>
    <s v="B"/>
    <n v="9"/>
    <n v="85.8"/>
    <x v="1"/>
    <n v="4"/>
    <m/>
    <n v="82.2"/>
    <n v="83.8"/>
    <n v="1"/>
    <m/>
    <m/>
    <m/>
    <m/>
    <m/>
    <n v="3"/>
    <n v="70.8"/>
  </r>
  <r>
    <s v="✓✓"/>
    <s v="0855"/>
    <s v="楊玉鳳"/>
    <x v="8"/>
    <s v="副課長"/>
    <s v="周清家"/>
    <n v="75.849999999999994"/>
    <s v="C"/>
    <n v="44"/>
    <n v="75.849999999999994"/>
    <x v="0"/>
    <n v="45"/>
    <n v="79.599999999999994"/>
    <n v="72.099999999999994"/>
    <n v="79.599999999999994"/>
    <m/>
    <m/>
    <m/>
    <m/>
    <m/>
    <m/>
    <m/>
    <n v="70.599999999999994"/>
  </r>
  <r>
    <s v="✓✓"/>
    <s v="2915"/>
    <s v="鍾欣芳"/>
    <x v="8"/>
    <s v="助理"/>
    <s v="龔淑屏"/>
    <n v="81.058333333333337"/>
    <s v="B"/>
    <n v="15"/>
    <n v="81.058333333333337"/>
    <x v="1"/>
    <n v="15"/>
    <n v="92"/>
    <n v="76.116666666666688"/>
    <n v="82"/>
    <m/>
    <m/>
    <m/>
    <m/>
    <m/>
    <m/>
    <m/>
    <n v="70.599999999999994"/>
  </r>
  <r>
    <s v="✓✓"/>
    <s v="0632"/>
    <s v="劉祐誠"/>
    <x v="9"/>
    <s v="經理"/>
    <s v="鄭景文"/>
    <n v="71.8"/>
    <s v="C"/>
    <n v="78"/>
    <n v="74.8"/>
    <x v="0"/>
    <n v="53"/>
    <m/>
    <n v="71.8"/>
    <m/>
    <n v="1"/>
    <m/>
    <m/>
    <m/>
    <m/>
    <m/>
    <n v="3"/>
    <n v="69.525000000000006"/>
  </r>
  <r>
    <s v="✓✓"/>
    <s v="2942"/>
    <s v="黃士咸"/>
    <x v="10"/>
    <s v="工程師"/>
    <s v="劉祐誠"/>
    <n v="80.400000000000006"/>
    <s v="B"/>
    <n v="24"/>
    <n v="80.400000000000006"/>
    <x v="1"/>
    <n v="24"/>
    <n v="78"/>
    <n v="73.2"/>
    <n v="84"/>
    <m/>
    <m/>
    <m/>
    <m/>
    <m/>
    <m/>
    <m/>
    <n v="69.2"/>
  </r>
  <r>
    <s v="✓✓"/>
    <s v="2817"/>
    <s v="曾夷璋"/>
    <x v="10"/>
    <s v="工程師"/>
    <s v="白惇維"/>
    <n v="72.900000000000006"/>
    <s v="C"/>
    <n v="68"/>
    <n v="75.900000000000006"/>
    <x v="0"/>
    <n v="44"/>
    <n v="86"/>
    <n v="73.599999999999994"/>
    <n v="73"/>
    <n v="1"/>
    <m/>
    <m/>
    <m/>
    <m/>
    <m/>
    <n v="3"/>
    <n v="69"/>
  </r>
  <r>
    <s v="✓"/>
    <s v="2823"/>
    <s v="王舒瑩"/>
    <x v="11"/>
    <s v="班長"/>
    <s v="余美玉"/>
    <n v="80.416666666666657"/>
    <s v="B"/>
    <n v="23"/>
    <n v="80.416666666666657"/>
    <x v="1"/>
    <n v="23"/>
    <m/>
    <n v="76.666666666666671"/>
    <n v="84"/>
    <m/>
    <m/>
    <m/>
    <m/>
    <m/>
    <m/>
    <m/>
    <n v="68.8"/>
  </r>
  <r>
    <s v="現場"/>
    <s v="2707"/>
    <s v="蔡麗娟"/>
    <x v="11"/>
    <s v="技術員"/>
    <s v="陳怡珊"/>
    <n v="76.400000000000006"/>
    <s v="C"/>
    <n v="39"/>
    <n v="76.400000000000006"/>
    <x v="0"/>
    <n v="39"/>
    <n v="77"/>
    <m/>
    <n v="76"/>
    <m/>
    <m/>
    <m/>
    <m/>
    <m/>
    <m/>
    <m/>
    <n v="68.8"/>
  </r>
  <r>
    <s v="現場"/>
    <s v="2264"/>
    <s v="梁美麗"/>
    <x v="11"/>
    <s v="技術員"/>
    <s v="陳怡珊"/>
    <n v="81.400000000000006"/>
    <s v="B"/>
    <n v="13"/>
    <n v="81.400000000000006"/>
    <x v="1"/>
    <n v="13"/>
    <n v="79"/>
    <m/>
    <n v="83"/>
    <m/>
    <m/>
    <m/>
    <m/>
    <m/>
    <m/>
    <m/>
    <n v="68.8"/>
  </r>
  <r>
    <s v="現場"/>
    <s v="1847"/>
    <s v="郭韋霆"/>
    <x v="11"/>
    <s v="技術員"/>
    <s v="陳怡珊"/>
    <n v="80.199999999999989"/>
    <s v="B"/>
    <n v="26"/>
    <n v="80.199999999999989"/>
    <x v="1"/>
    <n v="26"/>
    <n v="80"/>
    <m/>
    <n v="77"/>
    <m/>
    <m/>
    <m/>
    <m/>
    <m/>
    <m/>
    <m/>
    <n v="68.612244897959187"/>
  </r>
  <r>
    <s v="現場"/>
    <s v="2220"/>
    <s v="莊慈君"/>
    <x v="11"/>
    <s v="技術員"/>
    <s v="陳怡珊"/>
    <n v="72.8"/>
    <s v="C"/>
    <n v="69"/>
    <n v="72.8"/>
    <x v="0"/>
    <n v="70"/>
    <n v="74"/>
    <m/>
    <n v="72"/>
    <m/>
    <m/>
    <m/>
    <m/>
    <m/>
    <m/>
    <m/>
    <n v="68.566666666666663"/>
  </r>
  <r>
    <s v="現場"/>
    <s v="1874"/>
    <s v="林綉玲"/>
    <x v="11"/>
    <s v="技術員"/>
    <s v="陳怡珊"/>
    <n v="74.599999999999994"/>
    <s v="C"/>
    <n v="54"/>
    <n v="74.599999999999994"/>
    <x v="0"/>
    <n v="56"/>
    <n v="74"/>
    <m/>
    <n v="75"/>
    <m/>
    <m/>
    <m/>
    <m/>
    <m/>
    <m/>
    <m/>
    <n v="68.400000000000006"/>
  </r>
  <r>
    <s v="現場"/>
    <s v="2012"/>
    <s v="馬程鳳"/>
    <x v="11"/>
    <s v="技術員"/>
    <s v="郭惠燕"/>
    <n v="66"/>
    <s v="D"/>
    <n v="102"/>
    <n v="66"/>
    <x v="3"/>
    <n v="101"/>
    <n v="66"/>
    <m/>
    <n v="66"/>
    <m/>
    <m/>
    <m/>
    <m/>
    <m/>
    <m/>
    <m/>
    <n v="68.199999999999989"/>
  </r>
  <r>
    <s v="現場"/>
    <s v="2996"/>
    <s v="甘麗婷(離)"/>
    <x v="11"/>
    <s v="技術員"/>
    <s v="白惇維"/>
    <m/>
    <s v="E"/>
    <m/>
    <m/>
    <x v="4"/>
    <m/>
    <e v="#DIV/0!"/>
    <m/>
    <e v="#DIV/0!"/>
    <m/>
    <m/>
    <m/>
    <m/>
    <m/>
    <m/>
    <m/>
    <n v="67.8"/>
  </r>
  <r>
    <s v="現場"/>
    <s v="3000"/>
    <s v="拉桑"/>
    <x v="11"/>
    <s v="技術員"/>
    <s v="林逸宸"/>
    <n v="49"/>
    <s v="E"/>
    <n v="122"/>
    <n v="49"/>
    <x v="2"/>
    <n v="122"/>
    <n v="61"/>
    <m/>
    <n v="41"/>
    <m/>
    <m/>
    <m/>
    <m/>
    <m/>
    <m/>
    <m/>
    <n v="67.8"/>
  </r>
  <r>
    <s v="現場"/>
    <s v="1834"/>
    <s v="阮美和"/>
    <x v="11"/>
    <s v="技術員"/>
    <s v="陳怡珊"/>
    <n v="77"/>
    <s v="C"/>
    <n v="33"/>
    <n v="77"/>
    <x v="0"/>
    <n v="33"/>
    <n v="74"/>
    <m/>
    <n v="79"/>
    <m/>
    <m/>
    <m/>
    <m/>
    <m/>
    <m/>
    <m/>
    <n v="67.7"/>
  </r>
  <r>
    <s v="現場"/>
    <s v="3023"/>
    <s v="拉匹潘"/>
    <x v="11"/>
    <s v="技術員"/>
    <s v="白惇維"/>
    <n v="48.400000000000006"/>
    <s v="E"/>
    <n v="123"/>
    <n v="48.400000000000006"/>
    <x v="2"/>
    <n v="123"/>
    <n v="61"/>
    <m/>
    <n v="40"/>
    <m/>
    <m/>
    <m/>
    <m/>
    <m/>
    <m/>
    <m/>
    <n v="67"/>
  </r>
  <r>
    <s v="現場"/>
    <s v="3027"/>
    <s v="阿匹雷"/>
    <x v="11"/>
    <s v="技術員"/>
    <s v="楊玉鳳"/>
    <n v="45.8"/>
    <s v="E"/>
    <n v="124"/>
    <n v="45.8"/>
    <x v="2"/>
    <n v="124"/>
    <n v="59"/>
    <m/>
    <n v="37"/>
    <m/>
    <m/>
    <m/>
    <m/>
    <m/>
    <m/>
    <m/>
    <n v="67"/>
  </r>
  <r>
    <s v="✓✓"/>
    <s v="2413"/>
    <s v="王柳琦"/>
    <x v="12"/>
    <s v="工程師"/>
    <s v="劉祐誠"/>
    <n v="82.2"/>
    <s v="B"/>
    <n v="12"/>
    <n v="82.2"/>
    <x v="1"/>
    <n v="12"/>
    <n v="85.5"/>
    <n v="81"/>
    <n v="82"/>
    <m/>
    <m/>
    <m/>
    <m/>
    <m/>
    <m/>
    <m/>
    <n v="66.599999999999994"/>
  </r>
  <r>
    <s v="離職"/>
    <s v="2906"/>
    <s v="黃繼億"/>
    <x v="12"/>
    <s v="工程師"/>
    <s v="劉祐誠"/>
    <m/>
    <s v="E"/>
    <n v="126"/>
    <m/>
    <x v="4"/>
    <m/>
    <e v="#DIV/0!"/>
    <e v="#DIV/0!"/>
    <e v="#DIV/0!"/>
    <m/>
    <m/>
    <m/>
    <m/>
    <m/>
    <m/>
    <m/>
    <n v="66.099999999999994"/>
  </r>
  <r>
    <s v="✓✓"/>
    <s v="2270"/>
    <s v="徐惠蘭"/>
    <x v="12"/>
    <s v="助理"/>
    <s v="劉祐誠"/>
    <n v="80.109090909090895"/>
    <s v="B"/>
    <n v="27"/>
    <n v="80.109090909090895"/>
    <x v="1"/>
    <n v="27"/>
    <n v="82"/>
    <n v="76.218181818181804"/>
    <n v="82"/>
    <m/>
    <m/>
    <m/>
    <m/>
    <m/>
    <m/>
    <m/>
    <n v="66"/>
  </r>
  <r>
    <s v="✓✓"/>
    <s v="1232"/>
    <s v="白惇維"/>
    <x v="12"/>
    <s v="課長"/>
    <s v="鄭景文"/>
    <n v="75.7"/>
    <s v="C"/>
    <n v="46"/>
    <n v="75.7"/>
    <x v="0"/>
    <n v="48"/>
    <n v="72"/>
    <n v="77"/>
    <n v="76"/>
    <m/>
    <m/>
    <m/>
    <m/>
    <m/>
    <m/>
    <m/>
    <n v="66"/>
  </r>
  <r>
    <s v="移工"/>
    <s v="2173"/>
    <s v="沙洋"/>
    <x v="12"/>
    <s v="技術員"/>
    <s v="劉祐誠"/>
    <n v="72.474999999999994"/>
    <s v="C"/>
    <n v="74"/>
    <n v="72.474999999999994"/>
    <x v="0"/>
    <n v="74"/>
    <n v="75.5"/>
    <n v="66.75"/>
    <n v="80"/>
    <m/>
    <m/>
    <m/>
    <m/>
    <m/>
    <m/>
    <m/>
    <n v="65.599999999999994"/>
  </r>
  <r>
    <s v="現場"/>
    <s v="2186"/>
    <s v="孫培娜"/>
    <x v="13"/>
    <s v="技術員"/>
    <s v="周清家"/>
    <n v="73"/>
    <s v="C"/>
    <n v="67"/>
    <n v="73"/>
    <x v="0"/>
    <n v="69"/>
    <n v="76"/>
    <m/>
    <n v="71"/>
    <m/>
    <m/>
    <m/>
    <m/>
    <m/>
    <m/>
    <m/>
    <n v="65.599999999999994"/>
  </r>
  <r>
    <s v="現場"/>
    <s v="2582"/>
    <s v="張政芳"/>
    <x v="13"/>
    <s v="技術員"/>
    <s v="周清家"/>
    <n v="67"/>
    <s v="D"/>
    <n v="97"/>
    <n v="67"/>
    <x v="3"/>
    <n v="97"/>
    <n v="64"/>
    <m/>
    <n v="69"/>
    <m/>
    <m/>
    <m/>
    <m/>
    <m/>
    <m/>
    <m/>
    <n v="64.849999999999994"/>
  </r>
  <r>
    <s v="現場"/>
    <s v="2588"/>
    <s v="瓦山"/>
    <x v="13"/>
    <s v="技術員"/>
    <s v="周清家"/>
    <n v="68.199999999999989"/>
    <s v="D"/>
    <n v="94"/>
    <n v="68.199999999999989"/>
    <x v="3"/>
    <n v="93"/>
    <n v="70"/>
    <m/>
    <n v="67"/>
    <m/>
    <m/>
    <m/>
    <m/>
    <m/>
    <m/>
    <m/>
    <n v="64.599999999999994"/>
  </r>
  <r>
    <s v="現場"/>
    <s v="3007"/>
    <s v="沙空"/>
    <x v="13"/>
    <s v="班長"/>
    <s v="白惇維"/>
    <n v="84.8"/>
    <s v="B"/>
    <n v="4"/>
    <n v="84.8"/>
    <x v="1"/>
    <n v="6"/>
    <n v="86"/>
    <m/>
    <n v="84"/>
    <m/>
    <m/>
    <m/>
    <m/>
    <m/>
    <m/>
    <m/>
    <n v="63.716666666666654"/>
  </r>
  <r>
    <s v="現場"/>
    <s v="2429"/>
    <s v="潘其龍"/>
    <x v="13"/>
    <s v="技術員"/>
    <s v="周清家"/>
    <n v="63.2"/>
    <s v="D"/>
    <n v="110"/>
    <n v="63.2"/>
    <x v="3"/>
    <n v="110"/>
    <n v="56"/>
    <m/>
    <n v="68"/>
    <m/>
    <m/>
    <m/>
    <m/>
    <m/>
    <m/>
    <m/>
    <n v="63.677777777777777"/>
  </r>
  <r>
    <s v="現場"/>
    <s v="2481"/>
    <s v="俗吉"/>
    <x v="13"/>
    <s v="技術員"/>
    <s v="周清家"/>
    <n v="76"/>
    <s v="C"/>
    <n v="41"/>
    <n v="76"/>
    <x v="0"/>
    <n v="41"/>
    <n v="76"/>
    <m/>
    <n v="76"/>
    <m/>
    <m/>
    <m/>
    <m/>
    <m/>
    <m/>
    <m/>
    <n v="63.599999999999994"/>
  </r>
  <r>
    <s v="現場"/>
    <s v="2685"/>
    <s v="蘇華姑"/>
    <x v="13"/>
    <s v="技術員"/>
    <s v="周清家"/>
    <n v="75.199999999999989"/>
    <s v="C"/>
    <n v="48"/>
    <n v="75.199999999999989"/>
    <x v="0"/>
    <n v="50"/>
    <n v="80"/>
    <m/>
    <n v="72"/>
    <m/>
    <m/>
    <m/>
    <m/>
    <m/>
    <m/>
    <m/>
    <n v="63.4"/>
  </r>
  <r>
    <s v="現場"/>
    <s v="2802"/>
    <s v="阮祝玲"/>
    <x v="13"/>
    <s v="技術員"/>
    <s v="周清家"/>
    <n v="87.2"/>
    <s v="B"/>
    <n v="2"/>
    <n v="87.2"/>
    <x v="1"/>
    <n v="3"/>
    <n v="92"/>
    <m/>
    <n v="84"/>
    <m/>
    <m/>
    <m/>
    <m/>
    <m/>
    <m/>
    <m/>
    <n v="63.2"/>
  </r>
  <r>
    <s v="現場"/>
    <s v="2830"/>
    <s v="磊瓦"/>
    <x v="13"/>
    <s v="技術員"/>
    <s v="周清家"/>
    <n v="80.599999999999994"/>
    <s v="B"/>
    <n v="21"/>
    <n v="80.599999999999994"/>
    <x v="1"/>
    <n v="21"/>
    <n v="80"/>
    <m/>
    <n v="81"/>
    <m/>
    <m/>
    <m/>
    <m/>
    <m/>
    <m/>
    <m/>
    <n v="62.8"/>
  </r>
  <r>
    <s v="現場"/>
    <s v="2833"/>
    <s v="蘇拉碟"/>
    <x v="13"/>
    <s v="技術員"/>
    <s v="周清家"/>
    <n v="83.6"/>
    <s v="B"/>
    <n v="7"/>
    <n v="83.6"/>
    <x v="1"/>
    <n v="9"/>
    <n v="83"/>
    <m/>
    <n v="84"/>
    <m/>
    <m/>
    <m/>
    <m/>
    <m/>
    <m/>
    <m/>
    <n v="62.400000000000006"/>
  </r>
  <r>
    <s v="現場"/>
    <s v="2917"/>
    <s v="郭均惠(調組)"/>
    <x v="13"/>
    <s v="技術員"/>
    <s v="紀佩欣"/>
    <n v="51.2"/>
    <s v="E"/>
    <n v="120"/>
    <n v="51.2"/>
    <x v="2"/>
    <n v="120"/>
    <n v="50"/>
    <m/>
    <n v="52"/>
    <m/>
    <m/>
    <m/>
    <m/>
    <m/>
    <m/>
    <m/>
    <n v="61.8"/>
  </r>
  <r>
    <s v="現場"/>
    <s v="1817"/>
    <s v="林氏美"/>
    <x v="13"/>
    <s v="技術員"/>
    <s v="周清家"/>
    <n v="73.2"/>
    <s v="C"/>
    <n v="64"/>
    <n v="73.2"/>
    <x v="0"/>
    <n v="66"/>
    <n v="78"/>
    <m/>
    <n v="70"/>
    <m/>
    <m/>
    <m/>
    <m/>
    <m/>
    <m/>
    <m/>
    <n v="61.2"/>
  </r>
  <r>
    <s v="現場"/>
    <s v="2867"/>
    <s v="宋善蓬"/>
    <x v="13"/>
    <s v="技術員"/>
    <s v="周清家"/>
    <n v="74"/>
    <s v="C"/>
    <n v="58"/>
    <n v="74"/>
    <x v="0"/>
    <n v="60"/>
    <n v="71"/>
    <m/>
    <n v="76"/>
    <m/>
    <m/>
    <m/>
    <m/>
    <m/>
    <m/>
    <m/>
    <n v="60.833333333333329"/>
  </r>
  <r>
    <s v="現場"/>
    <s v="2884"/>
    <s v="張舒涵"/>
    <x v="13"/>
    <s v="儲備幹部"/>
    <s v="周清家"/>
    <n v="83.8"/>
    <s v="B"/>
    <n v="5"/>
    <n v="83.8"/>
    <x v="1"/>
    <n v="7"/>
    <n v="85"/>
    <m/>
    <n v="83"/>
    <m/>
    <m/>
    <m/>
    <m/>
    <m/>
    <m/>
    <m/>
    <n v="60.6"/>
  </r>
  <r>
    <s v="現場"/>
    <s v="2887"/>
    <s v="王茲鈴(調組)"/>
    <x v="13"/>
    <s v="技術員"/>
    <s v="余美玉"/>
    <n v="45.8"/>
    <s v="E"/>
    <n v="124"/>
    <n v="45.8"/>
    <x v="2"/>
    <n v="124"/>
    <n v="50"/>
    <m/>
    <n v="43"/>
    <m/>
    <m/>
    <m/>
    <m/>
    <m/>
    <m/>
    <m/>
    <n v="59.8"/>
  </r>
  <r>
    <s v="現場"/>
    <s v="2893"/>
    <s v="趙秋賢"/>
    <x v="13"/>
    <s v="技術員"/>
    <s v="周清家"/>
    <n v="71"/>
    <s v="C"/>
    <n v="80"/>
    <n v="71"/>
    <x v="0"/>
    <n v="79"/>
    <n v="65"/>
    <m/>
    <n v="75"/>
    <m/>
    <m/>
    <m/>
    <m/>
    <m/>
    <m/>
    <m/>
    <n v="56.6"/>
  </r>
  <r>
    <s v="現場"/>
    <s v="2927"/>
    <s v="巴查"/>
    <x v="13"/>
    <s v="技術員"/>
    <s v="紀佩欣"/>
    <n v="67"/>
    <s v="D"/>
    <n v="97"/>
    <n v="67"/>
    <x v="3"/>
    <n v="97"/>
    <n v="67"/>
    <m/>
    <n v="67"/>
    <m/>
    <m/>
    <m/>
    <m/>
    <m/>
    <m/>
    <m/>
    <n v="55.8"/>
  </r>
  <r>
    <s v="現場"/>
    <s v="2931"/>
    <s v="偉昌"/>
    <x v="13"/>
    <s v="技術員"/>
    <s v="龔淑屏"/>
    <n v="66"/>
    <s v="D"/>
    <n v="102"/>
    <n v="66"/>
    <x v="3"/>
    <n v="101"/>
    <n v="66"/>
    <m/>
    <n v="66"/>
    <m/>
    <m/>
    <m/>
    <m/>
    <m/>
    <m/>
    <m/>
    <n v="55"/>
  </r>
  <r>
    <s v="現場"/>
    <s v="2932"/>
    <s v="努瓦"/>
    <x v="13"/>
    <s v="技術員"/>
    <s v="龔淑屏"/>
    <n v="60.6"/>
    <s v="D"/>
    <n v="116"/>
    <n v="60.6"/>
    <x v="3"/>
    <n v="116"/>
    <n v="60"/>
    <m/>
    <n v="61"/>
    <m/>
    <m/>
    <m/>
    <m/>
    <m/>
    <m/>
    <m/>
    <n v="54.8"/>
  </r>
  <r>
    <s v="現場"/>
    <s v="2944"/>
    <s v="潘嵐狄"/>
    <x v="13"/>
    <s v="技術員"/>
    <s v="白惇維"/>
    <n v="76.8"/>
    <s v="C"/>
    <n v="38"/>
    <n v="76.8"/>
    <x v="0"/>
    <n v="38"/>
    <n v="72"/>
    <m/>
    <n v="80"/>
    <m/>
    <m/>
    <m/>
    <m/>
    <m/>
    <m/>
    <m/>
    <n v="52.2"/>
  </r>
  <r>
    <s v="現場"/>
    <s v="3001"/>
    <s v="那孔(新)"/>
    <x v="13"/>
    <s v="技術員"/>
    <s v="林逸宸"/>
    <n v="0"/>
    <s v="E"/>
    <n v="126"/>
    <m/>
    <x v="4"/>
    <e v="#N/A"/>
    <n v="60"/>
    <m/>
    <n v="40"/>
    <m/>
    <m/>
    <m/>
    <m/>
    <m/>
    <m/>
    <m/>
    <n v="51.2"/>
  </r>
  <r>
    <s v="現場"/>
    <s v="2993"/>
    <s v="沈怡婷"/>
    <x v="13"/>
    <s v="技術員"/>
    <s v="白惇維"/>
    <n v="67.8"/>
    <s v="D"/>
    <n v="95"/>
    <n v="67.8"/>
    <x v="3"/>
    <n v="94"/>
    <n v="81"/>
    <m/>
    <n v="59"/>
    <m/>
    <m/>
    <m/>
    <m/>
    <m/>
    <m/>
    <m/>
    <n v="51"/>
  </r>
  <r>
    <s v="現場"/>
    <s v="3017"/>
    <s v="他那空(新)"/>
    <x v="13"/>
    <s v="技術員"/>
    <s v="白惇維"/>
    <n v="0"/>
    <s v="E"/>
    <n v="126"/>
    <m/>
    <x v="4"/>
    <e v="#N/A"/>
    <n v="70"/>
    <m/>
    <n v="45"/>
    <m/>
    <m/>
    <m/>
    <m/>
    <m/>
    <m/>
    <m/>
    <n v="50"/>
  </r>
  <r>
    <s v="現場"/>
    <s v="3018"/>
    <s v="央南(新)"/>
    <x v="13"/>
    <s v="技術員"/>
    <s v="白惇維"/>
    <n v="0"/>
    <s v="E"/>
    <n v="126"/>
    <m/>
    <x v="4"/>
    <e v="#N/A"/>
    <n v="71"/>
    <m/>
    <n v="44"/>
    <m/>
    <m/>
    <m/>
    <m/>
    <m/>
    <m/>
    <m/>
    <n v="50"/>
  </r>
  <r>
    <s v="現場"/>
    <s v="0857"/>
    <s v="楊瑪莉"/>
    <x v="13"/>
    <s v="技術員"/>
    <s v="周清家"/>
    <n v="83.6"/>
    <s v="B"/>
    <n v="7"/>
    <n v="83.6"/>
    <x v="1"/>
    <n v="9"/>
    <n v="83"/>
    <m/>
    <n v="84"/>
    <m/>
    <m/>
    <m/>
    <m/>
    <m/>
    <m/>
    <m/>
    <n v="49.4"/>
  </r>
  <r>
    <s v="現場"/>
    <s v="3028"/>
    <s v="班文(新)"/>
    <x v="13"/>
    <s v="技術員"/>
    <s v="白惇維"/>
    <n v="0"/>
    <s v="E"/>
    <n v="126"/>
    <m/>
    <x v="4"/>
    <e v="#N/A"/>
    <n v="60"/>
    <m/>
    <n v="47"/>
    <m/>
    <m/>
    <m/>
    <m/>
    <m/>
    <m/>
    <m/>
    <n v="49"/>
  </r>
  <r>
    <s v="現場"/>
    <s v="3025"/>
    <s v="匹拉(新)"/>
    <x v="13"/>
    <s v="技術員"/>
    <s v="白惇維"/>
    <n v="0"/>
    <s v="E"/>
    <n v="126"/>
    <m/>
    <x v="4"/>
    <e v="#N/A"/>
    <n v="62"/>
    <m/>
    <n v="42"/>
    <m/>
    <m/>
    <m/>
    <m/>
    <m/>
    <m/>
    <m/>
    <n v="48.400000000000006"/>
  </r>
  <r>
    <s v="現場"/>
    <s v="3026"/>
    <s v="斯立查(新)"/>
    <x v="13"/>
    <s v="技術員"/>
    <s v="白惇維"/>
    <n v="0"/>
    <s v="E"/>
    <n v="126"/>
    <m/>
    <x v="4"/>
    <e v="#N/A"/>
    <n v="62"/>
    <m/>
    <n v="41"/>
    <m/>
    <m/>
    <m/>
    <m/>
    <m/>
    <m/>
    <m/>
    <n v="48"/>
  </r>
  <r>
    <s v="現場"/>
    <s v="2029"/>
    <s v="蔡麗花"/>
    <x v="13"/>
    <s v="技術員"/>
    <s v="周清家"/>
    <n v="72.8"/>
    <s v="C"/>
    <n v="69"/>
    <n v="72.8"/>
    <x v="0"/>
    <n v="70"/>
    <n v="71"/>
    <m/>
    <n v="74"/>
    <m/>
    <m/>
    <m/>
    <m/>
    <m/>
    <m/>
    <m/>
    <n v="47.400000000000006"/>
  </r>
  <r>
    <s v="現場"/>
    <s v="0835"/>
    <s v="戴全柏"/>
    <x v="13"/>
    <s v="技術員"/>
    <s v="周清家"/>
    <n v="73.8"/>
    <s v="C"/>
    <n v="60"/>
    <n v="73.8"/>
    <x v="0"/>
    <n v="62"/>
    <n v="72"/>
    <m/>
    <n v="75"/>
    <m/>
    <m/>
    <m/>
    <m/>
    <m/>
    <m/>
    <m/>
    <n v="46"/>
  </r>
  <r>
    <s v="不需"/>
    <s v="0329"/>
    <s v="鄭凱仁"/>
    <x v="14"/>
    <s v="董事長"/>
    <s v="鄭凱仁"/>
    <m/>
    <m/>
    <m/>
    <m/>
    <x v="4"/>
    <m/>
    <e v="#DIV/0!"/>
    <e v="#DIV/0!"/>
    <e v="#DIV/0!"/>
    <m/>
    <m/>
    <m/>
    <m/>
    <m/>
    <m/>
    <m/>
    <n v="45.8"/>
  </r>
  <r>
    <s v="✓✓"/>
    <s v="1415"/>
    <s v="陳佳倫"/>
    <x v="15"/>
    <s v="副總經理"/>
    <s v="鄭凱仁"/>
    <m/>
    <m/>
    <m/>
    <m/>
    <x v="4"/>
    <m/>
    <e v="#DIV/0!"/>
    <e v="#DIV/0!"/>
    <e v="#DIV/0!"/>
    <m/>
    <m/>
    <m/>
    <m/>
    <m/>
    <m/>
    <m/>
    <n v="45.8"/>
  </r>
  <r>
    <s v="✓✓"/>
    <s v="0661"/>
    <s v="鄭景文"/>
    <x v="15"/>
    <s v="總經理"/>
    <m/>
    <m/>
    <m/>
    <m/>
    <m/>
    <x v="4"/>
    <m/>
    <e v="#DIV/0!"/>
    <e v="#DIV/0!"/>
    <e v="#DIV/0!"/>
    <m/>
    <m/>
    <m/>
    <m/>
    <m/>
    <m/>
    <m/>
    <m/>
  </r>
  <r>
    <s v="新人"/>
    <s v="3022"/>
    <s v="李庭慧"/>
    <x v="15"/>
    <s v="秘書"/>
    <s v="陳佳倫"/>
    <m/>
    <m/>
    <m/>
    <m/>
    <x v="4"/>
    <m/>
    <e v="#DIV/0!"/>
    <e v="#DIV/0!"/>
    <e v="#DIV/0!"/>
    <m/>
    <m/>
    <m/>
    <m/>
    <m/>
    <m/>
    <m/>
    <m/>
  </r>
  <r>
    <s v="✓✓"/>
    <s v="2939"/>
    <s v="尹詩婷"/>
    <x v="15"/>
    <s v="秘書"/>
    <s v="陳佳倫"/>
    <n v="82.61904761904762"/>
    <s v="B"/>
    <n v="11"/>
    <n v="109.61904761904762"/>
    <x v="5"/>
    <n v="1"/>
    <n v="80"/>
    <n v="83.666666666666671"/>
    <m/>
    <m/>
    <m/>
    <n v="1"/>
    <m/>
    <m/>
    <m/>
    <n v="27"/>
    <m/>
  </r>
  <r>
    <s v="✓✓"/>
    <s v="2949"/>
    <s v="陳福郎"/>
    <x v="16"/>
    <s v="助理專員"/>
    <s v="張欽發"/>
    <n v="66.099999999999994"/>
    <s v="D"/>
    <n v="101"/>
    <n v="66.099999999999994"/>
    <x v="3"/>
    <n v="100"/>
    <n v="81"/>
    <n v="60.2"/>
    <n v="66"/>
    <m/>
    <m/>
    <m/>
    <m/>
    <m/>
    <m/>
    <m/>
    <m/>
  </r>
  <r>
    <s v="新人"/>
    <s v="3015"/>
    <s v="蘇恬幼"/>
    <x v="16"/>
    <s v="課長"/>
    <s v="陳佳倫"/>
    <m/>
    <s v="E"/>
    <n v="126"/>
    <m/>
    <x v="4"/>
    <m/>
    <e v="#DIV/0!"/>
    <e v="#DIV/0!"/>
    <e v="#DIV/0!"/>
    <m/>
    <m/>
    <m/>
    <m/>
    <m/>
    <m/>
    <m/>
    <m/>
  </r>
  <r>
    <m/>
    <s v="2979"/>
    <s v="吳桂梅"/>
    <x v="16"/>
    <s v="清潔員"/>
    <s v="林逸宸"/>
    <n v="73.5"/>
    <s v="C"/>
    <n v="62"/>
    <n v="73.5"/>
    <x v="0"/>
    <n v="64"/>
    <n v="73.5"/>
    <m/>
    <m/>
    <m/>
    <m/>
    <m/>
    <m/>
    <m/>
    <m/>
    <m/>
    <m/>
  </r>
  <r>
    <s v="✓✓"/>
    <s v="0859"/>
    <s v="張欽發"/>
    <x v="16"/>
    <s v="助理專員"/>
    <s v="曾泓霖"/>
    <n v="77.125"/>
    <s v="C"/>
    <n v="31"/>
    <n v="77.125"/>
    <x v="0"/>
    <n v="31"/>
    <n v="84"/>
    <n v="74.375"/>
    <m/>
    <m/>
    <m/>
    <m/>
    <m/>
    <m/>
    <m/>
    <m/>
    <m/>
  </r>
  <r>
    <s v="✓✓"/>
    <s v="2645"/>
    <s v="蔡欣芸"/>
    <x v="16"/>
    <s v="助理"/>
    <s v="鄭景文"/>
    <n v="69"/>
    <s v="D"/>
    <n v="88"/>
    <n v="69"/>
    <x v="3"/>
    <n v="86"/>
    <n v="71"/>
    <n v="80.2"/>
    <n v="49"/>
    <m/>
    <m/>
    <m/>
    <m/>
    <m/>
    <m/>
    <m/>
    <m/>
  </r>
  <r>
    <s v="✓✓"/>
    <s v="2863"/>
    <s v="陳家祥"/>
    <x v="16"/>
    <s v="代理副課長"/>
    <s v="白惇維"/>
    <n v="64.7"/>
    <s v="D"/>
    <n v="105"/>
    <n v="67.7"/>
    <x v="3"/>
    <n v="96"/>
    <n v="79.8"/>
    <n v="62.8"/>
    <n v="67.8"/>
    <n v="1"/>
    <m/>
    <m/>
    <m/>
    <m/>
    <m/>
    <n v="3"/>
    <m/>
  </r>
  <r>
    <m/>
    <m/>
    <m/>
    <x v="17"/>
    <m/>
    <m/>
    <m/>
    <m/>
    <m/>
    <m/>
    <x v="4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6">
  <r>
    <s v="鄭淑鐘"/>
    <x v="0"/>
    <s v="助理專員"/>
    <s v="伍珈彣"/>
    <n v="74.7"/>
    <x v="0"/>
    <n v="52"/>
    <n v="74.7"/>
    <x v="0"/>
  </r>
  <r>
    <s v="陳玉慧"/>
    <x v="0"/>
    <s v="業務助理"/>
    <s v="伍珈彣"/>
    <n v="77.3"/>
    <x v="0"/>
    <n v="30"/>
    <n v="77.3"/>
    <x v="1"/>
  </r>
  <r>
    <s v="伍珈彣"/>
    <x v="0"/>
    <s v="組長"/>
    <s v="鄭景文"/>
    <n v="79.285714285714292"/>
    <x v="0"/>
    <n v="24"/>
    <n v="79.285714285714292"/>
    <x v="1"/>
  </r>
  <r>
    <s v="賴慶燁"/>
    <x v="1"/>
    <s v="助理工程師"/>
    <s v="郭惠燕"/>
    <n v="87.6"/>
    <x v="1"/>
    <n v="1"/>
    <n v="87.6"/>
    <x v="1"/>
  </r>
  <r>
    <s v="那彭"/>
    <x v="1"/>
    <s v="技術員"/>
    <s v="郭惠燕"/>
    <n v="50"/>
    <x v="2"/>
    <n v="121"/>
    <n v="50"/>
    <x v="2"/>
  </r>
  <r>
    <s v="夏塔拉"/>
    <x v="1"/>
    <s v="技術員"/>
    <s v="郭惠燕"/>
    <n v="68.400000000000006"/>
    <x v="3"/>
    <n v="93"/>
    <n v="68.400000000000006"/>
    <x v="3"/>
  </r>
  <r>
    <s v="馬立泥"/>
    <x v="1"/>
    <s v="技術員"/>
    <s v="郭惠燕"/>
    <n v="63.4"/>
    <x v="3"/>
    <n v="109"/>
    <n v="63.4"/>
    <x v="3"/>
  </r>
  <r>
    <s v="肅坦"/>
    <x v="1"/>
    <s v="技術員"/>
    <s v="白惇維"/>
    <n v="73.199999999999989"/>
    <x v="0"/>
    <n v="65"/>
    <n v="73.199999999999989"/>
    <x v="0"/>
  </r>
  <r>
    <s v="百翔"/>
    <x v="1"/>
    <s v="技術員"/>
    <s v="白惇維"/>
    <n v="73.599999999999994"/>
    <x v="0"/>
    <n v="61"/>
    <n v="73.599999999999994"/>
    <x v="0"/>
  </r>
  <r>
    <s v="隆峽"/>
    <x v="1"/>
    <s v="技術員"/>
    <s v="郭惠燕"/>
    <n v="73.800000000000011"/>
    <x v="0"/>
    <n v="59"/>
    <n v="73.800000000000011"/>
    <x v="0"/>
  </r>
  <r>
    <s v="松沙"/>
    <x v="1"/>
    <s v="技術員"/>
    <s v="郭惠燕"/>
    <n v="83.8"/>
    <x v="1"/>
    <n v="5"/>
    <n v="83.8"/>
    <x v="1"/>
  </r>
  <r>
    <s v="宇藍南"/>
    <x v="1"/>
    <s v="技術員"/>
    <s v="周清家"/>
    <n v="62.400000000000006"/>
    <x v="3"/>
    <n v="112"/>
    <n v="62.400000000000006"/>
    <x v="3"/>
  </r>
  <r>
    <s v="南龍裡"/>
    <x v="1"/>
    <s v="技術員"/>
    <s v="郭惠燕"/>
    <n v="69.2"/>
    <x v="3"/>
    <n v="87"/>
    <n v="69.2"/>
    <x v="3"/>
  </r>
  <r>
    <s v="南天鵬"/>
    <x v="1"/>
    <s v="技術員"/>
    <s v="周清家"/>
    <n v="67.8"/>
    <x v="3"/>
    <n v="95"/>
    <n v="67.8"/>
    <x v="3"/>
  </r>
  <r>
    <s v="陳俊智"/>
    <x v="1"/>
    <s v="技術員"/>
    <s v="郭惠燕"/>
    <n v="77"/>
    <x v="0"/>
    <n v="33"/>
    <n v="77"/>
    <x v="1"/>
  </r>
  <r>
    <s v="阿迪朋"/>
    <x v="1"/>
    <s v="技術員"/>
    <s v="陳佳安"/>
    <n v="70.599999999999994"/>
    <x v="0"/>
    <n v="84"/>
    <n v="70.599999999999994"/>
    <x v="0"/>
  </r>
  <r>
    <s v="阿沙文"/>
    <x v="1"/>
    <s v="技術員"/>
    <s v="郭惠燕"/>
    <n v="62.8"/>
    <x v="3"/>
    <n v="111"/>
    <n v="62.8"/>
    <x v="3"/>
  </r>
  <r>
    <s v="阿凱"/>
    <x v="1"/>
    <s v="技術員"/>
    <s v="郭惠燕"/>
    <n v="59.8"/>
    <x v="2"/>
    <n v="117"/>
    <n v="59.8"/>
    <x v="2"/>
  </r>
  <r>
    <s v="周安琪"/>
    <x v="1"/>
    <s v="班長"/>
    <s v="郭惠燕"/>
    <n v="68.566666666666663"/>
    <x v="3"/>
    <n v="92"/>
    <n v="68.566666666666663"/>
    <x v="3"/>
  </r>
  <r>
    <s v="黃氏金莉"/>
    <x v="1"/>
    <s v="技術員"/>
    <s v="郭惠燕"/>
    <n v="74.400000000000006"/>
    <x v="0"/>
    <n v="55"/>
    <n v="74.400000000000006"/>
    <x v="0"/>
  </r>
  <r>
    <s v="威耐"/>
    <x v="1"/>
    <s v="班長"/>
    <s v="郭惠燕"/>
    <n v="73.275000000000006"/>
    <x v="0"/>
    <n v="63"/>
    <n v="73.275000000000006"/>
    <x v="0"/>
  </r>
  <r>
    <s v="郭惠燕"/>
    <x v="1"/>
    <s v="組長"/>
    <s v="周清家"/>
    <n v="72.8"/>
    <x v="0"/>
    <n v="69"/>
    <n v="75.8"/>
    <x v="0"/>
  </r>
  <r>
    <s v="陳世傑"/>
    <x v="1"/>
    <s v="技術員"/>
    <s v="郭惠燕"/>
    <n v="55.8"/>
    <x v="2"/>
    <n v="119"/>
    <n v="55.8"/>
    <x v="2"/>
  </r>
  <r>
    <s v="連維敏"/>
    <x v="2"/>
    <s v="技術員"/>
    <s v="陳佳安"/>
    <n v="74.2"/>
    <x v="0"/>
    <n v="56"/>
    <n v="74.2"/>
    <x v="0"/>
  </r>
  <r>
    <s v="朱淑君"/>
    <x v="2"/>
    <s v="技術員"/>
    <s v="陳怡珊"/>
    <n v="76.800000000000011"/>
    <x v="0"/>
    <n v="37"/>
    <n v="76.800000000000011"/>
    <x v="0"/>
  </r>
  <r>
    <s v="呂雅秀"/>
    <x v="2"/>
    <s v="技術員"/>
    <s v="陳佳安"/>
    <n v="63.599999999999994"/>
    <x v="3"/>
    <n v="108"/>
    <n v="63.599999999999994"/>
    <x v="3"/>
  </r>
  <r>
    <s v="松甲"/>
    <x v="2"/>
    <s v="技術員"/>
    <s v="陳佳安"/>
    <n v="82.8"/>
    <x v="1"/>
    <n v="9"/>
    <n v="82.8"/>
    <x v="1"/>
  </r>
  <r>
    <s v="陳意琛"/>
    <x v="2"/>
    <s v="技術員"/>
    <s v="陳佳安"/>
    <n v="74.199999999999989"/>
    <x v="0"/>
    <n v="57"/>
    <n v="74.199999999999989"/>
    <x v="0"/>
  </r>
  <r>
    <s v="蘇拉岡"/>
    <x v="2"/>
    <s v="技術員"/>
    <s v="陳佳安"/>
    <n v="77.599999999999994"/>
    <x v="0"/>
    <n v="28"/>
    <n v="77.599999999999994"/>
    <x v="1"/>
  </r>
  <r>
    <s v="周柏杰"/>
    <x v="2"/>
    <s v="技術員"/>
    <s v="陳佳安"/>
    <n v="70.599999999999994"/>
    <x v="0"/>
    <n v="84"/>
    <n v="70.599999999999994"/>
    <x v="0"/>
  </r>
  <r>
    <s v="朗吾"/>
    <x v="2"/>
    <s v="技術員"/>
    <s v="陳怡珊"/>
    <n v="61.2"/>
    <x v="3"/>
    <n v="114"/>
    <n v="61.2"/>
    <x v="3"/>
  </r>
  <r>
    <s v="克里達"/>
    <x v="2"/>
    <s v="技術員"/>
    <s v="陳佳安"/>
    <n v="75.8"/>
    <x v="0"/>
    <n v="45"/>
    <n v="75.8"/>
    <x v="0"/>
  </r>
  <r>
    <s v="巴林亞"/>
    <x v="2"/>
    <s v="技術員"/>
    <s v="陳怡珊"/>
    <n v="70.8"/>
    <x v="0"/>
    <n v="83"/>
    <n v="70.8"/>
    <x v="0"/>
  </r>
  <r>
    <s v="及可"/>
    <x v="2"/>
    <s v="技術員"/>
    <s v="陳怡珊"/>
    <n v="68.8"/>
    <x v="3"/>
    <n v="89"/>
    <n v="68.8"/>
    <x v="3"/>
  </r>
  <r>
    <s v="吉沙達"/>
    <x v="2"/>
    <s v="技術員"/>
    <s v="陳怡珊"/>
    <n v="56.6"/>
    <x v="2"/>
    <n v="118"/>
    <n v="56.6"/>
    <x v="2"/>
  </r>
  <r>
    <s v="陳怡珊"/>
    <x v="2"/>
    <s v="副組長"/>
    <s v="楊玉鳳"/>
    <n v="76.959183673469383"/>
    <x v="0"/>
    <n v="35"/>
    <n v="76.959183673469383"/>
    <x v="0"/>
  </r>
  <r>
    <s v="鄭萍"/>
    <x v="3"/>
    <s v="技術員"/>
    <s v="覃麗嬋"/>
    <n v="71.599999999999994"/>
    <x v="0"/>
    <n v="79"/>
    <n v="71.599999999999994"/>
    <x v="0"/>
  </r>
  <r>
    <s v="覃麗嬋"/>
    <x v="3"/>
    <s v="副組長"/>
    <s v="周清家"/>
    <n v="77.061224489795933"/>
    <x v="0"/>
    <n v="32"/>
    <n v="77.061224489795933"/>
    <x v="1"/>
  </r>
  <r>
    <s v="李昱鋐"/>
    <x v="3"/>
    <s v="班長"/>
    <s v="覃麗嬋"/>
    <n v="75.099999999999994"/>
    <x v="0"/>
    <n v="49"/>
    <n v="75.099999999999994"/>
    <x v="0"/>
  </r>
  <r>
    <s v="蘇英輝"/>
    <x v="3"/>
    <s v="技術員"/>
    <s v="白惇維"/>
    <n v="61.8"/>
    <x v="3"/>
    <n v="113"/>
    <n v="61.8"/>
    <x v="3"/>
  </r>
  <r>
    <s v="阿塘"/>
    <x v="3"/>
    <s v="技術員"/>
    <s v="覃麗嬋"/>
    <n v="72.599999999999994"/>
    <x v="0"/>
    <n v="73"/>
    <n v="72.599999999999994"/>
    <x v="0"/>
  </r>
  <r>
    <s v="陳奕廷"/>
    <x v="3"/>
    <s v="技術員"/>
    <s v="覃麗嬋"/>
    <n v="76"/>
    <x v="0"/>
    <n v="41"/>
    <n v="76"/>
    <x v="0"/>
  </r>
  <r>
    <s v="王美婷"/>
    <x v="4"/>
    <s v="會計人員"/>
    <s v="陳佳倫"/>
    <n v="77.8"/>
    <x v="0"/>
    <n v="27"/>
    <n v="77.8"/>
    <x v="1"/>
  </r>
  <r>
    <s v="孫素琴"/>
    <x v="4"/>
    <s v="會計人員"/>
    <s v="陳佳倫"/>
    <n v="84.86666666666666"/>
    <x v="1"/>
    <n v="3"/>
    <n v="84.86666666666666"/>
    <x v="1"/>
  </r>
  <r>
    <s v="陳俐秀"/>
    <x v="4"/>
    <s v="課長"/>
    <s v="陳佳倫"/>
    <n v="76"/>
    <x v="0"/>
    <n v="41"/>
    <n v="76"/>
    <x v="0"/>
  </r>
  <r>
    <s v="陳燕華"/>
    <x v="4"/>
    <s v="會計人員"/>
    <s v="陳佳倫"/>
    <n v="74.733333333333334"/>
    <x v="0"/>
    <n v="51"/>
    <n v="74.733333333333334"/>
    <x v="0"/>
  </r>
  <r>
    <s v="于宗訓"/>
    <x v="4"/>
    <s v="會計人員"/>
    <s v="陳俐秀"/>
    <m/>
    <x v="2"/>
    <n v="126"/>
    <m/>
    <x v="4"/>
  </r>
  <r>
    <s v="尤(禾云)棠"/>
    <x v="5"/>
    <s v="採購助理"/>
    <s v="王秀雯"/>
    <n v="72.2"/>
    <x v="0"/>
    <n v="76"/>
    <n v="72.2"/>
    <x v="0"/>
  </r>
  <r>
    <s v="傅文成"/>
    <x v="5"/>
    <s v="技術員"/>
    <s v="白惇維"/>
    <n v="60.833333333333329"/>
    <x v="3"/>
    <n v="115"/>
    <n v="60.833333333333329"/>
    <x v="3"/>
  </r>
  <r>
    <s v="羅文彥"/>
    <x v="5"/>
    <s v="堆高機員"/>
    <s v="王秀雯"/>
    <n v="71.875"/>
    <x v="0"/>
    <n v="77"/>
    <n v="71.875"/>
    <x v="0"/>
  </r>
  <r>
    <s v="郭惠婷"/>
    <x v="5"/>
    <s v="行政助理"/>
    <s v="王秀雯"/>
    <n v="72.75"/>
    <x v="0"/>
    <n v="72"/>
    <n v="72.75"/>
    <x v="0"/>
  </r>
  <r>
    <s v="郭乃源"/>
    <x v="5"/>
    <s v="司機"/>
    <s v="王秀雯"/>
    <m/>
    <x v="4"/>
    <m/>
    <m/>
    <x v="4"/>
  </r>
  <r>
    <s v="曾泓霖"/>
    <x v="5"/>
    <s v="組長"/>
    <s v="陳佳倫"/>
    <n v="74.612244897959187"/>
    <x v="0"/>
    <n v="53"/>
    <n v="68.612244897959187"/>
    <x v="3"/>
  </r>
  <r>
    <s v="陳惠萍"/>
    <x v="5"/>
    <s v="組長"/>
    <s v="王秀雯"/>
    <n v="80.693877551020421"/>
    <x v="1"/>
    <n v="17"/>
    <n v="80.693877551020421"/>
    <x v="1"/>
  </r>
  <r>
    <s v="石容瑄"/>
    <x v="5"/>
    <s v="助理專員"/>
    <s v="王秀雯"/>
    <n v="79.938775510204081"/>
    <x v="0"/>
    <n v="22"/>
    <n v="79.938775510204081"/>
    <x v="1"/>
  </r>
  <r>
    <s v="潘佩君"/>
    <x v="5"/>
    <s v="班長"/>
    <s v="陳惠萍"/>
    <m/>
    <x v="4"/>
    <m/>
    <m/>
    <x v="4"/>
  </r>
  <r>
    <s v="王秀雯"/>
    <x v="5"/>
    <s v="副課長"/>
    <s v="鄭景文"/>
    <n v="81.349999999999994"/>
    <x v="1"/>
    <n v="14"/>
    <n v="81.349999999999994"/>
    <x v="1"/>
  </r>
  <r>
    <s v="陳巧倫"/>
    <x v="5"/>
    <s v="助理"/>
    <s v="王秀雯"/>
    <n v="64.599999999999994"/>
    <x v="3"/>
    <n v="106"/>
    <n v="64.599999999999994"/>
    <x v="3"/>
  </r>
  <r>
    <s v="楊心恬"/>
    <x v="5"/>
    <s v="技術員"/>
    <s v="王秀雯"/>
    <n v="73.175000000000011"/>
    <x v="0"/>
    <n v="66"/>
    <n v="73.175000000000011"/>
    <x v="0"/>
  </r>
  <r>
    <s v="林德和"/>
    <x v="5"/>
    <s v="技術員"/>
    <s v="王秀雯"/>
    <n v="69.525000000000006"/>
    <x v="3"/>
    <n v="86"/>
    <n v="69.525000000000006"/>
    <x v="3"/>
  </r>
  <r>
    <s v="戴曜瑋"/>
    <x v="5"/>
    <s v="技術員"/>
    <s v="王秀雯"/>
    <n v="70.849999999999994"/>
    <x v="0"/>
    <n v="82"/>
    <n v="64.849999999999994"/>
    <x v="3"/>
  </r>
  <r>
    <s v="清馬拉"/>
    <x v="5"/>
    <s v="技術員"/>
    <s v="王秀雯"/>
    <n v="66.677777777777777"/>
    <x v="3"/>
    <n v="99"/>
    <n v="63.677777777777777"/>
    <x v="3"/>
  </r>
  <r>
    <s v="尤念萍"/>
    <x v="5"/>
    <s v="班長"/>
    <s v="王秀雯"/>
    <n v="74.826666666666668"/>
    <x v="0"/>
    <n v="50"/>
    <n v="74.826666666666668"/>
    <x v="0"/>
  </r>
  <r>
    <s v="陳孟怡"/>
    <x v="5"/>
    <s v="助理"/>
    <s v="陳惠萍"/>
    <n v="80.5"/>
    <x v="1"/>
    <n v="19"/>
    <n v="80.5"/>
    <x v="1"/>
  </r>
  <r>
    <s v="吉實達"/>
    <x v="6"/>
    <s v="組長"/>
    <s v="楊玉鳳"/>
    <n v="80.732142857142861"/>
    <x v="1"/>
    <n v="16"/>
    <n v="80.732142857142861"/>
    <x v="1"/>
  </r>
  <r>
    <s v="潘盈蓁"/>
    <x v="6"/>
    <s v="技術員"/>
    <s v="楊玉鳳"/>
    <n v="71"/>
    <x v="0"/>
    <n v="80"/>
    <n v="71"/>
    <x v="0"/>
  </r>
  <r>
    <s v="紀佩欣"/>
    <x v="6"/>
    <s v="副組長"/>
    <s v="楊玉鳳"/>
    <n v="80"/>
    <x v="1"/>
    <n v="21"/>
    <n v="80"/>
    <x v="1"/>
  </r>
  <r>
    <s v="崇南"/>
    <x v="6"/>
    <s v="技術員"/>
    <s v="紀佩欣"/>
    <n v="66.599999999999994"/>
    <x v="3"/>
    <n v="100"/>
    <n v="66.599999999999994"/>
    <x v="3"/>
  </r>
  <r>
    <s v="邦迪"/>
    <x v="6"/>
    <s v="技術員"/>
    <s v="楊玉鳳"/>
    <n v="65.599999999999994"/>
    <x v="3"/>
    <n v="104"/>
    <n v="65.599999999999994"/>
    <x v="3"/>
  </r>
  <r>
    <s v="姜威藍"/>
    <x v="6"/>
    <s v="技術員"/>
    <s v="周清家"/>
    <n v="68.8"/>
    <x v="3"/>
    <n v="89"/>
    <n v="68.8"/>
    <x v="3"/>
  </r>
  <r>
    <s v="郭藍林"/>
    <x v="6"/>
    <s v="技術員"/>
    <s v="紀佩欣"/>
    <n v="68.8"/>
    <x v="3"/>
    <n v="89"/>
    <n v="68.8"/>
    <x v="3"/>
  </r>
  <r>
    <s v="吳拉查"/>
    <x v="6"/>
    <s v="技術員"/>
    <s v="楊玉鳳"/>
    <n v="76.400000000000006"/>
    <x v="0"/>
    <n v="39"/>
    <n v="76.400000000000006"/>
    <x v="0"/>
  </r>
  <r>
    <s v="陳凱"/>
    <x v="6"/>
    <s v="技術員"/>
    <s v="楊玉鳳"/>
    <n v="75.599999999999994"/>
    <x v="0"/>
    <n v="47"/>
    <n v="75.599999999999994"/>
    <x v="0"/>
  </r>
  <r>
    <s v="查朋(新)"/>
    <x v="6"/>
    <s v="技術員"/>
    <s v="紀佩欣"/>
    <n v="0"/>
    <x v="2"/>
    <n v="126"/>
    <m/>
    <x v="4"/>
  </r>
  <r>
    <s v="提拉瓦(新)"/>
    <x v="6"/>
    <s v="技術員"/>
    <s v="紀佩欣"/>
    <n v="0"/>
    <x v="2"/>
    <n v="126"/>
    <m/>
    <x v="4"/>
  </r>
  <r>
    <s v="薩財(新)"/>
    <x v="6"/>
    <s v="技術員"/>
    <s v="紀佩欣"/>
    <n v="0"/>
    <x v="2"/>
    <n v="126"/>
    <m/>
    <x v="4"/>
  </r>
  <r>
    <s v="三理(新)"/>
    <x v="6"/>
    <s v="技術員"/>
    <s v="紀佩欣"/>
    <n v="0"/>
    <x v="2"/>
    <n v="126"/>
    <m/>
    <x v="4"/>
  </r>
  <r>
    <s v="林依婷"/>
    <x v="7"/>
    <s v="品檢員"/>
    <s v="朱冠瑋"/>
    <n v="72.433333333333337"/>
    <x v="0"/>
    <n v="75"/>
    <n v="72.433333333333337"/>
    <x v="0"/>
  </r>
  <r>
    <s v="朱冠瑋"/>
    <x v="7"/>
    <s v="課長"/>
    <s v="陳佳倫"/>
    <n v="78.957142857142856"/>
    <x v="0"/>
    <n v="26"/>
    <n v="78.957142857142856"/>
    <x v="1"/>
  </r>
  <r>
    <s v="周清家"/>
    <x v="7"/>
    <s v="專員"/>
    <s v="朱冠瑋"/>
    <n v="63.716666666666654"/>
    <x v="3"/>
    <n v="107"/>
    <n v="63.716666666666654"/>
    <x v="3"/>
  </r>
  <r>
    <s v="詹郁瑛"/>
    <x v="7"/>
    <s v="技術員"/>
    <s v="李富崑"/>
    <n v="76.816666666666663"/>
    <x v="0"/>
    <n v="36"/>
    <n v="76.816666666666663"/>
    <x v="0"/>
  </r>
  <r>
    <s v="龔淑屏"/>
    <x v="8"/>
    <s v="課長"/>
    <s v="陳佳倫"/>
    <n v="82.8"/>
    <x v="1"/>
    <n v="9"/>
    <n v="85.8"/>
    <x v="1"/>
  </r>
  <r>
    <s v="楊玉鳳"/>
    <x v="8"/>
    <s v="副課長"/>
    <s v="周清家"/>
    <n v="75.849999999999994"/>
    <x v="0"/>
    <n v="44"/>
    <n v="75.849999999999994"/>
    <x v="0"/>
  </r>
  <r>
    <s v="鍾欣芳"/>
    <x v="8"/>
    <s v="助理"/>
    <s v="龔淑屏"/>
    <n v="81.058333333333337"/>
    <x v="1"/>
    <n v="15"/>
    <n v="81.058333333333337"/>
    <x v="1"/>
  </r>
  <r>
    <s v="劉祐誠"/>
    <x v="9"/>
    <s v="經理"/>
    <s v="鄭景文"/>
    <n v="71.8"/>
    <x v="0"/>
    <n v="78"/>
    <n v="74.8"/>
    <x v="0"/>
  </r>
  <r>
    <s v="黃士咸"/>
    <x v="10"/>
    <s v="工程師"/>
    <s v="劉祐誠"/>
    <n v="77.400000000000006"/>
    <x v="0"/>
    <n v="29"/>
    <n v="77.400000000000006"/>
    <x v="1"/>
  </r>
  <r>
    <s v="曾夷璋"/>
    <x v="10"/>
    <s v="工程師"/>
    <s v="白惇維"/>
    <n v="72.900000000000006"/>
    <x v="0"/>
    <n v="68"/>
    <n v="75.900000000000006"/>
    <x v="0"/>
  </r>
  <r>
    <s v="王舒瑩"/>
    <x v="11"/>
    <s v="班長"/>
    <s v="余美玉"/>
    <n v="79.416666666666657"/>
    <x v="0"/>
    <n v="23"/>
    <n v="79.416666666666657"/>
    <x v="1"/>
  </r>
  <r>
    <s v="蔡麗娟"/>
    <x v="11"/>
    <s v="技術員"/>
    <s v="陳怡珊"/>
    <n v="76.400000000000006"/>
    <x v="0"/>
    <n v="39"/>
    <n v="76.400000000000006"/>
    <x v="0"/>
  </r>
  <r>
    <s v="梁美麗"/>
    <x v="11"/>
    <s v="技術員"/>
    <s v="陳怡珊"/>
    <n v="81.400000000000006"/>
    <x v="1"/>
    <n v="13"/>
    <n v="81.400000000000006"/>
    <x v="1"/>
  </r>
  <r>
    <s v="郭韋霆"/>
    <x v="11"/>
    <s v="技術員"/>
    <s v="陳怡珊"/>
    <n v="80.199999999999989"/>
    <x v="1"/>
    <n v="20"/>
    <n v="80.199999999999989"/>
    <x v="1"/>
  </r>
  <r>
    <s v="莊慈君"/>
    <x v="11"/>
    <s v="技術員"/>
    <s v="陳怡珊"/>
    <n v="72.8"/>
    <x v="0"/>
    <n v="69"/>
    <n v="72.8"/>
    <x v="0"/>
  </r>
  <r>
    <s v="林綉玲"/>
    <x v="11"/>
    <s v="技術員"/>
    <s v="陳怡珊"/>
    <n v="74.599999999999994"/>
    <x v="0"/>
    <n v="54"/>
    <n v="74.599999999999994"/>
    <x v="0"/>
  </r>
  <r>
    <s v="馬程鳳"/>
    <x v="11"/>
    <s v="技術員"/>
    <s v="郭惠燕"/>
    <n v="66"/>
    <x v="3"/>
    <n v="102"/>
    <n v="66"/>
    <x v="3"/>
  </r>
  <r>
    <s v="甘麗婷(離)"/>
    <x v="11"/>
    <s v="技術員"/>
    <s v="白惇維"/>
    <m/>
    <x v="2"/>
    <m/>
    <m/>
    <x v="4"/>
  </r>
  <r>
    <s v="拉桑"/>
    <x v="11"/>
    <s v="技術員"/>
    <s v="林逸宸"/>
    <n v="49"/>
    <x v="2"/>
    <n v="122"/>
    <n v="49"/>
    <x v="2"/>
  </r>
  <r>
    <s v="阮美和"/>
    <x v="11"/>
    <s v="技術員"/>
    <s v="陳怡珊"/>
    <n v="77"/>
    <x v="0"/>
    <n v="33"/>
    <n v="77"/>
    <x v="0"/>
  </r>
  <r>
    <s v="拉匹潘"/>
    <x v="11"/>
    <s v="技術員"/>
    <s v="白惇維"/>
    <n v="48.400000000000006"/>
    <x v="2"/>
    <n v="123"/>
    <n v="48.400000000000006"/>
    <x v="2"/>
  </r>
  <r>
    <s v="阿匹雷"/>
    <x v="11"/>
    <s v="技術員"/>
    <s v="楊玉鳳"/>
    <n v="45.8"/>
    <x v="2"/>
    <n v="124"/>
    <n v="45.8"/>
    <x v="2"/>
  </r>
  <r>
    <s v="王柳琦"/>
    <x v="12"/>
    <s v="工程師"/>
    <s v="劉祐誠"/>
    <n v="82.2"/>
    <x v="1"/>
    <n v="12"/>
    <n v="82.2"/>
    <x v="1"/>
  </r>
  <r>
    <s v="黃繼億"/>
    <x v="12"/>
    <s v="工程師"/>
    <s v="劉祐誠"/>
    <m/>
    <x v="2"/>
    <n v="126"/>
    <m/>
    <x v="4"/>
  </r>
  <r>
    <s v="徐惠蘭"/>
    <x v="12"/>
    <s v="助理"/>
    <s v="劉祐誠"/>
    <n v="79.109090909090895"/>
    <x v="0"/>
    <n v="25"/>
    <n v="79.109090909090895"/>
    <x v="1"/>
  </r>
  <r>
    <s v="白惇維"/>
    <x v="12"/>
    <s v="課長"/>
    <s v="鄭景文"/>
    <n v="75.7"/>
    <x v="0"/>
    <n v="46"/>
    <n v="75.7"/>
    <x v="0"/>
  </r>
  <r>
    <s v="沙洋"/>
    <x v="12"/>
    <s v="技術員"/>
    <s v="劉祐誠"/>
    <n v="72.474999999999994"/>
    <x v="0"/>
    <n v="74"/>
    <n v="72.474999999999994"/>
    <x v="0"/>
  </r>
  <r>
    <s v="孫培娜"/>
    <x v="13"/>
    <s v="技術員"/>
    <s v="周清家"/>
    <n v="73"/>
    <x v="0"/>
    <n v="67"/>
    <n v="73"/>
    <x v="0"/>
  </r>
  <r>
    <s v="張政芳"/>
    <x v="13"/>
    <s v="技術員"/>
    <s v="周清家"/>
    <n v="67"/>
    <x v="3"/>
    <n v="97"/>
    <n v="67"/>
    <x v="3"/>
  </r>
  <r>
    <s v="瓦山"/>
    <x v="13"/>
    <s v="技術員"/>
    <s v="周清家"/>
    <n v="68.199999999999989"/>
    <x v="3"/>
    <n v="94"/>
    <n v="68.199999999999989"/>
    <x v="3"/>
  </r>
  <r>
    <s v="沙空"/>
    <x v="13"/>
    <s v="班長"/>
    <s v="白惇維"/>
    <n v="84.8"/>
    <x v="1"/>
    <n v="4"/>
    <n v="84.8"/>
    <x v="1"/>
  </r>
  <r>
    <s v="潘其龍"/>
    <x v="13"/>
    <s v="技術員"/>
    <s v="周清家"/>
    <n v="63.2"/>
    <x v="3"/>
    <n v="110"/>
    <n v="63.2"/>
    <x v="3"/>
  </r>
  <r>
    <s v="俗吉"/>
    <x v="13"/>
    <s v="技術員"/>
    <s v="周清家"/>
    <n v="76"/>
    <x v="0"/>
    <n v="41"/>
    <n v="76"/>
    <x v="0"/>
  </r>
  <r>
    <s v="蘇華姑"/>
    <x v="13"/>
    <s v="技術員"/>
    <s v="周清家"/>
    <n v="75.199999999999989"/>
    <x v="0"/>
    <n v="48"/>
    <n v="75.199999999999989"/>
    <x v="0"/>
  </r>
  <r>
    <s v="阮祝玲"/>
    <x v="13"/>
    <s v="技術員"/>
    <s v="周清家"/>
    <n v="87.2"/>
    <x v="1"/>
    <n v="2"/>
    <n v="87.2"/>
    <x v="1"/>
  </r>
  <r>
    <s v="磊瓦"/>
    <x v="13"/>
    <s v="技術員"/>
    <s v="周清家"/>
    <n v="80.599999999999994"/>
    <x v="1"/>
    <n v="18"/>
    <n v="80.599999999999994"/>
    <x v="1"/>
  </r>
  <r>
    <s v="蘇拉碟"/>
    <x v="13"/>
    <s v="技術員"/>
    <s v="周清家"/>
    <n v="83.6"/>
    <x v="1"/>
    <n v="7"/>
    <n v="83.6"/>
    <x v="1"/>
  </r>
  <r>
    <s v="郭均惠(調組)"/>
    <x v="13"/>
    <s v="技術員"/>
    <s v="紀佩欣"/>
    <n v="51.2"/>
    <x v="2"/>
    <n v="120"/>
    <n v="51.2"/>
    <x v="2"/>
  </r>
  <r>
    <s v="林氏美"/>
    <x v="13"/>
    <s v="技術員"/>
    <s v="周清家"/>
    <n v="73.2"/>
    <x v="0"/>
    <n v="64"/>
    <n v="73.2"/>
    <x v="0"/>
  </r>
  <r>
    <s v="宋善蓬"/>
    <x v="13"/>
    <s v="技術員"/>
    <s v="周清家"/>
    <n v="74"/>
    <x v="0"/>
    <n v="58"/>
    <n v="74"/>
    <x v="0"/>
  </r>
  <r>
    <s v="張舒涵"/>
    <x v="13"/>
    <s v="儲備幹部"/>
    <s v="周清家"/>
    <n v="83.8"/>
    <x v="1"/>
    <n v="5"/>
    <n v="83.8"/>
    <x v="1"/>
  </r>
  <r>
    <s v="王茲鈴(調組)"/>
    <x v="13"/>
    <s v="技術員"/>
    <s v="余美玉"/>
    <n v="45.8"/>
    <x v="2"/>
    <n v="124"/>
    <n v="45.8"/>
    <x v="2"/>
  </r>
  <r>
    <s v="趙秋賢"/>
    <x v="13"/>
    <s v="技術員"/>
    <s v="周清家"/>
    <n v="71"/>
    <x v="0"/>
    <n v="80"/>
    <n v="71"/>
    <x v="0"/>
  </r>
  <r>
    <s v="巴查"/>
    <x v="13"/>
    <s v="技術員"/>
    <s v="紀佩欣"/>
    <n v="67"/>
    <x v="3"/>
    <n v="97"/>
    <n v="67"/>
    <x v="3"/>
  </r>
  <r>
    <s v="偉昌"/>
    <x v="13"/>
    <s v="技術員"/>
    <s v="龔淑屏"/>
    <n v="66"/>
    <x v="3"/>
    <n v="102"/>
    <n v="66"/>
    <x v="3"/>
  </r>
  <r>
    <s v="努瓦"/>
    <x v="13"/>
    <s v="技術員"/>
    <s v="龔淑屏"/>
    <n v="60.6"/>
    <x v="3"/>
    <n v="116"/>
    <n v="60.6"/>
    <x v="3"/>
  </r>
  <r>
    <s v="潘嵐狄"/>
    <x v="13"/>
    <s v="技術員"/>
    <s v="白惇維"/>
    <n v="76.8"/>
    <x v="0"/>
    <n v="38"/>
    <n v="76.8"/>
    <x v="0"/>
  </r>
  <r>
    <s v="那孔(新)"/>
    <x v="13"/>
    <s v="技術員"/>
    <s v="林逸宸"/>
    <n v="0"/>
    <x v="2"/>
    <n v="126"/>
    <m/>
    <x v="4"/>
  </r>
  <r>
    <s v="沈怡婷"/>
    <x v="13"/>
    <s v="技術員"/>
    <s v="白惇維"/>
    <n v="67.8"/>
    <x v="3"/>
    <n v="95"/>
    <n v="67.8"/>
    <x v="3"/>
  </r>
  <r>
    <s v="他那空(新)"/>
    <x v="13"/>
    <s v="技術員"/>
    <s v="白惇維"/>
    <n v="0"/>
    <x v="2"/>
    <n v="126"/>
    <m/>
    <x v="4"/>
  </r>
  <r>
    <s v="央南(新)"/>
    <x v="13"/>
    <s v="技術員"/>
    <s v="白惇維"/>
    <n v="0"/>
    <x v="2"/>
    <n v="126"/>
    <m/>
    <x v="4"/>
  </r>
  <r>
    <s v="楊瑪莉"/>
    <x v="13"/>
    <s v="技術員"/>
    <s v="周清家"/>
    <n v="83.6"/>
    <x v="1"/>
    <n v="7"/>
    <n v="83.6"/>
    <x v="1"/>
  </r>
  <r>
    <s v="班文(新)"/>
    <x v="13"/>
    <s v="技術員"/>
    <s v="白惇維"/>
    <n v="0"/>
    <x v="2"/>
    <n v="126"/>
    <m/>
    <x v="4"/>
  </r>
  <r>
    <s v="匹拉(新)"/>
    <x v="13"/>
    <s v="技術員"/>
    <s v="白惇維"/>
    <n v="0"/>
    <x v="2"/>
    <n v="126"/>
    <m/>
    <x v="4"/>
  </r>
  <r>
    <s v="斯立查(新)"/>
    <x v="13"/>
    <s v="技術員"/>
    <s v="白惇維"/>
    <n v="0"/>
    <x v="2"/>
    <n v="126"/>
    <m/>
    <x v="4"/>
  </r>
  <r>
    <s v="蔡麗花"/>
    <x v="13"/>
    <s v="技術員"/>
    <s v="周清家"/>
    <n v="72.8"/>
    <x v="0"/>
    <n v="69"/>
    <n v="72.8"/>
    <x v="0"/>
  </r>
  <r>
    <s v="戴全柏"/>
    <x v="13"/>
    <s v="技術員"/>
    <s v="周清家"/>
    <n v="73.8"/>
    <x v="0"/>
    <n v="60"/>
    <n v="73.8"/>
    <x v="0"/>
  </r>
  <r>
    <s v="鄭凱仁"/>
    <x v="14"/>
    <s v="董事長"/>
    <s v="鄭凱仁"/>
    <m/>
    <x v="4"/>
    <m/>
    <m/>
    <x v="4"/>
  </r>
  <r>
    <s v="陳佳倫"/>
    <x v="15"/>
    <s v="副總經理"/>
    <s v="鄭凱仁"/>
    <m/>
    <x v="4"/>
    <m/>
    <m/>
    <x v="4"/>
  </r>
  <r>
    <s v="鄭景文"/>
    <x v="15"/>
    <s v="總經理"/>
    <m/>
    <m/>
    <x v="4"/>
    <m/>
    <m/>
    <x v="4"/>
  </r>
  <r>
    <s v="李庭慧"/>
    <x v="15"/>
    <s v="秘書"/>
    <s v="陳佳倫"/>
    <m/>
    <x v="4"/>
    <m/>
    <m/>
    <x v="4"/>
  </r>
  <r>
    <s v="尹詩婷"/>
    <x v="15"/>
    <s v="秘書"/>
    <s v="陳佳倫"/>
    <n v="82.61904761904762"/>
    <x v="1"/>
    <n v="11"/>
    <n v="109.61904761904762"/>
    <x v="5"/>
  </r>
  <r>
    <s v="陳福郎"/>
    <x v="16"/>
    <s v="助理專員"/>
    <s v="張欽發"/>
    <n v="66.099999999999994"/>
    <x v="3"/>
    <n v="101"/>
    <n v="66.099999999999994"/>
    <x v="3"/>
  </r>
  <r>
    <s v="蘇恬幼"/>
    <x v="16"/>
    <s v="課長"/>
    <s v="陳佳倫"/>
    <m/>
    <x v="2"/>
    <n v="126"/>
    <m/>
    <x v="4"/>
  </r>
  <r>
    <s v="吳桂梅"/>
    <x v="16"/>
    <s v="清潔員"/>
    <s v="林逸宸"/>
    <n v="73.5"/>
    <x v="0"/>
    <n v="62"/>
    <n v="73.5"/>
    <x v="0"/>
  </r>
  <r>
    <s v="張欽發"/>
    <x v="16"/>
    <s v="助理專員"/>
    <s v="曾泓霖"/>
    <n v="77.125"/>
    <x v="0"/>
    <n v="31"/>
    <n v="77.125"/>
    <x v="0"/>
  </r>
  <r>
    <s v="蔡欣芸"/>
    <x v="16"/>
    <s v="助理"/>
    <s v="鄭景文"/>
    <n v="69"/>
    <x v="3"/>
    <n v="88"/>
    <n v="69"/>
    <x v="3"/>
  </r>
  <r>
    <s v="陳家祥"/>
    <x v="16"/>
    <s v="代理副課長"/>
    <s v="白惇維"/>
    <n v="64.7"/>
    <x v="3"/>
    <n v="105"/>
    <n v="67.7"/>
    <x v="3"/>
  </r>
  <r>
    <m/>
    <x v="17"/>
    <m/>
    <m/>
    <m/>
    <x v="4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2">
  <location ref="A3:F21" firstHeaderRow="1" firstDataRow="2" firstDataCol="1"/>
  <pivotFields count="11">
    <pivotField showAll="0"/>
    <pivotField showAll="0"/>
    <pivotField showAll="0"/>
    <pivotField axis="axisRow" showAll="0">
      <items count="18">
        <item x="13"/>
        <item x="3"/>
        <item x="7"/>
        <item x="12"/>
        <item x="4"/>
        <item x="2"/>
        <item x="6"/>
        <item x="11"/>
        <item x="1"/>
        <item x="0"/>
        <item x="14"/>
        <item x="5"/>
        <item x="8"/>
        <item x="10"/>
        <item x="9"/>
        <item x="16"/>
        <item x="15"/>
        <item t="default"/>
      </items>
    </pivotField>
    <pivotField showAll="0"/>
    <pivotField showAll="0"/>
    <pivotField showAll="0" defaultSubtotal="0"/>
    <pivotField axis="axisCol" dataField="1" showAll="0">
      <items count="8">
        <item m="1" x="6"/>
        <item x="1"/>
        <item x="0"/>
        <item x="3"/>
        <item x="2"/>
        <item h="1" m="1" x="5"/>
        <item h="1" x="4"/>
        <item t="default"/>
      </items>
    </pivotField>
    <pivotField showAll="0" defaultSubtotal="0"/>
    <pivotField showAll="0"/>
    <pivotField showAll="0" defaultSubtota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7"/>
  </colFields>
  <colItems count="5">
    <i>
      <x v="1"/>
    </i>
    <i>
      <x v="2"/>
    </i>
    <i>
      <x v="3"/>
    </i>
    <i>
      <x v="4"/>
    </i>
    <i t="grand">
      <x/>
    </i>
  </colItems>
  <dataFields count="1">
    <dataField name="計數 - 等級" fld="7" subtotal="count" baseField="0" baseItem="0"/>
  </dataFields>
  <formats count="21">
    <format dxfId="199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198">
      <pivotArea type="topRight" dataOnly="0" labelOnly="1" outline="0" offset="A1" fieldPosition="0"/>
    </format>
    <format dxfId="197">
      <pivotArea dataOnly="0" labelOnly="1" fieldPosition="0">
        <references count="1">
          <reference field="7" count="1">
            <x v="1"/>
          </reference>
        </references>
      </pivotArea>
    </format>
    <format dxfId="196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195">
      <pivotArea type="topRight" dataOnly="0" labelOnly="1" outline="0" offset="C1" fieldPosition="0"/>
    </format>
    <format dxfId="194">
      <pivotArea dataOnly="0" labelOnly="1" fieldPosition="0">
        <references count="1">
          <reference field="7" count="1">
            <x v="3"/>
          </reference>
        </references>
      </pivotArea>
    </format>
    <format dxfId="193">
      <pivotArea collapsedLevelsAreSubtotals="1" fieldPosition="0">
        <references count="1">
          <reference field="3" count="1">
            <x v="1"/>
          </reference>
        </references>
      </pivotArea>
    </format>
    <format dxfId="192">
      <pivotArea dataOnly="0" labelOnly="1" fieldPosition="0">
        <references count="1">
          <reference field="3" count="1">
            <x v="1"/>
          </reference>
        </references>
      </pivotArea>
    </format>
    <format dxfId="191">
      <pivotArea dataOnly="0" fieldPosition="0">
        <references count="1">
          <reference field="3" count="1">
            <x v="3"/>
          </reference>
        </references>
      </pivotArea>
    </format>
    <format dxfId="190">
      <pivotArea dataOnly="0" fieldPosition="0">
        <references count="1">
          <reference field="3" count="1">
            <x v="5"/>
          </reference>
        </references>
      </pivotArea>
    </format>
    <format dxfId="189">
      <pivotArea dataOnly="0" fieldPosition="0">
        <references count="1">
          <reference field="3" count="1">
            <x v="7"/>
          </reference>
        </references>
      </pivotArea>
    </format>
    <format dxfId="188">
      <pivotArea dataOnly="0" fieldPosition="0">
        <references count="1">
          <reference field="3" count="1">
            <x v="9"/>
          </reference>
        </references>
      </pivotArea>
    </format>
    <format dxfId="187">
      <pivotArea dataOnly="0" fieldPosition="0">
        <references count="1">
          <reference field="3" count="1">
            <x v="11"/>
          </reference>
        </references>
      </pivotArea>
    </format>
    <format dxfId="186">
      <pivotArea dataOnly="0" fieldPosition="0">
        <references count="1">
          <reference field="3" count="1">
            <x v="13"/>
          </reference>
        </references>
      </pivotArea>
    </format>
    <format dxfId="185">
      <pivotArea dataOnly="0" fieldPosition="0">
        <references count="1">
          <reference field="3" count="1">
            <x v="15"/>
          </reference>
        </references>
      </pivotArea>
    </format>
    <format dxfId="184">
      <pivotArea outline="0" collapsedLevelsAreSubtotals="1" fieldPosition="0">
        <references count="1">
          <reference field="7" count="1" selected="0">
            <x v="1"/>
          </reference>
        </references>
      </pivotArea>
    </format>
    <format dxfId="183">
      <pivotArea type="topRight" dataOnly="0" labelOnly="1" outline="0" offset="A1" fieldPosition="0"/>
    </format>
    <format dxfId="182">
      <pivotArea dataOnly="0" labelOnly="1" fieldPosition="0">
        <references count="1">
          <reference field="7" count="1">
            <x v="1"/>
          </reference>
        </references>
      </pivotArea>
    </format>
    <format dxfId="181">
      <pivotArea outline="0" collapsedLevelsAreSubtotals="1" fieldPosition="0">
        <references count="1">
          <reference field="7" count="1" selected="0">
            <x v="3"/>
          </reference>
        </references>
      </pivotArea>
    </format>
    <format dxfId="180">
      <pivotArea type="topRight" dataOnly="0" labelOnly="1" outline="0" offset="C1" fieldPosition="0"/>
    </format>
    <format dxfId="179">
      <pivotArea dataOnly="0" labelOnly="1" fieldPosition="0">
        <references count="1">
          <reference field="7" count="1">
            <x v="3"/>
          </reference>
        </references>
      </pivotArea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1" cacheId="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H23" firstHeaderRow="1" firstDataRow="2" firstDataCol="1"/>
  <pivotFields count="23">
    <pivotField showAll="0"/>
    <pivotField showAll="0"/>
    <pivotField showAll="0"/>
    <pivotField axis="axisRow" showAll="0">
      <items count="19">
        <item x="13"/>
        <item x="3"/>
        <item x="7"/>
        <item x="12"/>
        <item x="4"/>
        <item x="2"/>
        <item x="6"/>
        <item x="11"/>
        <item x="1"/>
        <item x="0"/>
        <item x="14"/>
        <item x="5"/>
        <item x="8"/>
        <item x="10"/>
        <item x="9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5"/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計數 - 等級2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樞紐分析表1" cacheId="2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H23" firstHeaderRow="1" firstDataRow="2" firstDataCol="1"/>
  <pivotFields count="9">
    <pivotField showAll="0"/>
    <pivotField axis="axisRow" showAll="0">
      <items count="19">
        <item x="13"/>
        <item x="3"/>
        <item x="7"/>
        <item x="12"/>
        <item x="4"/>
        <item x="2"/>
        <item x="6"/>
        <item x="11"/>
        <item x="1"/>
        <item x="0"/>
        <item x="14"/>
        <item x="5"/>
        <item x="8"/>
        <item x="10"/>
        <item x="9"/>
        <item x="16"/>
        <item x="15"/>
        <item x="17"/>
        <item t="default"/>
      </items>
    </pivotField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axis="axisCol" dataField="1" showAll="0">
      <items count="7">
        <item x="5"/>
        <item x="1"/>
        <item x="0"/>
        <item x="3"/>
        <item x="2"/>
        <item x="4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計數 - 等級2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部門" sourceName="部門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等級2" sourceName="等級2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部門1" sourceName="部門">
  <extLst>
    <x:ext xmlns:x15="http://schemas.microsoft.com/office/spreadsheetml/2010/11/main" uri="{2F2917AC-EB37-4324-AD4E-5DD8C200BD13}">
      <x15:tableSlicerCache tableId="5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等級21" sourceName="等級2">
  <extLst>
    <x:ext xmlns:x15="http://schemas.microsoft.com/office/spreadsheetml/2010/11/main" uri="{2F2917AC-EB37-4324-AD4E-5DD8C200BD13}">
      <x15:tableSlicerCache tableId="5" column="6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部門2" sourceName="部門">
  <extLst>
    <x:ext xmlns:x15="http://schemas.microsoft.com/office/spreadsheetml/2010/11/main" uri="{2F2917AC-EB37-4324-AD4E-5DD8C200BD13}">
      <x15:tableSlicerCache tableId="13" column="3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等級22" sourceName="等級2">
  <extLst>
    <x:ext xmlns:x15="http://schemas.microsoft.com/office/spreadsheetml/2010/11/main" uri="{2F2917AC-EB37-4324-AD4E-5DD8C200BD13}">
      <x15:tableSlicerCache tableId="13" column="6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部門3" sourceName="部門">
  <extLst>
    <x:ext xmlns:x15="http://schemas.microsoft.com/office/spreadsheetml/2010/11/main" uri="{2F2917AC-EB37-4324-AD4E-5DD8C200BD13}">
      <x15:tableSlicerCache tableId="15" column="3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等級23" sourceName="等級2">
  <extLst>
    <x:ext xmlns:x15="http://schemas.microsoft.com/office/spreadsheetml/2010/11/main" uri="{2F2917AC-EB37-4324-AD4E-5DD8C200BD13}">
      <x15:tableSlicerCache tableId="15" column="6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部門4" sourceName="部門">
  <extLst>
    <x:ext xmlns:x15="http://schemas.microsoft.com/office/spreadsheetml/2010/11/main" uri="{2F2917AC-EB37-4324-AD4E-5DD8C200BD13}">
      <x15:tableSlicerCache tableId="17" column="3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等級24" sourceName="等級2">
  <extLst>
    <x:ext xmlns:x15="http://schemas.microsoft.com/office/spreadsheetml/2010/11/main" uri="{2F2917AC-EB37-4324-AD4E-5DD8C200BD13}">
      <x15:tableSlicerCache tableId="17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部門" cache="Slicer_部門" caption="部門" rowHeight="220133"/>
  <slicer name="等級2" cache="Slicer_等級2" caption="等級2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部門 1" cache="Slicer_部門1" caption="部門" startItem="7" rowHeight="220133"/>
  <slicer name="等級2 1" cache="Slicer_等級21" caption="等級2" rowHeight="22013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部門 2" cache="Slicer_部門2" caption="部門" rowHeight="220133"/>
  <slicer name="等級2 2" cache="Slicer_等級22" caption="等級2" rowHeight="22013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部門 3" cache="Slicer_部門3" caption="部門" rowHeight="220133"/>
  <slicer name="等級2 3" cache="Slicer_等級23" caption="等級2" rowHeight="220133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部門 4" cache="Slicer_部門4" caption="部門" rowHeight="220133"/>
  <slicer name="等級2 4" cache="Slicer_等級24" caption="等級2" rowHeight="220133"/>
</slicers>
</file>

<file path=xl/tables/table1.xml><?xml version="1.0" encoding="utf-8"?>
<table xmlns="http://schemas.openxmlformats.org/spreadsheetml/2006/main" id="1" name="表格1" displayName="表格1" ref="B1:V146" totalsRowShown="0" headerRowDxfId="178" dataDxfId="177">
  <autoFilter ref="B1:V146"/>
  <tableColumns count="21">
    <tableColumn id="1" name="工號" dataDxfId="2"/>
    <tableColumn id="2" name="姓名" dataDxfId="0"/>
    <tableColumn id="3" name="部門" dataDxfId="1"/>
    <tableColumn id="4" name="職位" dataDxfId="176"/>
    <tableColumn id="13" name="直接主管" dataDxfId="175"/>
    <tableColumn id="7" name="不包含獎懲總分" dataDxfId="174">
      <calculatedColumnFormula>表格1[[#This Row],[加權後總分]]-表格1[[#This Row],[獎懲分數]]</calculatedColumnFormula>
    </tableColumn>
    <tableColumn id="19" name="等級" dataDxfId="173">
      <calculatedColumnFormula>IF(表格1[[#This Row],[不包含獎懲總分]]&gt;=90,"A",
 IF(表格1[[#This Row],[不包含獎懲總分]]&gt;=80,"B",
 IF(表格1[[#This Row],[不包含獎懲總分]]&gt;=70,"C",
 IF(表格1[[#This Row],[不包含獎懲總分]]&gt;=60,"D","E"))))</calculatedColumnFormula>
    </tableColumn>
    <tableColumn id="21" name="全公司排名" dataDxfId="172">
      <calculatedColumnFormula>_xlfn.RANK.EQ(G2,$G$2:$G$146,0)</calculatedColumnFormula>
    </tableColumn>
    <tableColumn id="5" name="加權後總分" dataDxfId="171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170">
      <calculatedColumnFormula>IF(J2&gt;=90,"A",
 IF(J2&gt;=80,"B",
 IF(J2&gt;=70,"C",
 IF(J2&gt;=60,"D","E"))))</calculatedColumnFormula>
    </tableColumn>
    <tableColumn id="20" name="全公司排名2" dataDxfId="169">
      <calculatedColumnFormula>_xlfn.RANK.EQ(J2,$J$2:$J$146,0)</calculatedColumnFormula>
    </tableColumn>
    <tableColumn id="8" name="部內分數/初評" dataDxfId="168">
      <calculatedColumnFormula>表格1_3[[#This Row],[部內平均]]</calculatedColumnFormula>
    </tableColumn>
    <tableColumn id="9" name="跨部門分數" dataDxfId="167">
      <calculatedColumnFormula>表格1_3[[#This Row],[共評平均]]</calculatedColumnFormula>
    </tableColumn>
    <tableColumn id="10" name="主管複評" dataDxfId="166">
      <calculatedColumnFormula>表格1_3[[#This Row],[複評平均]]</calculatedColumnFormula>
    </tableColumn>
    <tableColumn id="11" name="嘉獎" dataDxfId="165"/>
    <tableColumn id="14" name="小功" dataDxfId="164"/>
    <tableColumn id="15" name="大功" dataDxfId="163"/>
    <tableColumn id="16" name="申誡" dataDxfId="162"/>
    <tableColumn id="17" name="小過" dataDxfId="161"/>
    <tableColumn id="18" name="大過" dataDxfId="160"/>
    <tableColumn id="12" name="獎懲分數" dataDxfId="1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表格4" displayName="表格4" ref="A1:A1048576" totalsRowShown="0" headerRowDxfId="158" dataDxfId="157">
  <autoFilter ref="A1:A1048576"/>
  <tableColumns count="1">
    <tableColumn id="1" name="是否建立" dataDxfId="15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2" name="表格1_3" displayName="表格1_3" ref="A1:AO146" totalsRowShown="0" headerRowDxfId="123" dataDxfId="122">
  <autoFilter ref="A1:AO146"/>
  <tableColumns count="41">
    <tableColumn id="1" name="工號" dataDxfId="121"/>
    <tableColumn id="2" name="姓名" dataDxfId="120"/>
    <tableColumn id="3" name="部門" dataDxfId="119"/>
    <tableColumn id="4" name="職位" dataDxfId="118"/>
    <tableColumn id="5" name="部內平均" dataDxfId="117">
      <calculatedColumnFormula>AVERAGEIF(表格1_3[[#This Row],[部內分數]:[部內分數11]],"&lt;&gt;")</calculatedColumnFormula>
    </tableColumn>
    <tableColumn id="6" name="共評平均" dataDxfId="116">
      <calculatedColumnFormula>AVERAGEIF(表格1_3[[#This Row],[跨共評]:[跨共評10]],"&lt;&gt;")</calculatedColumnFormula>
    </tableColumn>
    <tableColumn id="7" name="複評平均" dataDxfId="115">
      <calculatedColumnFormula>AVERAGEIF(表格1_3[[#This Row],[複評]:[複評10]],"&lt;&gt;")</calculatedColumnFormula>
    </tableColumn>
    <tableColumn id="8" name="部內分數" dataDxfId="114"/>
    <tableColumn id="9" name="部內分數2" dataDxfId="113"/>
    <tableColumn id="10" name="部內分數3" dataDxfId="112"/>
    <tableColumn id="11" name="部內分數4" dataDxfId="111"/>
    <tableColumn id="12" name="部內分數5" dataDxfId="110"/>
    <tableColumn id="13" name="部內分數6" dataDxfId="109"/>
    <tableColumn id="14" name="部內分數7" dataDxfId="108"/>
    <tableColumn id="15" name="部內分數8" dataDxfId="107"/>
    <tableColumn id="16" name="部內分數9" dataDxfId="106"/>
    <tableColumn id="17" name="部內分數10" dataDxfId="105"/>
    <tableColumn id="39" name="部內分數102" dataDxfId="104"/>
    <tableColumn id="38" name="部內分數11" dataDxfId="103"/>
    <tableColumn id="18" name="跨共評" dataDxfId="102"/>
    <tableColumn id="19" name="跨共評2" dataDxfId="101"/>
    <tableColumn id="20" name="跨共評3" dataDxfId="100"/>
    <tableColumn id="21" name="跨共評4" dataDxfId="99"/>
    <tableColumn id="22" name="跨共評5" dataDxfId="98"/>
    <tableColumn id="23" name="跨共評6" dataDxfId="97"/>
    <tableColumn id="24" name="跨共評7" dataDxfId="96"/>
    <tableColumn id="25" name="跨共評8" dataDxfId="95"/>
    <tableColumn id="26" name="跨共評9" dataDxfId="94"/>
    <tableColumn id="40" name="跨共評92" dataDxfId="93"/>
    <tableColumn id="41" name="跨共評93" dataDxfId="92"/>
    <tableColumn id="27" name="跨共評10" dataDxfId="91"/>
    <tableColumn id="28" name="複評" dataDxfId="90"/>
    <tableColumn id="29" name="複評2" dataDxfId="89"/>
    <tableColumn id="30" name="複評3" dataDxfId="88"/>
    <tableColumn id="31" name="複評4" dataDxfId="87"/>
    <tableColumn id="32" name="複評5" dataDxfId="86"/>
    <tableColumn id="33" name="複評6" dataDxfId="85"/>
    <tableColumn id="34" name="複評7" dataDxfId="84"/>
    <tableColumn id="35" name="複評8" dataDxfId="83"/>
    <tableColumn id="36" name="複評9" dataDxfId="82"/>
    <tableColumn id="37" name="複評10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表格1_6" displayName="表格1_6" ref="B1:V146" totalsRowShown="0" headerRowDxfId="155" dataDxfId="154">
  <autoFilter ref="B1:V146">
    <filterColumn colId="2">
      <filters>
        <filter val="資材課"/>
      </filters>
    </filterColumn>
  </autoFilter>
  <tableColumns count="21">
    <tableColumn id="1" name="工號" dataDxfId="153"/>
    <tableColumn id="2" name="姓名" dataDxfId="152"/>
    <tableColumn id="3" name="部門" dataDxfId="151"/>
    <tableColumn id="4" name="職位" dataDxfId="150"/>
    <tableColumn id="13" name="直接主管" dataDxfId="149"/>
    <tableColumn id="7" name="不包含獎懲總分" dataDxfId="148">
      <calculatedColumnFormula>表格1_6[[#This Row],[加權後總分]]-表格1_6[[#This Row],[獎懲分數]]</calculatedColumnFormula>
    </tableColumn>
    <tableColumn id="19" name="等級" dataDxfId="147">
      <calculatedColumnFormula>IF(表格1_6[[#This Row],[不包含獎懲總分]]&gt;=90,"A",
 IF(表格1_6[[#This Row],[不包含獎懲總分]]&gt;=80,"B",
 IF(表格1_6[[#This Row],[不包含獎懲總分]]&gt;=70,"C",
 IF(表格1_6[[#This Row],[不包含獎懲總分]]&gt;=60,"D","E"))))</calculatedColumnFormula>
    </tableColumn>
    <tableColumn id="21" name="全公司排名" dataDxfId="146">
      <calculatedColumnFormula>_xlfn.RANK.EQ(G2,$G$2:$G$146,0)</calculatedColumnFormula>
    </tableColumn>
    <tableColumn id="5" name="加權後總分" dataDxfId="145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144">
      <calculatedColumnFormula>IF(J2&gt;=90,"A",
 IF(J2&gt;=80,"B",
 IF(J2&gt;=70,"C",
 IF(J2&gt;=60,"D","E"))))</calculatedColumnFormula>
    </tableColumn>
    <tableColumn id="20" name="全公司排名2" dataDxfId="143">
      <calculatedColumnFormula>_xlfn.RANK.EQ(J2,$J$2:$J$146,0)</calculatedColumnFormula>
    </tableColumn>
    <tableColumn id="8" name="部內分數/初評" dataDxfId="142">
      <calculatedColumnFormula>表格1_3[[#This Row],[部內平均]]</calculatedColumnFormula>
    </tableColumn>
    <tableColumn id="9" name="跨部門分數" dataDxfId="141">
      <calculatedColumnFormula>表格1_3[[#This Row],[共評平均]]</calculatedColumnFormula>
    </tableColumn>
    <tableColumn id="10" name="主管複評" dataDxfId="140">
      <calculatedColumnFormula>表格1_3[[#This Row],[複評平均]]</calculatedColumnFormula>
    </tableColumn>
    <tableColumn id="11" name="嘉獎" dataDxfId="139"/>
    <tableColumn id="14" name="小功" dataDxfId="138"/>
    <tableColumn id="15" name="大功" dataDxfId="137"/>
    <tableColumn id="16" name="申誡" dataDxfId="136"/>
    <tableColumn id="17" name="小過" dataDxfId="135"/>
    <tableColumn id="18" name="大過" dataDxfId="134"/>
    <tableColumn id="12" name="獎懲分數" dataDxfId="1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表格4_7" displayName="表格4_7" ref="A1:A1048576" totalsRowShown="0" headerRowDxfId="132" dataDxfId="131">
  <autoFilter ref="A1:A1048576"/>
  <tableColumns count="1">
    <tableColumn id="1" name="是否建立" dataDxfId="130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3" name="表格3" displayName="表格3" ref="A1:G53" totalsRowShown="0">
  <autoFilter ref="A1:G53"/>
  <tableColumns count="7">
    <tableColumn id="1" name="工號" dataDxfId="129"/>
    <tableColumn id="2" name="姓名" dataDxfId="128"/>
    <tableColumn id="3" name="部門" dataDxfId="127"/>
    <tableColumn id="4" name="職稱" dataDxfId="126"/>
    <tableColumn id="5" name="主管" dataDxfId="125"/>
    <tableColumn id="6" name="總分" dataDxfId="124"/>
    <tableColumn id="7" name="等級"/>
  </tableColumns>
  <tableStyleInfo name="TableStyleDark11" showFirstColumn="0" showLastColumn="0" showRowStripes="1" showColumnStripes="0"/>
</table>
</file>

<file path=xl/tables/table7.xml><?xml version="1.0" encoding="utf-8"?>
<table xmlns="http://schemas.openxmlformats.org/spreadsheetml/2006/main" id="13" name="表格1_14" displayName="表格1_14" ref="B1:V146" totalsRowShown="0" headerRowDxfId="80" dataDxfId="79">
  <autoFilter ref="B1:V146"/>
  <tableColumns count="21">
    <tableColumn id="1" name="工號" dataDxfId="78"/>
    <tableColumn id="2" name="姓名" dataDxfId="77"/>
    <tableColumn id="3" name="部門" dataDxfId="76"/>
    <tableColumn id="4" name="職位" dataDxfId="75"/>
    <tableColumn id="13" name="直接主管" dataDxfId="74"/>
    <tableColumn id="7" name="不包含獎懲總分" dataDxfId="73">
      <calculatedColumnFormula>表格1_14[[#This Row],[加權後總分]]-表格1_14[[#This Row],[獎懲分數]]</calculatedColumnFormula>
    </tableColumn>
    <tableColumn id="19" name="等級" dataDxfId="72">
      <calculatedColumnFormula>IF(表格1_14[[#This Row],[不包含獎懲總分]]&gt;=90,"A",
 IF(表格1_14[[#This Row],[不包含獎懲總分]]&gt;=80,"B",
 IF(表格1_14[[#This Row],[不包含獎懲總分]]&gt;=70,"C",
 IF(表格1_14[[#This Row],[不包含獎懲總分]]&gt;=60,"D","E"))))</calculatedColumnFormula>
    </tableColumn>
    <tableColumn id="21" name="全公司排名" dataDxfId="71">
      <calculatedColumnFormula>_xlfn.RANK.EQ(G2,$G$2:$G$146,0)</calculatedColumnFormula>
    </tableColumn>
    <tableColumn id="5" name="加權後總分" dataDxfId="70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69">
      <calculatedColumnFormula>IF(J2&gt;=90,"A",
 IF(J2&gt;=80,"B",
 IF(J2&gt;=70,"C",
 IF(J2&gt;=60,"D","E"))))</calculatedColumnFormula>
    </tableColumn>
    <tableColumn id="20" name="全公司排名2" dataDxfId="68">
      <calculatedColumnFormula>_xlfn.RANK.EQ(J2,$J$2:$J$146,0)</calculatedColumnFormula>
    </tableColumn>
    <tableColumn id="8" name="部內分數/初評" dataDxfId="67">
      <calculatedColumnFormula>表格1_3[[#This Row],[部內平均]]</calculatedColumnFormula>
    </tableColumn>
    <tableColumn id="9" name="跨部門分數" dataDxfId="66">
      <calculatedColumnFormula>表格1_3[[#This Row],[共評平均]]</calculatedColumnFormula>
    </tableColumn>
    <tableColumn id="10" name="主管複評" dataDxfId="65">
      <calculatedColumnFormula>表格1_3[[#This Row],[複評平均]]</calculatedColumnFormula>
    </tableColumn>
    <tableColumn id="11" name="嘉獎" dataDxfId="64"/>
    <tableColumn id="14" name="小功" dataDxfId="63"/>
    <tableColumn id="15" name="大功" dataDxfId="62"/>
    <tableColumn id="16" name="申誡" dataDxfId="61"/>
    <tableColumn id="17" name="小過" dataDxfId="60"/>
    <tableColumn id="18" name="大過" dataDxfId="59"/>
    <tableColumn id="12" name="獎懲分數" dataDxfId="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4" name="表格4_15" displayName="表格4_15" ref="A1:A1048576" totalsRowShown="0" headerRowDxfId="57" dataDxfId="56">
  <autoFilter ref="A1:A1048576"/>
  <tableColumns count="1">
    <tableColumn id="1" name="是否建立" dataDxfId="55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15" name="表格1_16" displayName="表格1_16" ref="B1:V146" totalsRowShown="0" headerRowDxfId="54" dataDxfId="53">
  <autoFilter ref="B1:V146">
    <filterColumn colId="9">
      <filters>
        <filter val="C"/>
      </filters>
    </filterColumn>
  </autoFilter>
  <tableColumns count="21">
    <tableColumn id="1" name="工號" dataDxfId="52"/>
    <tableColumn id="2" name="姓名" dataDxfId="51"/>
    <tableColumn id="3" name="部門" dataDxfId="50"/>
    <tableColumn id="4" name="職位" dataDxfId="49"/>
    <tableColumn id="13" name="直接主管" dataDxfId="48"/>
    <tableColumn id="7" name="不包含獎懲總分" dataDxfId="47">
      <calculatedColumnFormula>表格1_16[[#This Row],[加權後總分]]-表格1_16[[#This Row],[獎懲分數]]</calculatedColumnFormula>
    </tableColumn>
    <tableColumn id="19" name="等級" dataDxfId="46">
      <calculatedColumnFormula>IF(表格1_16[[#This Row],[不包含獎懲總分]]&gt;=90,"A",
 IF(表格1_16[[#This Row],[不包含獎懲總分]]&gt;=80,"B",
 IF(表格1_16[[#This Row],[不包含獎懲總分]]&gt;=70,"C",
 IF(表格1_16[[#This Row],[不包含獎懲總分]]&gt;=60,"D","E"))))</calculatedColumnFormula>
    </tableColumn>
    <tableColumn id="21" name="全公司排名" dataDxfId="45">
      <calculatedColumnFormula>_xlfn.RANK.EQ(G2,$G$2:$G$146,0)</calculatedColumnFormula>
    </tableColumn>
    <tableColumn id="5" name="加權後總分" dataDxfId="44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43">
      <calculatedColumnFormula>IF(J2&gt;=90,"A",
 IF(J2&gt;=80,"B",
 IF(J2&gt;=70,"C",
 IF(J2&gt;=60,"D","E"))))</calculatedColumnFormula>
    </tableColumn>
    <tableColumn id="20" name="全公司排名2" dataDxfId="42">
      <calculatedColumnFormula>_xlfn.RANK.EQ(J2,$J$2:$J$146,0)</calculatedColumnFormula>
    </tableColumn>
    <tableColumn id="8" name="部內分數/初評" dataDxfId="41">
      <calculatedColumnFormula>表格1_3[[#This Row],[部內平均]]</calculatedColumnFormula>
    </tableColumn>
    <tableColumn id="9" name="跨部門分數" dataDxfId="40">
      <calculatedColumnFormula>表格1_3[[#This Row],[共評平均]]</calculatedColumnFormula>
    </tableColumn>
    <tableColumn id="10" name="主管複評" dataDxfId="39">
      <calculatedColumnFormula>表格1_3[[#This Row],[複評平均]]</calculatedColumnFormula>
    </tableColumn>
    <tableColumn id="11" name="嘉獎" dataDxfId="38"/>
    <tableColumn id="14" name="小功" dataDxfId="37"/>
    <tableColumn id="15" name="大功" dataDxfId="36"/>
    <tableColumn id="16" name="申誡" dataDxfId="35"/>
    <tableColumn id="17" name="小過" dataDxfId="34"/>
    <tableColumn id="18" name="大過" dataDxfId="33"/>
    <tableColumn id="12" name="獎懲分數" dataDxfId="3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6" name="表格4_17" displayName="表格4_17" ref="A1:A1048576" totalsRowShown="0" headerRowDxfId="31" dataDxfId="30">
  <autoFilter ref="A1:A1048576"/>
  <tableColumns count="1">
    <tableColumn id="1" name="是否建立" dataDxfId="29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7" name="表格1_18" displayName="表格1_18" ref="B1:V146" totalsRowShown="0" headerRowDxfId="28" dataDxfId="27">
  <autoFilter ref="B1:V146">
    <filterColumn colId="9">
      <filters>
        <filter val="D"/>
      </filters>
    </filterColumn>
  </autoFilter>
  <tableColumns count="21">
    <tableColumn id="1" name="工號" dataDxfId="26"/>
    <tableColumn id="2" name="姓名" dataDxfId="25"/>
    <tableColumn id="3" name="部門" dataDxfId="24"/>
    <tableColumn id="4" name="職位" dataDxfId="23"/>
    <tableColumn id="13" name="直接主管" dataDxfId="22"/>
    <tableColumn id="7" name="不包含獎懲總分" dataDxfId="21">
      <calculatedColumnFormula>表格1_18[[#This Row],[加權後總分]]-表格1_18[[#This Row],[獎懲分數]]</calculatedColumnFormula>
    </tableColumn>
    <tableColumn id="19" name="等級" dataDxfId="20">
      <calculatedColumnFormula>IF(表格1_18[[#This Row],[不包含獎懲總分]]&gt;=90,"A",
 IF(表格1_18[[#This Row],[不包含獎懲總分]]&gt;=80,"B",
 IF(表格1_18[[#This Row],[不包含獎懲總分]]&gt;=70,"C",
 IF(表格1_18[[#This Row],[不包含獎懲總分]]&gt;=60,"D","E"))))</calculatedColumnFormula>
    </tableColumn>
    <tableColumn id="21" name="全公司排名" dataDxfId="19">
      <calculatedColumnFormula>_xlfn.RANK.EQ(G2,$G$2:$G$146,0)</calculatedColumnFormula>
    </tableColumn>
    <tableColumn id="5" name="加權後總分" dataDxfId="18">
      <calculatedColumnFormula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 + V2
)</calculatedColumnFormula>
    </tableColumn>
    <tableColumn id="6" name="等級2" dataDxfId="17">
      <calculatedColumnFormula>IF(J2&gt;=90,"A",
 IF(J2&gt;=80,"B",
 IF(J2&gt;=70,"C",
 IF(J2&gt;=60,"D","E"))))</calculatedColumnFormula>
    </tableColumn>
    <tableColumn id="20" name="全公司排名2" dataDxfId="16">
      <calculatedColumnFormula>_xlfn.RANK.EQ(J2,$J$2:$J$146,0)</calculatedColumnFormula>
    </tableColumn>
    <tableColumn id="8" name="部內分數/初評" dataDxfId="15">
      <calculatedColumnFormula>表格1_3[[#This Row],[部內平均]]</calculatedColumnFormula>
    </tableColumn>
    <tableColumn id="9" name="跨部門分數" dataDxfId="14">
      <calculatedColumnFormula>表格1_3[[#This Row],[共評平均]]</calculatedColumnFormula>
    </tableColumn>
    <tableColumn id="10" name="主管複評" dataDxfId="13">
      <calculatedColumnFormula>表格1_3[[#This Row],[複評平均]]</calculatedColumnFormula>
    </tableColumn>
    <tableColumn id="11" name="嘉獎" dataDxfId="12"/>
    <tableColumn id="14" name="小功" dataDxfId="11"/>
    <tableColumn id="15" name="大功" dataDxfId="10"/>
    <tableColumn id="16" name="申誡" dataDxfId="9"/>
    <tableColumn id="17" name="小過" dataDxfId="8"/>
    <tableColumn id="18" name="大過" dataDxfId="7"/>
    <tableColumn id="12" name="獎懲分數" dataDxf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8" name="表格4_19" displayName="表格4_19" ref="A1:A1048576" totalsRowShown="0" headerRowDxfId="5" dataDxfId="4">
  <autoFilter ref="A1:A1048576"/>
  <tableColumns count="1">
    <tableColumn id="1" name="是否建立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D7260B-A2E0-48D5-BE76-C9FBB7606750}">
  <we:reference id="wa104099688" version="1.7.0.0" store="zh-TW" storeType="OMEX"/>
  <we:alternateReferences>
    <we:reference id="WA104099688" version="1.7.0.0" store="WA10409968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07/relationships/slicer" Target="../slicers/slicer2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07/relationships/slicer" Target="../slicers/slicer3.xml"/><Relationship Id="rId4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microsoft.com/office/2007/relationships/slicer" Target="../slicers/slicer4.xml"/><Relationship Id="rId4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07/relationships/slicer" Target="../slicers/slicer5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8"/>
  <sheetViews>
    <sheetView topLeftCell="A3" zoomScale="70" zoomScaleNormal="70" workbookViewId="0">
      <selection activeCell="A3" sqref="A3:F21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7"/>
  <cols>
    <col min="1" max="1" width="13.453125" bestFit="1" customWidth="1"/>
    <col min="2" max="2" width="12" bestFit="1" customWidth="1"/>
    <col min="3" max="3" width="4.08984375" bestFit="1" customWidth="1"/>
    <col min="4" max="4" width="4.08984375" customWidth="1"/>
    <col min="5" max="5" width="4.08984375" bestFit="1" customWidth="1"/>
    <col min="6" max="6" width="6.453125" bestFit="1" customWidth="1"/>
    <col min="7" max="7" width="6.453125" customWidth="1"/>
    <col min="8" max="8" width="5.81640625" bestFit="1" customWidth="1"/>
  </cols>
  <sheetData>
    <row r="3" spans="1:6">
      <c r="A3" s="15" t="s">
        <v>451</v>
      </c>
      <c r="B3" s="15" t="s">
        <v>450</v>
      </c>
      <c r="C3" s="20"/>
      <c r="E3" s="21"/>
    </row>
    <row r="4" spans="1:6">
      <c r="A4" s="15" t="s">
        <v>443</v>
      </c>
      <c r="B4" s="20" t="s">
        <v>445</v>
      </c>
      <c r="C4" t="s">
        <v>446</v>
      </c>
      <c r="D4" s="21" t="s">
        <v>447</v>
      </c>
      <c r="E4" t="s">
        <v>448</v>
      </c>
      <c r="F4" t="s">
        <v>444</v>
      </c>
    </row>
    <row r="5" spans="1:6">
      <c r="A5" s="16" t="s">
        <v>277</v>
      </c>
      <c r="B5" s="18">
        <v>6</v>
      </c>
      <c r="C5" s="17">
        <v>9</v>
      </c>
      <c r="D5" s="18">
        <v>7</v>
      </c>
      <c r="E5" s="17">
        <v>8</v>
      </c>
      <c r="F5" s="17">
        <v>30</v>
      </c>
    </row>
    <row r="6" spans="1:6">
      <c r="A6" s="22" t="s">
        <v>267</v>
      </c>
      <c r="B6" s="18"/>
      <c r="C6" s="19">
        <v>5</v>
      </c>
      <c r="D6" s="18">
        <v>1</v>
      </c>
      <c r="E6" s="19"/>
      <c r="F6" s="19">
        <v>6</v>
      </c>
    </row>
    <row r="7" spans="1:6">
      <c r="A7" s="16" t="s">
        <v>271</v>
      </c>
      <c r="B7" s="18">
        <v>1</v>
      </c>
      <c r="C7" s="17">
        <v>2</v>
      </c>
      <c r="D7" s="18">
        <v>1</v>
      </c>
      <c r="E7" s="17"/>
      <c r="F7" s="17">
        <v>4</v>
      </c>
    </row>
    <row r="8" spans="1:6">
      <c r="A8" s="22" t="s">
        <v>276</v>
      </c>
      <c r="B8" s="18">
        <v>2</v>
      </c>
      <c r="C8" s="19">
        <v>2</v>
      </c>
      <c r="D8" s="18"/>
      <c r="E8" s="19">
        <v>1</v>
      </c>
      <c r="F8" s="19">
        <v>5</v>
      </c>
    </row>
    <row r="9" spans="1:6">
      <c r="A9" s="16" t="s">
        <v>268</v>
      </c>
      <c r="B9" s="18">
        <v>2</v>
      </c>
      <c r="C9" s="17">
        <v>2</v>
      </c>
      <c r="D9" s="18"/>
      <c r="E9" s="17">
        <v>1</v>
      </c>
      <c r="F9" s="17">
        <v>5</v>
      </c>
    </row>
    <row r="10" spans="1:6">
      <c r="A10" s="22" t="s">
        <v>266</v>
      </c>
      <c r="B10" s="18">
        <v>1</v>
      </c>
      <c r="C10" s="19">
        <v>8</v>
      </c>
      <c r="D10" s="18">
        <v>3</v>
      </c>
      <c r="E10" s="19">
        <v>1</v>
      </c>
      <c r="F10" s="19">
        <v>13</v>
      </c>
    </row>
    <row r="11" spans="1:6">
      <c r="A11" s="16" t="s">
        <v>270</v>
      </c>
      <c r="B11" s="18">
        <v>2</v>
      </c>
      <c r="C11" s="17">
        <v>3</v>
      </c>
      <c r="D11" s="18">
        <v>5</v>
      </c>
      <c r="E11" s="17">
        <v>3</v>
      </c>
      <c r="F11" s="17">
        <v>13</v>
      </c>
    </row>
    <row r="12" spans="1:6">
      <c r="A12" s="22" t="s">
        <v>275</v>
      </c>
      <c r="B12" s="18">
        <v>3</v>
      </c>
      <c r="C12" s="19">
        <v>4</v>
      </c>
      <c r="D12" s="18">
        <v>1</v>
      </c>
      <c r="E12" s="19">
        <v>4</v>
      </c>
      <c r="F12" s="19">
        <v>12</v>
      </c>
    </row>
    <row r="13" spans="1:6">
      <c r="A13" s="16" t="s">
        <v>265</v>
      </c>
      <c r="B13" s="18">
        <v>2</v>
      </c>
      <c r="C13" s="17">
        <v>8</v>
      </c>
      <c r="D13" s="18">
        <v>7</v>
      </c>
      <c r="E13" s="17">
        <v>3</v>
      </c>
      <c r="F13" s="17">
        <v>20</v>
      </c>
    </row>
    <row r="14" spans="1:6">
      <c r="A14" s="22" t="s">
        <v>264</v>
      </c>
      <c r="B14" s="18">
        <v>1</v>
      </c>
      <c r="C14" s="19">
        <v>2</v>
      </c>
      <c r="D14" s="18"/>
      <c r="E14" s="19"/>
      <c r="F14" s="19">
        <v>3</v>
      </c>
    </row>
    <row r="15" spans="1:6">
      <c r="A15" s="22" t="s">
        <v>269</v>
      </c>
      <c r="B15" s="18">
        <v>4</v>
      </c>
      <c r="C15" s="19">
        <v>7</v>
      </c>
      <c r="D15" s="18">
        <v>4</v>
      </c>
      <c r="E15" s="19"/>
      <c r="F15" s="19">
        <v>15</v>
      </c>
    </row>
    <row r="16" spans="1:6">
      <c r="A16" s="16" t="s">
        <v>272</v>
      </c>
      <c r="B16" s="18">
        <v>2</v>
      </c>
      <c r="C16" s="17">
        <v>1</v>
      </c>
      <c r="D16" s="18"/>
      <c r="E16" s="17"/>
      <c r="F16" s="17">
        <v>3</v>
      </c>
    </row>
    <row r="17" spans="1:11">
      <c r="A17" s="22" t="s">
        <v>274</v>
      </c>
      <c r="B17" s="18">
        <v>1</v>
      </c>
      <c r="C17" s="19">
        <v>1</v>
      </c>
      <c r="D17" s="18"/>
      <c r="E17" s="19"/>
      <c r="F17" s="19">
        <v>2</v>
      </c>
    </row>
    <row r="18" spans="1:11">
      <c r="A18" s="16" t="s">
        <v>273</v>
      </c>
      <c r="B18" s="18"/>
      <c r="C18" s="17">
        <v>1</v>
      </c>
      <c r="D18" s="18"/>
      <c r="E18" s="17"/>
      <c r="F18" s="17">
        <v>1</v>
      </c>
    </row>
    <row r="19" spans="1:11">
      <c r="A19" s="22" t="s">
        <v>280</v>
      </c>
      <c r="B19" s="18"/>
      <c r="C19" s="19">
        <v>2</v>
      </c>
      <c r="D19" s="18">
        <v>3</v>
      </c>
      <c r="E19" s="19">
        <v>1</v>
      </c>
      <c r="F19" s="19">
        <v>6</v>
      </c>
    </row>
    <row r="20" spans="1:11">
      <c r="A20" s="16" t="s">
        <v>279</v>
      </c>
      <c r="B20" s="18">
        <v>1</v>
      </c>
      <c r="C20" s="17"/>
      <c r="D20" s="18"/>
      <c r="E20" s="17"/>
      <c r="F20" s="17">
        <v>1</v>
      </c>
    </row>
    <row r="21" spans="1:11">
      <c r="A21" s="16" t="s">
        <v>444</v>
      </c>
      <c r="B21" s="18">
        <v>28</v>
      </c>
      <c r="C21" s="17">
        <v>57</v>
      </c>
      <c r="D21" s="18">
        <v>32</v>
      </c>
      <c r="E21" s="17">
        <v>22</v>
      </c>
      <c r="F21" s="17">
        <v>139</v>
      </c>
    </row>
    <row r="22" spans="1:11">
      <c r="D22" t="s">
        <v>506</v>
      </c>
      <c r="F22" t="s">
        <v>507</v>
      </c>
    </row>
    <row r="24" spans="1:11">
      <c r="H24" t="s">
        <v>452</v>
      </c>
      <c r="I24">
        <f>145*5%</f>
        <v>7.25</v>
      </c>
    </row>
    <row r="25" spans="1:11">
      <c r="H25" t="s">
        <v>453</v>
      </c>
      <c r="I25">
        <f>145*20%</f>
        <v>29</v>
      </c>
      <c r="K25">
        <f>I24+I25</f>
        <v>36.25</v>
      </c>
    </row>
    <row r="26" spans="1:11">
      <c r="H26" t="s">
        <v>454</v>
      </c>
      <c r="I26">
        <f>145*40%</f>
        <v>58</v>
      </c>
    </row>
    <row r="27" spans="1:11">
      <c r="H27" t="s">
        <v>455</v>
      </c>
      <c r="I27">
        <f>145*30%</f>
        <v>43.5</v>
      </c>
    </row>
    <row r="28" spans="1:11">
      <c r="H28" t="s">
        <v>456</v>
      </c>
      <c r="I28">
        <f>145*5%</f>
        <v>7.25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Views>
    <sheetView workbookViewId="0">
      <selection activeCell="A2" sqref="A2"/>
    </sheetView>
  </sheetViews>
  <sheetFormatPr defaultRowHeight="17"/>
  <cols>
    <col min="1" max="1" width="8.7265625" style="45"/>
    <col min="2" max="2" width="13.90625" style="45" bestFit="1" customWidth="1"/>
    <col min="3" max="3" width="10" style="45" bestFit="1" customWidth="1"/>
    <col min="4" max="4" width="10" style="45" customWidth="1"/>
    <col min="7" max="7" width="8.7265625" style="59"/>
    <col min="8" max="8" width="13.90625" style="59" bestFit="1" customWidth="1"/>
    <col min="9" max="9" width="10" style="59" bestFit="1" customWidth="1"/>
    <col min="10" max="10" width="10" style="59" customWidth="1"/>
  </cols>
  <sheetData>
    <row r="1" spans="1:11">
      <c r="A1" s="45" t="s">
        <v>490</v>
      </c>
      <c r="B1" s="45" t="s">
        <v>491</v>
      </c>
      <c r="C1" s="45" t="s">
        <v>492</v>
      </c>
      <c r="D1" s="45" t="s">
        <v>508</v>
      </c>
      <c r="E1" s="61" t="s">
        <v>494</v>
      </c>
      <c r="G1" s="52" t="s">
        <v>500</v>
      </c>
      <c r="H1" s="52" t="s">
        <v>458</v>
      </c>
      <c r="I1" s="52" t="s">
        <v>492</v>
      </c>
      <c r="J1" s="52" t="s">
        <v>508</v>
      </c>
      <c r="K1" s="51" t="s">
        <v>501</v>
      </c>
    </row>
    <row r="2" spans="1:11">
      <c r="A2" s="46" t="str">
        <f t="array" ref="A2">IFERROR(
  SMALL(員工資料!$I$2:$I$999, ROW(A1)),
"")</f>
        <v/>
      </c>
      <c r="B2" s="46" t="str">
        <f t="array" ref="B2">IFERROR(
  INDEX(員工資料!$C$2:$C$999,
    SMALL(
      IF(員工資料!$I$2:$I$999=$A2,
         ROW(員工資料!$I$2:$I$999)-ROW(員工資料!$I$2)+1
      ),
      COUNTIF($A$2:$A2,$A2)
    )
  ),
"")</f>
        <v/>
      </c>
      <c r="C2" s="46" t="str">
        <f t="array" ref="C2">IFERROR(
  INDEX(員工資料!$D$2:$D$999,
    SMALL(
      IF(員工資料!$I$2:$I$999=$A2,
         ROW(員工資料!$I$2:$I$999)-ROW(員工資料!$I$2)+1
      ),
      COUNTIF($A$2:$A2,$A2)
    )
  ),
"")</f>
        <v/>
      </c>
      <c r="D2" s="46"/>
      <c r="E2" s="50" t="s">
        <v>495</v>
      </c>
      <c r="G2" s="53" t="str">
        <f>IFERROR(
  SMALL(員工資料!$L$2:$L$999, ROW(G1)),
"")</f>
        <v/>
      </c>
      <c r="H2" s="54" t="str">
        <f t="array" ref="H2">IFERROR(
  INDEX(員工資料!$C$2:$C$999,
    SMALL(
      IF(員工資料!$L$2:$L$999=$G2,
         ROW(員工資料!$L$2:$L$999)-ROW(員工資料!$L$2)+1
      ),
      COUNTIF($G$2:$G2,$G2)
    )
  ),
"")</f>
        <v/>
      </c>
      <c r="I2" s="53" t="str">
        <f t="array" ref="I2">IFERROR(
  INDEX(員工資料!$D$2:$D$999,
    SMALL(
      IF(員工資料!$L$2:$L$999=$G2,
         ROW(員工資料!$L$2:$L$999)-ROW(員工資料!$L$2)+1
      ),
      COUNTIF($G$2:$G2,$G2)
    )
  ),
"")</f>
        <v/>
      </c>
      <c r="J2" s="53"/>
      <c r="K2" s="50" t="s">
        <v>502</v>
      </c>
    </row>
    <row r="3" spans="1:11">
      <c r="A3" s="46" t="str">
        <f t="array" ref="A3">IFERROR(
  SMALL(員工資料!$I$2:$I$999, ROW(A2)),
"")</f>
        <v/>
      </c>
      <c r="B3" s="46" t="str">
        <f t="array" ref="B3">IFERROR(
  INDEX(員工資料!$C$2:$C$999,
    SMALL(
      IF(員工資料!$I$2:$I$999=$A3,
         ROW(員工資料!$I$2:$I$999)-ROW(員工資料!$I$2)+1
      ),
      COUNTIF($A$2:$A3,$A3)
    )
  ),
"")</f>
        <v/>
      </c>
      <c r="C3" s="46" t="str">
        <f t="array" ref="C3">IFERROR(
  INDEX(員工資料!$D$2:$D$999,
    SMALL(
      IF(員工資料!$I$2:$I$999=$A3,
         ROW(員工資料!$I$2:$I$999)-ROW(員工資料!$I$2)+1
      ),
      COUNTIF($A$2:$A3,$A3)
    )
  ),
"")</f>
        <v/>
      </c>
      <c r="D3" s="46"/>
      <c r="E3" s="50" t="s">
        <v>496</v>
      </c>
      <c r="G3" s="53" t="str">
        <f>IFERROR(
  SMALL(員工資料!$L$2:$L$999, ROW(G2)),
"")</f>
        <v/>
      </c>
      <c r="H3" s="54" t="str">
        <f t="array" ref="H3">IFERROR(
  INDEX(員工資料!$C$2:$C$999,
    SMALL(
      IF(員工資料!$L$2:$L$999=$G3,
         ROW(員工資料!$L$2:$L$999)-ROW(員工資料!$L$2)+1
      ),
      COUNTIF($G$2:$G3,$G3)
    )
  ),
"")</f>
        <v/>
      </c>
      <c r="I3" s="53" t="str">
        <f t="array" ref="I3">IFERROR(
  INDEX(員工資料!$D$2:$D$999,
    SMALL(
      IF(員工資料!$L$2:$L$999=$G3,
         ROW(員工資料!$L$2:$L$999)-ROW(員工資料!$L$2)+1
      ),
      COUNTIF($G$2:$G3,$G3)
    )
  ),
"")</f>
        <v/>
      </c>
      <c r="J3" s="53"/>
      <c r="K3" s="50" t="s">
        <v>503</v>
      </c>
    </row>
    <row r="4" spans="1:11">
      <c r="A4" s="46" t="str">
        <f t="array" ref="A4">IFERROR(
  SMALL(員工資料!$I$2:$I$999, ROW(A3)),
"")</f>
        <v/>
      </c>
      <c r="B4" s="46" t="str">
        <f t="array" ref="B4">IFERROR(
  INDEX(員工資料!$C$2:$C$999,
    SMALL(
      IF(員工資料!$I$2:$I$999=$A4,
         ROW(員工資料!$I$2:$I$999)-ROW(員工資料!$I$2)+1
      ),
      COUNTIF($A$2:$A4,$A4)
    )
  ),
"")</f>
        <v/>
      </c>
      <c r="C4" s="46" t="str">
        <f t="array" ref="C4">IFERROR(
  INDEX(員工資料!$D$2:$D$999,
    SMALL(
      IF(員工資料!$I$2:$I$999=$A4,
         ROW(員工資料!$I$2:$I$999)-ROW(員工資料!$I$2)+1
      ),
      COUNTIF($A$2:$A4,$A4)
    )
  ),
"")</f>
        <v/>
      </c>
      <c r="D4" s="46"/>
      <c r="E4" s="50" t="s">
        <v>497</v>
      </c>
      <c r="G4" s="53" t="str">
        <f>IFERROR(
  SMALL(員工資料!$L$2:$L$999, ROW(G3)),
"")</f>
        <v/>
      </c>
      <c r="H4" s="54" t="str">
        <f t="array" ref="H4">IFERROR(
  INDEX(員工資料!$C$2:$C$999,
    SMALL(
      IF(員工資料!$L$2:$L$999=$G4,
         ROW(員工資料!$L$2:$L$999)-ROW(員工資料!$L$2)+1
      ),
      COUNTIF($G$2:$G4,$G4)
    )
  ),
"")</f>
        <v/>
      </c>
      <c r="I4" s="53" t="str">
        <f t="array" ref="I4">IFERROR(
  INDEX(員工資料!$D$2:$D$999,
    SMALL(
      IF(員工資料!$L$2:$L$999=$G4,
         ROW(員工資料!$L$2:$L$999)-ROW(員工資料!$L$2)+1
      ),
      COUNTIF($G$2:$G4,$G4)
    )
  ),
"")</f>
        <v/>
      </c>
      <c r="J4" s="53"/>
      <c r="K4" s="50" t="s">
        <v>504</v>
      </c>
    </row>
    <row r="5" spans="1:11">
      <c r="A5" s="46" t="str">
        <f t="array" ref="A5">IFERROR(
  SMALL(員工資料!$I$2:$I$999, ROW(A4)),
"")</f>
        <v/>
      </c>
      <c r="B5" s="46" t="str">
        <f t="array" ref="B5">IFERROR(
  INDEX(員工資料!$C$2:$C$999,
    SMALL(
      IF(員工資料!$I$2:$I$999=$A5,
         ROW(員工資料!$I$2:$I$999)-ROW(員工資料!$I$2)+1
      ),
      COUNTIF($A$2:$A5,$A5)
    )
  ),
"")</f>
        <v/>
      </c>
      <c r="C5" s="46" t="str">
        <f t="array" ref="C5">IFERROR(
  INDEX(員工資料!$D$2:$D$999,
    SMALL(
      IF(員工資料!$I$2:$I$999=$A5,
         ROW(員工資料!$I$2:$I$999)-ROW(員工資料!$I$2)+1
      ),
      COUNTIF($A$2:$A5,$A5)
    )
  ),
"")</f>
        <v/>
      </c>
      <c r="D5" s="46"/>
      <c r="E5" s="50" t="s">
        <v>498</v>
      </c>
      <c r="G5" s="53" t="str">
        <f>IFERROR(
  SMALL(員工資料!$L$2:$L$999, ROW(G4)),
"")</f>
        <v/>
      </c>
      <c r="H5" s="54" t="str">
        <f t="array" ref="H5">IFERROR(
  INDEX(員工資料!$C$2:$C$999,
    SMALL(
      IF(員工資料!$L$2:$L$999=$G5,
         ROW(員工資料!$L$2:$L$999)-ROW(員工資料!$L$2)+1
      ),
      COUNTIF($G$2:$G5,$G5)
    )
  ),
"")</f>
        <v/>
      </c>
      <c r="I5" s="53" t="str">
        <f t="array" ref="I5">IFERROR(
  INDEX(員工資料!$D$2:$D$999,
    SMALL(
      IF(員工資料!$L$2:$L$999=$G5,
         ROW(員工資料!$L$2:$L$999)-ROW(員工資料!$L$2)+1
      ),
      COUNTIF($G$2:$G5,$G5)
    )
  ),
"")</f>
        <v/>
      </c>
      <c r="J5" s="53"/>
      <c r="K5" s="50" t="s">
        <v>505</v>
      </c>
    </row>
    <row r="6" spans="1:11">
      <c r="A6" s="46" t="str">
        <f t="array" ref="A6">IFERROR(
  SMALL(員工資料!$I$2:$I$999, ROW(A5)),
"")</f>
        <v/>
      </c>
      <c r="B6" s="46" t="str">
        <f t="array" ref="B6">IFERROR(
  INDEX(員工資料!$C$2:$C$999,
    SMALL(
      IF(員工資料!$I$2:$I$999=$A6,
         ROW(員工資料!$I$2:$I$999)-ROW(員工資料!$I$2)+1
      ),
      COUNTIF($A$2:$A6,$A6)
    )
  ),
"")</f>
        <v/>
      </c>
      <c r="C6" s="46" t="str">
        <f t="array" ref="C6">IFERROR(
  INDEX(員工資料!$D$2:$D$999,
    SMALL(
      IF(員工資料!$I$2:$I$999=$A6,
         ROW(員工資料!$I$2:$I$999)-ROW(員工資料!$I$2)+1
      ),
      COUNTIF($A$2:$A6,$A6)
    )
  ),
"")</f>
        <v/>
      </c>
      <c r="D6" s="46"/>
      <c r="E6" s="50" t="s">
        <v>499</v>
      </c>
      <c r="G6" s="53" t="str">
        <f>IFERROR(
  SMALL(員工資料!$L$2:$L$999, ROW(G5)),
"")</f>
        <v/>
      </c>
      <c r="H6" s="54" t="str">
        <f t="array" ref="H6">IFERROR(
  INDEX(員工資料!$C$2:$C$999,
    SMALL(
      IF(員工資料!$L$2:$L$999=$G6,
         ROW(員工資料!$L$2:$L$999)-ROW(員工資料!$L$2)+1
      ),
      COUNTIF($G$2:$G6,$G6)
    )
  ),
"")</f>
        <v/>
      </c>
      <c r="I6" s="53" t="str">
        <f t="array" ref="I6">IFERROR(
  INDEX(員工資料!$D$2:$D$999,
    SMALL(
      IF(員工資料!$L$2:$L$999=$G6,
         ROW(員工資料!$L$2:$L$999)-ROW(員工資料!$L$2)+1
      ),
      COUNTIF($G$2:$G6,$G6)
    )
  ),
"")</f>
        <v/>
      </c>
      <c r="J6" s="53"/>
    </row>
    <row r="7" spans="1:11">
      <c r="A7" s="46" t="str">
        <f t="array" ref="A7">IFERROR(
  SMALL(員工資料!$I$2:$I$999, ROW(A6)),
"")</f>
        <v/>
      </c>
      <c r="B7" s="46" t="str">
        <f t="array" ref="B7">IFERROR(
  INDEX(員工資料!$C$2:$C$999,
    SMALL(
      IF(員工資料!$I$2:$I$999=$A7,
         ROW(員工資料!$I$2:$I$999)-ROW(員工資料!$I$2)+1
      ),
      COUNTIF($A$2:$A7,$A7)
    )
  ),
"")</f>
        <v/>
      </c>
      <c r="C7" s="46" t="str">
        <f t="array" ref="C7">IFERROR(
  INDEX(員工資料!$D$2:$D$999,
    SMALL(
      IF(員工資料!$I$2:$I$999=$A7,
         ROW(員工資料!$I$2:$I$999)-ROW(員工資料!$I$2)+1
      ),
      COUNTIF($A$2:$A7,$A7)
    )
  ),
"")</f>
        <v/>
      </c>
      <c r="D7" s="46"/>
      <c r="G7" s="53" t="str">
        <f>IFERROR(
  SMALL(員工資料!$L$2:$L$999, ROW(G6)),
"")</f>
        <v/>
      </c>
      <c r="H7" s="54" t="str">
        <f t="array" ref="H7">IFERROR(
  INDEX(員工資料!$C$2:$C$999,
    SMALL(
      IF(員工資料!$L$2:$L$999=$G7,
         ROW(員工資料!$L$2:$L$999)-ROW(員工資料!$L$2)+1
      ),
      COUNTIF($G$2:$G7,$G7)
    )
  ),
"")</f>
        <v/>
      </c>
      <c r="I7" s="53" t="str">
        <f t="array" ref="I7">IFERROR(
  INDEX(員工資料!$D$2:$D$999,
    SMALL(
      IF(員工資料!$L$2:$L$999=$G7,
         ROW(員工資料!$L$2:$L$999)-ROW(員工資料!$L$2)+1
      ),
      COUNTIF($G$2:$G7,$G7)
    )
  ),
"")</f>
        <v/>
      </c>
      <c r="J7" s="53"/>
    </row>
    <row r="8" spans="1:11">
      <c r="A8" s="46" t="str">
        <f t="array" ref="A8">IFERROR(
  SMALL(員工資料!$I$2:$I$999, ROW(A7)),
"")</f>
        <v/>
      </c>
      <c r="B8" s="46" t="str">
        <f t="array" ref="B8">IFERROR(
  INDEX(員工資料!$C$2:$C$999,
    SMALL(
      IF(員工資料!$I$2:$I$999=$A8,
         ROW(員工資料!$I$2:$I$999)-ROW(員工資料!$I$2)+1
      ),
      COUNTIF($A$2:$A8,$A8)
    )
  ),
"")</f>
        <v/>
      </c>
      <c r="C8" s="46" t="str">
        <f t="array" ref="C8">IFERROR(
  INDEX(員工資料!$D$2:$D$999,
    SMALL(
      IF(員工資料!$I$2:$I$999=$A8,
         ROW(員工資料!$I$2:$I$999)-ROW(員工資料!$I$2)+1
      ),
      COUNTIF($A$2:$A8,$A8)
    )
  ),
"")</f>
        <v/>
      </c>
      <c r="D8" s="46"/>
      <c r="G8" s="53" t="str">
        <f>IFERROR(
  SMALL(員工資料!$L$2:$L$999, ROW(G7)),
"")</f>
        <v/>
      </c>
      <c r="H8" s="54" t="str">
        <f t="array" ref="H8">IFERROR(
  INDEX(員工資料!$C$2:$C$999,
    SMALL(
      IF(員工資料!$L$2:$L$999=$G8,
         ROW(員工資料!$L$2:$L$999)-ROW(員工資料!$L$2)+1
      ),
      COUNTIF($G$2:$G8,$G8)
    )
  ),
"")</f>
        <v/>
      </c>
      <c r="I8" s="53" t="str">
        <f t="array" ref="I8">IFERROR(
  INDEX(員工資料!$D$2:$D$999,
    SMALL(
      IF(員工資料!$L$2:$L$999=$G8,
         ROW(員工資料!$L$2:$L$999)-ROW(員工資料!$L$2)+1
      ),
      COUNTIF($G$2:$G8,$G8)
    )
  ),
"")</f>
        <v/>
      </c>
      <c r="J8" s="53"/>
    </row>
    <row r="9" spans="1:11">
      <c r="A9" s="46" t="str">
        <f t="array" ref="A9">IFERROR(
  SMALL(員工資料!$I$2:$I$999, ROW(A8)),
"")</f>
        <v/>
      </c>
      <c r="B9" s="46" t="str">
        <f t="array" ref="B9">IFERROR(
  INDEX(員工資料!$C$2:$C$999,
    SMALL(
      IF(員工資料!$I$2:$I$999=$A9,
         ROW(員工資料!$I$2:$I$999)-ROW(員工資料!$I$2)+1
      ),
      COUNTIF($A$2:$A9,$A9)
    )
  ),
"")</f>
        <v/>
      </c>
      <c r="C9" s="46" t="str">
        <f t="array" ref="C9">IFERROR(
  INDEX(員工資料!$D$2:$D$999,
    SMALL(
      IF(員工資料!$I$2:$I$999=$A9,
         ROW(員工資料!$I$2:$I$999)-ROW(員工資料!$I$2)+1
      ),
      COUNTIF($A$2:$A9,$A9)
    )
  ),
"")</f>
        <v/>
      </c>
      <c r="D9" s="46"/>
      <c r="G9" s="53" t="str">
        <f>IFERROR(
  SMALL(員工資料!$L$2:$L$999, ROW(G8)),
"")</f>
        <v/>
      </c>
      <c r="H9" s="54" t="str">
        <f t="array" ref="H9">IFERROR(
  INDEX(員工資料!$C$2:$C$999,
    SMALL(
      IF(員工資料!$L$2:$L$999=$G9,
         ROW(員工資料!$L$2:$L$999)-ROW(員工資料!$L$2)+1
      ),
      COUNTIF($G$2:$G9,$G9)
    )
  ),
"")</f>
        <v/>
      </c>
      <c r="I9" s="53" t="str">
        <f t="array" ref="I9">IFERROR(
  INDEX(員工資料!$D$2:$D$999,
    SMALL(
      IF(員工資料!$L$2:$L$999=$G9,
         ROW(員工資料!$L$2:$L$999)-ROW(員工資料!$L$2)+1
      ),
      COUNTIF($G$2:$G9,$G9)
    )
  ),
"")</f>
        <v/>
      </c>
      <c r="J9" s="53"/>
    </row>
    <row r="10" spans="1:11">
      <c r="A10" s="46" t="str">
        <f t="array" ref="A10">IFERROR(
  SMALL(員工資料!$I$2:$I$999, ROW(A9)),
"")</f>
        <v/>
      </c>
      <c r="B10" s="46" t="str">
        <f t="array" ref="B10">IFERROR(
  INDEX(員工資料!$C$2:$C$999,
    SMALL(
      IF(員工資料!$I$2:$I$999=$A10,
         ROW(員工資料!$I$2:$I$999)-ROW(員工資料!$I$2)+1
      ),
      COUNTIF($A$2:$A10,$A10)
    )
  ),
"")</f>
        <v/>
      </c>
      <c r="C10" s="46" t="str">
        <f t="array" ref="C10">IFERROR(
  INDEX(員工資料!$D$2:$D$999,
    SMALL(
      IF(員工資料!$I$2:$I$999=$A10,
         ROW(員工資料!$I$2:$I$999)-ROW(員工資料!$I$2)+1
      ),
      COUNTIF($A$2:$A10,$A10)
    )
  ),
"")</f>
        <v/>
      </c>
      <c r="D10" s="46"/>
      <c r="G10" s="53" t="str">
        <f>IFERROR(
  SMALL(員工資料!$L$2:$L$999, ROW(G9)),
"")</f>
        <v/>
      </c>
      <c r="H10" s="54" t="str">
        <f t="array" ref="H10">IFERROR(
  INDEX(員工資料!$C$2:$C$999,
    SMALL(
      IF(員工資料!$L$2:$L$999=$G10,
         ROW(員工資料!$L$2:$L$999)-ROW(員工資料!$L$2)+1
      ),
      COUNTIF($G$2:$G10,$G10)
    )
  ),
"")</f>
        <v/>
      </c>
      <c r="I10" s="53" t="str">
        <f t="array" ref="I10">IFERROR(
  INDEX(員工資料!$D$2:$D$999,
    SMALL(
      IF(員工資料!$L$2:$L$999=$G10,
         ROW(員工資料!$L$2:$L$999)-ROW(員工資料!$L$2)+1
      ),
      COUNTIF($G$2:$G10,$G10)
    )
  ),
"")</f>
        <v/>
      </c>
      <c r="J10" s="53"/>
    </row>
    <row r="11" spans="1:11">
      <c r="A11" s="46" t="str">
        <f t="array" ref="A11">IFERROR(
  SMALL(員工資料!$I$2:$I$999, ROW(A10)),
"")</f>
        <v/>
      </c>
      <c r="B11" s="46" t="str">
        <f t="array" ref="B11">IFERROR(
  INDEX(員工資料!$C$2:$C$999,
    SMALL(
      IF(員工資料!$I$2:$I$999=$A11,
         ROW(員工資料!$I$2:$I$999)-ROW(員工資料!$I$2)+1
      ),
      COUNTIF($A$2:$A11,$A11)
    )
  ),
"")</f>
        <v/>
      </c>
      <c r="C11" s="46" t="str">
        <f t="array" ref="C11">IFERROR(
  INDEX(員工資料!$D$2:$D$999,
    SMALL(
      IF(員工資料!$I$2:$I$999=$A11,
         ROW(員工資料!$I$2:$I$999)-ROW(員工資料!$I$2)+1
      ),
      COUNTIF($A$2:$A11,$A11)
    )
  ),
"")</f>
        <v/>
      </c>
      <c r="D11" s="46"/>
      <c r="G11" s="53" t="str">
        <f>IFERROR(
  SMALL(員工資料!$L$2:$L$999, ROW(G10)),
"")</f>
        <v/>
      </c>
      <c r="H11" s="54" t="str">
        <f t="array" ref="H11">IFERROR(
  INDEX(員工資料!$C$2:$C$999,
    SMALL(
      IF(員工資料!$L$2:$L$999=$G11,
         ROW(員工資料!$L$2:$L$999)-ROW(員工資料!$L$2)+1
      ),
      COUNTIF($G$2:$G11,$G11)
    )
  ),
"")</f>
        <v/>
      </c>
      <c r="I11" s="53" t="str">
        <f t="array" ref="I11">IFERROR(
  INDEX(員工資料!$D$2:$D$999,
    SMALL(
      IF(員工資料!$L$2:$L$999=$G11,
         ROW(員工資料!$L$2:$L$999)-ROW(員工資料!$L$2)+1
      ),
      COUNTIF($G$2:$G11,$G11)
    )
  ),
"")</f>
        <v/>
      </c>
      <c r="J11" s="53"/>
    </row>
    <row r="12" spans="1:11">
      <c r="A12" s="47" t="str">
        <f t="array" ref="A12">IFERROR(
  SMALL(員工資料!$I$2:$I$999, ROW(A11)),
"")</f>
        <v/>
      </c>
      <c r="B12" s="47" t="str">
        <f t="array" ref="B12">IFERROR(
  INDEX(員工資料!$C$2:$C$999,
    SMALL(
      IF(員工資料!$I$2:$I$999=$A12,
         ROW(員工資料!$I$2:$I$999)-ROW(員工資料!$I$2)+1
      ),
      COUNTIF($A$2:$A12,$A12)
    )
  ),
"")</f>
        <v/>
      </c>
      <c r="C12" s="47" t="str">
        <f t="array" ref="C12">IFERROR(
  INDEX(員工資料!$D$2:$D$999,
    SMALL(
      IF(員工資料!$I$2:$I$999=$A12,
         ROW(員工資料!$I$2:$I$999)-ROW(員工資料!$I$2)+1
      ),
      COUNTIF($A$2:$A12,$A12)
    )
  ),
"")</f>
        <v/>
      </c>
      <c r="D12" s="47"/>
      <c r="G12" s="55" t="str">
        <f>IFERROR(
  SMALL(員工資料!$L$2:$L$999, ROW(G11)),
"")</f>
        <v/>
      </c>
      <c r="H12" s="56" t="str">
        <f t="array" ref="H12">IFERROR(
  INDEX(員工資料!$C$2:$C$999,
    SMALL(
      IF(員工資料!$L$2:$L$999=$G12,
         ROW(員工資料!$L$2:$L$999)-ROW(員工資料!$L$2)+1
      ),
      COUNTIF($G$2:$G12,$G12)
    )
  ),
"")</f>
        <v/>
      </c>
      <c r="I12" s="55" t="str">
        <f t="array" ref="I12">IFERROR(
  INDEX(員工資料!$D$2:$D$999,
    SMALL(
      IF(員工資料!$L$2:$L$999=$G12,
         ROW(員工資料!$L$2:$L$999)-ROW(員工資料!$L$2)+1
      ),
      COUNTIF($G$2:$G12,$G12)
    )
  ),
"")</f>
        <v/>
      </c>
      <c r="J12" s="55"/>
    </row>
    <row r="13" spans="1:11">
      <c r="A13" s="47" t="str">
        <f t="array" ref="A13">IFERROR(
  SMALL(員工資料!$I$2:$I$999, ROW(A12)),
"")</f>
        <v/>
      </c>
      <c r="B13" s="47" t="str">
        <f t="array" ref="B13">IFERROR(
  INDEX(員工資料!$C$2:$C$999,
    SMALL(
      IF(員工資料!$I$2:$I$999=$A13,
         ROW(員工資料!$I$2:$I$999)-ROW(員工資料!$I$2)+1
      ),
      COUNTIF($A$2:$A13,$A13)
    )
  ),
"")</f>
        <v/>
      </c>
      <c r="C13" s="47" t="str">
        <f t="array" ref="C13">IFERROR(
  INDEX(員工資料!$D$2:$D$999,
    SMALL(
      IF(員工資料!$I$2:$I$999=$A13,
         ROW(員工資料!$I$2:$I$999)-ROW(員工資料!$I$2)+1
      ),
      COUNTIF($A$2:$A13,$A13)
    )
  ),
"")</f>
        <v/>
      </c>
      <c r="D13" s="47"/>
      <c r="G13" s="55" t="str">
        <f>IFERROR(
  SMALL(員工資料!$L$2:$L$999, ROW(G12)),
"")</f>
        <v/>
      </c>
      <c r="H13" s="56" t="str">
        <f t="array" ref="H13">IFERROR(
  INDEX(員工資料!$C$2:$C$999,
    SMALL(
      IF(員工資料!$L$2:$L$999=$G13,
         ROW(員工資料!$L$2:$L$999)-ROW(員工資料!$L$2)+1
      ),
      COUNTIF($G$2:$G13,$G13)
    )
  ),
"")</f>
        <v/>
      </c>
      <c r="I13" s="55" t="str">
        <f t="array" ref="I13">IFERROR(
  INDEX(員工資料!$D$2:$D$999,
    SMALL(
      IF(員工資料!$L$2:$L$999=$G13,
         ROW(員工資料!$L$2:$L$999)-ROW(員工資料!$L$2)+1
      ),
      COUNTIF($G$2:$G13,$G13)
    )
  ),
"")</f>
        <v/>
      </c>
      <c r="J13" s="55"/>
    </row>
    <row r="14" spans="1:11">
      <c r="A14" s="47" t="str">
        <f t="array" ref="A14">IFERROR(
  SMALL(員工資料!$I$2:$I$999, ROW(A13)),
"")</f>
        <v/>
      </c>
      <c r="B14" s="47" t="str">
        <f t="array" ref="B14">IFERROR(
  INDEX(員工資料!$C$2:$C$999,
    SMALL(
      IF(員工資料!$I$2:$I$999=$A14,
         ROW(員工資料!$I$2:$I$999)-ROW(員工資料!$I$2)+1
      ),
      COUNTIF($A$2:$A14,$A14)
    )
  ),
"")</f>
        <v/>
      </c>
      <c r="C14" s="47" t="str">
        <f t="array" ref="C14">IFERROR(
  INDEX(員工資料!$D$2:$D$999,
    SMALL(
      IF(員工資料!$I$2:$I$999=$A14,
         ROW(員工資料!$I$2:$I$999)-ROW(員工資料!$I$2)+1
      ),
      COUNTIF($A$2:$A14,$A14)
    )
  ),
"")</f>
        <v/>
      </c>
      <c r="D14" s="47"/>
      <c r="G14" s="55" t="str">
        <f>IFERROR(
  SMALL(員工資料!$L$2:$L$999, ROW(G13)),
"")</f>
        <v/>
      </c>
      <c r="H14" s="56" t="str">
        <f t="array" ref="H14">IFERROR(
  INDEX(員工資料!$C$2:$C$999,
    SMALL(
      IF(員工資料!$L$2:$L$999=$G14,
         ROW(員工資料!$L$2:$L$999)-ROW(員工資料!$L$2)+1
      ),
      COUNTIF($G$2:$G14,$G14)
    )
  ),
"")</f>
        <v/>
      </c>
      <c r="I14" s="55" t="str">
        <f t="array" ref="I14">IFERROR(
  INDEX(員工資料!$D$2:$D$999,
    SMALL(
      IF(員工資料!$L$2:$L$999=$G14,
         ROW(員工資料!$L$2:$L$999)-ROW(員工資料!$L$2)+1
      ),
      COUNTIF($G$2:$G14,$G14)
    )
  ),
"")</f>
        <v/>
      </c>
      <c r="J14" s="55"/>
    </row>
    <row r="15" spans="1:11">
      <c r="A15" s="47" t="str">
        <f t="array" ref="A15">IFERROR(
  SMALL(員工資料!$I$2:$I$999, ROW(A14)),
"")</f>
        <v/>
      </c>
      <c r="B15" s="47" t="str">
        <f t="array" ref="B15">IFERROR(
  INDEX(員工資料!$C$2:$C$999,
    SMALL(
      IF(員工資料!$I$2:$I$999=$A15,
         ROW(員工資料!$I$2:$I$999)-ROW(員工資料!$I$2)+1
      ),
      COUNTIF($A$2:$A15,$A15)
    )
  ),
"")</f>
        <v/>
      </c>
      <c r="C15" s="47" t="str">
        <f t="array" ref="C15">IFERROR(
  INDEX(員工資料!$D$2:$D$999,
    SMALL(
      IF(員工資料!$I$2:$I$999=$A15,
         ROW(員工資料!$I$2:$I$999)-ROW(員工資料!$I$2)+1
      ),
      COUNTIF($A$2:$A15,$A15)
    )
  ),
"")</f>
        <v/>
      </c>
      <c r="D15" s="47"/>
      <c r="G15" s="55" t="str">
        <f>IFERROR(
  SMALL(員工資料!$L$2:$L$999, ROW(G14)),
"")</f>
        <v/>
      </c>
      <c r="H15" s="56" t="str">
        <f t="array" ref="H15">IFERROR(
  INDEX(員工資料!$C$2:$C$999,
    SMALL(
      IF(員工資料!$L$2:$L$999=$G15,
         ROW(員工資料!$L$2:$L$999)-ROW(員工資料!$L$2)+1
      ),
      COUNTIF($G$2:$G15,$G15)
    )
  ),
"")</f>
        <v/>
      </c>
      <c r="I15" s="55" t="str">
        <f t="array" ref="I15">IFERROR(
  INDEX(員工資料!$D$2:$D$999,
    SMALL(
      IF(員工資料!$L$2:$L$999=$G15,
         ROW(員工資料!$L$2:$L$999)-ROW(員工資料!$L$2)+1
      ),
      COUNTIF($G$2:$G15,$G15)
    )
  ),
"")</f>
        <v/>
      </c>
      <c r="J15" s="55"/>
    </row>
    <row r="16" spans="1:11">
      <c r="A16" s="47" t="str">
        <f t="array" ref="A16">IFERROR(
  SMALL(員工資料!$I$2:$I$999, ROW(A15)),
"")</f>
        <v/>
      </c>
      <c r="B16" s="47" t="str">
        <f t="array" ref="B16">IFERROR(
  INDEX(員工資料!$C$2:$C$999,
    SMALL(
      IF(員工資料!$I$2:$I$999=$A16,
         ROW(員工資料!$I$2:$I$999)-ROW(員工資料!$I$2)+1
      ),
      COUNTIF($A$2:$A16,$A16)
    )
  ),
"")</f>
        <v/>
      </c>
      <c r="C16" s="47" t="str">
        <f t="array" ref="C16">IFERROR(
  INDEX(員工資料!$D$2:$D$999,
    SMALL(
      IF(員工資料!$I$2:$I$999=$A16,
         ROW(員工資料!$I$2:$I$999)-ROW(員工資料!$I$2)+1
      ),
      COUNTIF($A$2:$A16,$A16)
    )
  ),
"")</f>
        <v/>
      </c>
      <c r="D16" s="47"/>
      <c r="G16" s="55" t="str">
        <f>IFERROR(
  SMALL(員工資料!$L$2:$L$999, ROW(G15)),
"")</f>
        <v/>
      </c>
      <c r="H16" s="56" t="str">
        <f t="array" ref="H16">IFERROR(
  INDEX(員工資料!$C$2:$C$999,
    SMALL(
      IF(員工資料!$L$2:$L$999=$G16,
         ROW(員工資料!$L$2:$L$999)-ROW(員工資料!$L$2)+1
      ),
      COUNTIF($G$2:$G16,$G16)
    )
  ),
"")</f>
        <v/>
      </c>
      <c r="I16" s="55" t="str">
        <f t="array" ref="I16">IFERROR(
  INDEX(員工資料!$D$2:$D$999,
    SMALL(
      IF(員工資料!$L$2:$L$999=$G16,
         ROW(員工資料!$L$2:$L$999)-ROW(員工資料!$L$2)+1
      ),
      COUNTIF($G$2:$G16,$G16)
    )
  ),
"")</f>
        <v/>
      </c>
      <c r="J16" s="55"/>
    </row>
    <row r="17" spans="1:10">
      <c r="A17" s="47" t="str">
        <f t="array" ref="A17">IFERROR(
  SMALL(員工資料!$I$2:$I$999, ROW(A16)),
"")</f>
        <v/>
      </c>
      <c r="B17" s="47" t="str">
        <f t="array" ref="B17">IFERROR(
  INDEX(員工資料!$C$2:$C$999,
    SMALL(
      IF(員工資料!$I$2:$I$999=$A17,
         ROW(員工資料!$I$2:$I$999)-ROW(員工資料!$I$2)+1
      ),
      COUNTIF($A$2:$A17,$A17)
    )
  ),
"")</f>
        <v/>
      </c>
      <c r="C17" s="47" t="str">
        <f t="array" ref="C17">IFERROR(
  INDEX(員工資料!$D$2:$D$999,
    SMALL(
      IF(員工資料!$I$2:$I$999=$A17,
         ROW(員工資料!$I$2:$I$999)-ROW(員工資料!$I$2)+1
      ),
      COUNTIF($A$2:$A17,$A17)
    )
  ),
"")</f>
        <v/>
      </c>
      <c r="D17" s="47"/>
      <c r="G17" s="55" t="str">
        <f>IFERROR(
  SMALL(員工資料!$L$2:$L$999, ROW(G16)),
"")</f>
        <v/>
      </c>
      <c r="H17" s="56" t="str">
        <f t="array" ref="H17">IFERROR(
  INDEX(員工資料!$C$2:$C$999,
    SMALL(
      IF(員工資料!$L$2:$L$999=$G17,
         ROW(員工資料!$L$2:$L$999)-ROW(員工資料!$L$2)+1
      ),
      COUNTIF($G$2:$G17,$G17)
    )
  ),
"")</f>
        <v/>
      </c>
      <c r="I17" s="55" t="str">
        <f t="array" ref="I17">IFERROR(
  INDEX(員工資料!$D$2:$D$999,
    SMALL(
      IF(員工資料!$L$2:$L$999=$G17,
         ROW(員工資料!$L$2:$L$999)-ROW(員工資料!$L$2)+1
      ),
      COUNTIF($G$2:$G17,$G17)
    )
  ),
"")</f>
        <v/>
      </c>
      <c r="J17" s="55"/>
    </row>
    <row r="18" spans="1:10">
      <c r="A18" s="47" t="str">
        <f t="array" ref="A18">IFERROR(
  SMALL(員工資料!$I$2:$I$999, ROW(A17)),
"")</f>
        <v/>
      </c>
      <c r="B18" s="47" t="str">
        <f t="array" ref="B18">IFERROR(
  INDEX(員工資料!$C$2:$C$999,
    SMALL(
      IF(員工資料!$I$2:$I$999=$A18,
         ROW(員工資料!$I$2:$I$999)-ROW(員工資料!$I$2)+1
      ),
      COUNTIF($A$2:$A18,$A18)
    )
  ),
"")</f>
        <v/>
      </c>
      <c r="C18" s="47" t="str">
        <f t="array" ref="C18">IFERROR(
  INDEX(員工資料!$D$2:$D$999,
    SMALL(
      IF(員工資料!$I$2:$I$999=$A18,
         ROW(員工資料!$I$2:$I$999)-ROW(員工資料!$I$2)+1
      ),
      COUNTIF($A$2:$A18,$A18)
    )
  ),
"")</f>
        <v/>
      </c>
      <c r="D18" s="47"/>
      <c r="G18" s="55" t="str">
        <f>IFERROR(
  SMALL(員工資料!$L$2:$L$999, ROW(G17)),
"")</f>
        <v/>
      </c>
      <c r="H18" s="56" t="str">
        <f t="array" ref="H18">IFERROR(
  INDEX(員工資料!$C$2:$C$999,
    SMALL(
      IF(員工資料!$L$2:$L$999=$G18,
         ROW(員工資料!$L$2:$L$999)-ROW(員工資料!$L$2)+1
      ),
      COUNTIF($G$2:$G18,$G18)
    )
  ),
"")</f>
        <v/>
      </c>
      <c r="I18" s="55" t="str">
        <f t="array" ref="I18">IFERROR(
  INDEX(員工資料!$D$2:$D$999,
    SMALL(
      IF(員工資料!$L$2:$L$999=$G18,
         ROW(員工資料!$L$2:$L$999)-ROW(員工資料!$L$2)+1
      ),
      COUNTIF($G$2:$G18,$G18)
    )
  ),
"")</f>
        <v/>
      </c>
      <c r="J18" s="55"/>
    </row>
    <row r="19" spans="1:10">
      <c r="A19" s="47" t="str">
        <f t="array" ref="A19">IFERROR(
  SMALL(員工資料!$I$2:$I$999, ROW(A18)),
"")</f>
        <v/>
      </c>
      <c r="B19" s="47" t="str">
        <f t="array" ref="B19">IFERROR(
  INDEX(員工資料!$C$2:$C$999,
    SMALL(
      IF(員工資料!$I$2:$I$999=$A19,
         ROW(員工資料!$I$2:$I$999)-ROW(員工資料!$I$2)+1
      ),
      COUNTIF($A$2:$A19,$A19)
    )
  ),
"")</f>
        <v/>
      </c>
      <c r="C19" s="47" t="str">
        <f t="array" ref="C19">IFERROR(
  INDEX(員工資料!$D$2:$D$999,
    SMALL(
      IF(員工資料!$I$2:$I$999=$A19,
         ROW(員工資料!$I$2:$I$999)-ROW(員工資料!$I$2)+1
      ),
      COUNTIF($A$2:$A19,$A19)
    )
  ),
"")</f>
        <v/>
      </c>
      <c r="D19" s="47"/>
      <c r="G19" s="55" t="str">
        <f>IFERROR(
  SMALL(員工資料!$L$2:$L$999, ROW(G18)),
"")</f>
        <v/>
      </c>
      <c r="H19" s="56" t="str">
        <f t="array" ref="H19">IFERROR(
  INDEX(員工資料!$C$2:$C$999,
    SMALL(
      IF(員工資料!$L$2:$L$999=$G19,
         ROW(員工資料!$L$2:$L$999)-ROW(員工資料!$L$2)+1
      ),
      COUNTIF($G$2:$G19,$G19)
    )
  ),
"")</f>
        <v/>
      </c>
      <c r="I19" s="55" t="str">
        <f t="array" ref="I19">IFERROR(
  INDEX(員工資料!$D$2:$D$999,
    SMALL(
      IF(員工資料!$L$2:$L$999=$G19,
         ROW(員工資料!$L$2:$L$999)-ROW(員工資料!$L$2)+1
      ),
      COUNTIF($G$2:$G19,$G19)
    )
  ),
"")</f>
        <v/>
      </c>
      <c r="J19" s="55"/>
    </row>
    <row r="20" spans="1:10">
      <c r="A20" s="47" t="str">
        <f t="array" ref="A20">IFERROR(
  SMALL(員工資料!$I$2:$I$999, ROW(A19)),
"")</f>
        <v/>
      </c>
      <c r="B20" s="47" t="str">
        <f t="array" ref="B20">IFERROR(
  INDEX(員工資料!$C$2:$C$999,
    SMALL(
      IF(員工資料!$I$2:$I$999=$A20,
         ROW(員工資料!$I$2:$I$999)-ROW(員工資料!$I$2)+1
      ),
      COUNTIF($A$2:$A20,$A20)
    )
  ),
"")</f>
        <v/>
      </c>
      <c r="C20" s="47" t="str">
        <f t="array" ref="C20">IFERROR(
  INDEX(員工資料!$D$2:$D$999,
    SMALL(
      IF(員工資料!$I$2:$I$999=$A20,
         ROW(員工資料!$I$2:$I$999)-ROW(員工資料!$I$2)+1
      ),
      COUNTIF($A$2:$A20,$A20)
    )
  ),
"")</f>
        <v/>
      </c>
      <c r="D20" s="47"/>
      <c r="G20" s="55" t="str">
        <f>IFERROR(
  SMALL(員工資料!$L$2:$L$999, ROW(G19)),
"")</f>
        <v/>
      </c>
      <c r="H20" s="56" t="str">
        <f t="array" ref="H20">IFERROR(
  INDEX(員工資料!$C$2:$C$999,
    SMALL(
      IF(員工資料!$L$2:$L$999=$G20,
         ROW(員工資料!$L$2:$L$999)-ROW(員工資料!$L$2)+1
      ),
      COUNTIF($G$2:$G20,$G20)
    )
  ),
"")</f>
        <v/>
      </c>
      <c r="I20" s="55" t="str">
        <f t="array" ref="I20">IFERROR(
  INDEX(員工資料!$D$2:$D$999,
    SMALL(
      IF(員工資料!$L$2:$L$999=$G20,
         ROW(員工資料!$L$2:$L$999)-ROW(員工資料!$L$2)+1
      ),
      COUNTIF($G$2:$G20,$G20)
    )
  ),
"")</f>
        <v/>
      </c>
      <c r="J20" s="55"/>
    </row>
    <row r="21" spans="1:10">
      <c r="A21" s="47" t="str">
        <f t="array" ref="A21">IFERROR(
  SMALL(員工資料!$I$2:$I$999, ROW(A20)),
"")</f>
        <v/>
      </c>
      <c r="B21" s="47" t="str">
        <f t="array" ref="B21">IFERROR(
  INDEX(員工資料!$C$2:$C$999,
    SMALL(
      IF(員工資料!$I$2:$I$999=$A21,
         ROW(員工資料!$I$2:$I$999)-ROW(員工資料!$I$2)+1
      ),
      COUNTIF($A$2:$A21,$A21)
    )
  ),
"")</f>
        <v/>
      </c>
      <c r="C21" s="47" t="str">
        <f t="array" ref="C21">IFERROR(
  INDEX(員工資料!$D$2:$D$999,
    SMALL(
      IF(員工資料!$I$2:$I$999=$A21,
         ROW(員工資料!$I$2:$I$999)-ROW(員工資料!$I$2)+1
      ),
      COUNTIF($A$2:$A21,$A21)
    )
  ),
"")</f>
        <v/>
      </c>
      <c r="D21" s="47"/>
      <c r="G21" s="55" t="str">
        <f>IFERROR(
  SMALL(員工資料!$L$2:$L$999, ROW(G20)),
"")</f>
        <v/>
      </c>
      <c r="H21" s="56" t="str">
        <f t="array" ref="H21">IFERROR(
  INDEX(員工資料!$C$2:$C$999,
    SMALL(
      IF(員工資料!$L$2:$L$999=$G21,
         ROW(員工資料!$L$2:$L$999)-ROW(員工資料!$L$2)+1
      ),
      COUNTIF($G$2:$G21,$G21)
    )
  ),
"")</f>
        <v/>
      </c>
      <c r="I21" s="55" t="str">
        <f t="array" ref="I21">IFERROR(
  INDEX(員工資料!$D$2:$D$999,
    SMALL(
      IF(員工資料!$L$2:$L$999=$G21,
         ROW(員工資料!$L$2:$L$999)-ROW(員工資料!$L$2)+1
      ),
      COUNTIF($G$2:$G21,$G21)
    )
  ),
"")</f>
        <v/>
      </c>
      <c r="J21" s="55"/>
    </row>
    <row r="22" spans="1:10">
      <c r="A22" s="48" t="str">
        <f t="array" ref="A22">IFERROR(
  SMALL(員工資料!$I$2:$I$999, ROW(A21)),
"")</f>
        <v/>
      </c>
      <c r="B22" s="48" t="str">
        <f t="array" ref="B22">IFERROR(
  INDEX(員工資料!$C$2:$C$999,
    SMALL(
      IF(員工資料!$I$2:$I$999=$A22,
         ROW(員工資料!$I$2:$I$999)-ROW(員工資料!$I$2)+1
      ),
      COUNTIF($A$2:$A22,$A22)
    )
  ),
"")</f>
        <v/>
      </c>
      <c r="C22" s="48" t="str">
        <f t="array" ref="C22">IFERROR(
  INDEX(員工資料!$D$2:$D$999,
    SMALL(
      IF(員工資料!$I$2:$I$999=$A22,
         ROW(員工資料!$I$2:$I$999)-ROW(員工資料!$I$2)+1
      ),
      COUNTIF($A$2:$A22,$A22)
    )
  ),
"")</f>
        <v/>
      </c>
      <c r="D22" s="48"/>
      <c r="G22" s="57" t="str">
        <f>IFERROR(
  SMALL(員工資料!$L$2:$L$999, ROW(G21)),
"")</f>
        <v/>
      </c>
      <c r="H22" s="58" t="str">
        <f t="array" ref="H22">IFERROR(
  INDEX(員工資料!$C$2:$C$999,
    SMALL(
      IF(員工資料!$L$2:$L$999=$G22,
         ROW(員工資料!$L$2:$L$999)-ROW(員工資料!$L$2)+1
      ),
      COUNTIF($G$2:$G22,$G22)
    )
  ),
"")</f>
        <v/>
      </c>
      <c r="I22" s="57" t="str">
        <f t="array" ref="I22">IFERROR(
  INDEX(員工資料!$D$2:$D$999,
    SMALL(
      IF(員工資料!$L$2:$L$999=$G22,
         ROW(員工資料!$L$2:$L$999)-ROW(員工資料!$L$2)+1
      ),
      COUNTIF($G$2:$G22,$G22)
    )
  ),
"")</f>
        <v/>
      </c>
      <c r="J22" s="57"/>
    </row>
    <row r="23" spans="1:10">
      <c r="A23" s="48" t="str">
        <f t="array" ref="A23">IFERROR(
  SMALL(員工資料!$I$2:$I$999, ROW(A22)),
"")</f>
        <v/>
      </c>
      <c r="B23" s="48" t="str">
        <f t="array" ref="B23">IFERROR(
  INDEX(員工資料!$C$2:$C$999,
    SMALL(
      IF(員工資料!$I$2:$I$999=$A23,
         ROW(員工資料!$I$2:$I$999)-ROW(員工資料!$I$2)+1
      ),
      COUNTIF($A$2:$A23,$A23)
    )
  ),
"")</f>
        <v/>
      </c>
      <c r="C23" s="48" t="str">
        <f t="array" ref="C23">IFERROR(
  INDEX(員工資料!$D$2:$D$999,
    SMALL(
      IF(員工資料!$I$2:$I$999=$A23,
         ROW(員工資料!$I$2:$I$999)-ROW(員工資料!$I$2)+1
      ),
      COUNTIF($A$2:$A23,$A23)
    )
  ),
"")</f>
        <v/>
      </c>
      <c r="D23" s="48"/>
      <c r="G23" s="57" t="str">
        <f>IFERROR(
  SMALL(員工資料!$L$2:$L$999, ROW(G22)),
"")</f>
        <v/>
      </c>
      <c r="H23" s="58" t="str">
        <f t="array" ref="H23">IFERROR(
  INDEX(員工資料!$C$2:$C$999,
    SMALL(
      IF(員工資料!$L$2:$L$999=$G23,
         ROW(員工資料!$L$2:$L$999)-ROW(員工資料!$L$2)+1
      ),
      COUNTIF($G$2:$G23,$G23)
    )
  ),
"")</f>
        <v/>
      </c>
      <c r="I23" s="57" t="str">
        <f t="array" ref="I23">IFERROR(
  INDEX(員工資料!$D$2:$D$999,
    SMALL(
      IF(員工資料!$L$2:$L$999=$G23,
         ROW(員工資料!$L$2:$L$999)-ROW(員工資料!$L$2)+1
      ),
      COUNTIF($G$2:$G23,$G23)
    )
  ),
"")</f>
        <v/>
      </c>
      <c r="J23" s="57"/>
    </row>
    <row r="24" spans="1:10">
      <c r="A24" s="48" t="str">
        <f t="array" ref="A24">IFERROR(
  SMALL(員工資料!$I$2:$I$999, ROW(A23)),
"")</f>
        <v/>
      </c>
      <c r="B24" s="48" t="str">
        <f t="array" ref="B24">IFERROR(
  INDEX(員工資料!$C$2:$C$999,
    SMALL(
      IF(員工資料!$I$2:$I$999=$A24,
         ROW(員工資料!$I$2:$I$999)-ROW(員工資料!$I$2)+1
      ),
      COUNTIF($A$2:$A24,$A24)
    )
  ),
"")</f>
        <v/>
      </c>
      <c r="C24" s="48" t="str">
        <f t="array" ref="C24">IFERROR(
  INDEX(員工資料!$D$2:$D$999,
    SMALL(
      IF(員工資料!$I$2:$I$999=$A24,
         ROW(員工資料!$I$2:$I$999)-ROW(員工資料!$I$2)+1
      ),
      COUNTIF($A$2:$A24,$A24)
    )
  ),
"")</f>
        <v/>
      </c>
      <c r="D24" s="48"/>
      <c r="G24" s="57" t="str">
        <f>IFERROR(
  SMALL(員工資料!$L$2:$L$999, ROW(G23)),
"")</f>
        <v/>
      </c>
      <c r="H24" s="58" t="str">
        <f t="array" ref="H24">IFERROR(
  INDEX(員工資料!$C$2:$C$999,
    SMALL(
      IF(員工資料!$L$2:$L$999=$G24,
         ROW(員工資料!$L$2:$L$999)-ROW(員工資料!$L$2)+1
      ),
      COUNTIF($G$2:$G24,$G24)
    )
  ),
"")</f>
        <v/>
      </c>
      <c r="I24" s="57" t="str">
        <f t="array" ref="I24">IFERROR(
  INDEX(員工資料!$D$2:$D$999,
    SMALL(
      IF(員工資料!$L$2:$L$999=$G24,
         ROW(員工資料!$L$2:$L$999)-ROW(員工資料!$L$2)+1
      ),
      COUNTIF($G$2:$G24,$G24)
    )
  ),
"")</f>
        <v/>
      </c>
      <c r="J24" s="57"/>
    </row>
    <row r="25" spans="1:10">
      <c r="A25" s="48" t="str">
        <f t="array" ref="A25">IFERROR(
  SMALL(員工資料!$I$2:$I$999, ROW(A24)),
"")</f>
        <v/>
      </c>
      <c r="B25" s="48" t="str">
        <f t="array" ref="B25">IFERROR(
  INDEX(員工資料!$C$2:$C$999,
    SMALL(
      IF(員工資料!$I$2:$I$999=$A25,
         ROW(員工資料!$I$2:$I$999)-ROW(員工資料!$I$2)+1
      ),
      COUNTIF($A$2:$A25,$A25)
    )
  ),
"")</f>
        <v/>
      </c>
      <c r="C25" s="48" t="str">
        <f t="array" ref="C25">IFERROR(
  INDEX(員工資料!$D$2:$D$999,
    SMALL(
      IF(員工資料!$I$2:$I$999=$A25,
         ROW(員工資料!$I$2:$I$999)-ROW(員工資料!$I$2)+1
      ),
      COUNTIF($A$2:$A25,$A25)
    )
  ),
"")</f>
        <v/>
      </c>
      <c r="D25" s="48"/>
      <c r="G25" s="57" t="str">
        <f>IFERROR(
  SMALL(員工資料!$L$2:$L$999, ROW(G24)),
"")</f>
        <v/>
      </c>
      <c r="H25" s="58" t="str">
        <f t="array" ref="H25">IFERROR(
  INDEX(員工資料!$C$2:$C$999,
    SMALL(
      IF(員工資料!$L$2:$L$999=$G25,
         ROW(員工資料!$L$2:$L$999)-ROW(員工資料!$L$2)+1
      ),
      COUNTIF($G$2:$G25,$G25)
    )
  ),
"")</f>
        <v/>
      </c>
      <c r="I25" s="57" t="str">
        <f t="array" ref="I25">IFERROR(
  INDEX(員工資料!$D$2:$D$999,
    SMALL(
      IF(員工資料!$L$2:$L$999=$G25,
         ROW(員工資料!$L$2:$L$999)-ROW(員工資料!$L$2)+1
      ),
      COUNTIF($G$2:$G25,$G25)
    )
  ),
"")</f>
        <v/>
      </c>
      <c r="J25" s="57"/>
    </row>
    <row r="26" spans="1:10">
      <c r="A26" s="48" t="str">
        <f t="array" ref="A26">IFERROR(
  SMALL(員工資料!$I$2:$I$999, ROW(A25)),
"")</f>
        <v/>
      </c>
      <c r="B26" s="48" t="str">
        <f t="array" ref="B26">IFERROR(
  INDEX(員工資料!$C$2:$C$999,
    SMALL(
      IF(員工資料!$I$2:$I$999=$A26,
         ROW(員工資料!$I$2:$I$999)-ROW(員工資料!$I$2)+1
      ),
      COUNTIF($A$2:$A26,$A26)
    )
  ),
"")</f>
        <v/>
      </c>
      <c r="C26" s="48" t="str">
        <f t="array" ref="C26">IFERROR(
  INDEX(員工資料!$D$2:$D$999,
    SMALL(
      IF(員工資料!$I$2:$I$999=$A26,
         ROW(員工資料!$I$2:$I$999)-ROW(員工資料!$I$2)+1
      ),
      COUNTIF($A$2:$A26,$A26)
    )
  ),
"")</f>
        <v/>
      </c>
      <c r="D26" s="48"/>
      <c r="G26" s="57" t="str">
        <f>IFERROR(
  SMALL(員工資料!$L$2:$L$999, ROW(G25)),
"")</f>
        <v/>
      </c>
      <c r="H26" s="58" t="str">
        <f t="array" ref="H26">IFERROR(
  INDEX(員工資料!$C$2:$C$999,
    SMALL(
      IF(員工資料!$L$2:$L$999=$G26,
         ROW(員工資料!$L$2:$L$999)-ROW(員工資料!$L$2)+1
      ),
      COUNTIF($G$2:$G26,$G26)
    )
  ),
"")</f>
        <v/>
      </c>
      <c r="I26" s="57" t="str">
        <f t="array" ref="I26">IFERROR(
  INDEX(員工資料!$D$2:$D$999,
    SMALL(
      IF(員工資料!$L$2:$L$999=$G26,
         ROW(員工資料!$L$2:$L$999)-ROW(員工資料!$L$2)+1
      ),
      COUNTIF($G$2:$G26,$G26)
    )
  ),
"")</f>
        <v/>
      </c>
      <c r="J26" s="57"/>
    </row>
    <row r="27" spans="1:10">
      <c r="A27" s="48" t="str">
        <f t="array" ref="A27">IFERROR(
  SMALL(員工資料!$I$2:$I$999, ROW(A26)),
"")</f>
        <v/>
      </c>
      <c r="B27" s="48" t="str">
        <f t="array" ref="B27">IFERROR(
  INDEX(員工資料!$C$2:$C$999,
    SMALL(
      IF(員工資料!$I$2:$I$999=$A27,
         ROW(員工資料!$I$2:$I$999)-ROW(員工資料!$I$2)+1
      ),
      COUNTIF($A$2:$A27,$A27)
    )
  ),
"")</f>
        <v/>
      </c>
      <c r="C27" s="48" t="str">
        <f t="array" ref="C27">IFERROR(
  INDEX(員工資料!$D$2:$D$999,
    SMALL(
      IF(員工資料!$I$2:$I$999=$A27,
         ROW(員工資料!$I$2:$I$999)-ROW(員工資料!$I$2)+1
      ),
      COUNTIF($A$2:$A27,$A27)
    )
  ),
"")</f>
        <v/>
      </c>
      <c r="D27" s="48"/>
      <c r="G27" s="57" t="str">
        <f>IFERROR(
  SMALL(員工資料!$L$2:$L$999, ROW(G26)),
"")</f>
        <v/>
      </c>
      <c r="H27" s="58" t="str">
        <f t="array" ref="H27">IFERROR(
  INDEX(員工資料!$C$2:$C$999,
    SMALL(
      IF(員工資料!$L$2:$L$999=$G27,
         ROW(員工資料!$L$2:$L$999)-ROW(員工資料!$L$2)+1
      ),
      COUNTIF($G$2:$G27,$G27)
    )
  ),
"")</f>
        <v/>
      </c>
      <c r="I27" s="57" t="str">
        <f t="array" ref="I27">IFERROR(
  INDEX(員工資料!$D$2:$D$999,
    SMALL(
      IF(員工資料!$L$2:$L$999=$G27,
         ROW(員工資料!$L$2:$L$999)-ROW(員工資料!$L$2)+1
      ),
      COUNTIF($G$2:$G27,$G27)
    )
  ),
"")</f>
        <v/>
      </c>
      <c r="J27" s="57"/>
    </row>
    <row r="28" spans="1:10">
      <c r="A28" s="48" t="str">
        <f t="array" ref="A28">IFERROR(
  SMALL(員工資料!$I$2:$I$999, ROW(A27)),
"")</f>
        <v/>
      </c>
      <c r="B28" s="48" t="str">
        <f t="array" ref="B28">IFERROR(
  INDEX(員工資料!$C$2:$C$999,
    SMALL(
      IF(員工資料!$I$2:$I$999=$A28,
         ROW(員工資料!$I$2:$I$999)-ROW(員工資料!$I$2)+1
      ),
      COUNTIF($A$2:$A28,$A28)
    )
  ),
"")</f>
        <v/>
      </c>
      <c r="C28" s="48" t="str">
        <f t="array" ref="C28">IFERROR(
  INDEX(員工資料!$D$2:$D$999,
    SMALL(
      IF(員工資料!$I$2:$I$999=$A28,
         ROW(員工資料!$I$2:$I$999)-ROW(員工資料!$I$2)+1
      ),
      COUNTIF($A$2:$A28,$A28)
    )
  ),
"")</f>
        <v/>
      </c>
      <c r="D28" s="48"/>
      <c r="G28" s="57" t="str">
        <f>IFERROR(
  SMALL(員工資料!$L$2:$L$999, ROW(G27)),
"")</f>
        <v/>
      </c>
      <c r="H28" s="58" t="str">
        <f t="array" ref="H28">IFERROR(
  INDEX(員工資料!$C$2:$C$999,
    SMALL(
      IF(員工資料!$L$2:$L$999=$G28,
         ROW(員工資料!$L$2:$L$999)-ROW(員工資料!$L$2)+1
      ),
      COUNTIF($G$2:$G28,$G28)
    )
  ),
"")</f>
        <v/>
      </c>
      <c r="I28" s="57" t="str">
        <f t="array" ref="I28">IFERROR(
  INDEX(員工資料!$D$2:$D$999,
    SMALL(
      IF(員工資料!$L$2:$L$999=$G28,
         ROW(員工資料!$L$2:$L$999)-ROW(員工資料!$L$2)+1
      ),
      COUNTIF($G$2:$G28,$G28)
    )
  ),
"")</f>
        <v/>
      </c>
      <c r="J28" s="57"/>
    </row>
    <row r="29" spans="1:10">
      <c r="A29" s="48" t="str">
        <f t="array" ref="A29">IFERROR(
  SMALL(員工資料!$I$2:$I$999, ROW(A28)),
"")</f>
        <v/>
      </c>
      <c r="B29" s="48" t="str">
        <f t="array" ref="B29">IFERROR(
  INDEX(員工資料!$C$2:$C$999,
    SMALL(
      IF(員工資料!$I$2:$I$999=$A29,
         ROW(員工資料!$I$2:$I$999)-ROW(員工資料!$I$2)+1
      ),
      COUNTIF($A$2:$A29,$A29)
    )
  ),
"")</f>
        <v/>
      </c>
      <c r="C29" s="48" t="str">
        <f t="array" ref="C29">IFERROR(
  INDEX(員工資料!$D$2:$D$999,
    SMALL(
      IF(員工資料!$I$2:$I$999=$A29,
         ROW(員工資料!$I$2:$I$999)-ROW(員工資料!$I$2)+1
      ),
      COUNTIF($A$2:$A29,$A29)
    )
  ),
"")</f>
        <v/>
      </c>
      <c r="D29" s="48"/>
      <c r="G29" s="57" t="str">
        <f>IFERROR(
  SMALL(員工資料!$L$2:$L$999, ROW(G28)),
"")</f>
        <v/>
      </c>
      <c r="H29" s="58" t="str">
        <f t="array" ref="H29">IFERROR(
  INDEX(員工資料!$C$2:$C$999,
    SMALL(
      IF(員工資料!$L$2:$L$999=$G29,
         ROW(員工資料!$L$2:$L$999)-ROW(員工資料!$L$2)+1
      ),
      COUNTIF($G$2:$G29,$G29)
    )
  ),
"")</f>
        <v/>
      </c>
      <c r="I29" s="57" t="str">
        <f t="array" ref="I29">IFERROR(
  INDEX(員工資料!$D$2:$D$999,
    SMALL(
      IF(員工資料!$L$2:$L$999=$G29,
         ROW(員工資料!$L$2:$L$999)-ROW(員工資料!$L$2)+1
      ),
      COUNTIF($G$2:$G29,$G29)
    )
  ),
"")</f>
        <v/>
      </c>
      <c r="J29" s="57"/>
    </row>
    <row r="30" spans="1:10">
      <c r="A30" s="48" t="str">
        <f t="array" ref="A30">IFERROR(
  SMALL(員工資料!$I$2:$I$999, ROW(A29)),
"")</f>
        <v/>
      </c>
      <c r="B30" s="48" t="str">
        <f t="array" ref="B30">IFERROR(
  INDEX(員工資料!$C$2:$C$999,
    SMALL(
      IF(員工資料!$I$2:$I$999=$A30,
         ROW(員工資料!$I$2:$I$999)-ROW(員工資料!$I$2)+1
      ),
      COUNTIF($A$2:$A30,$A30)
    )
  ),
"")</f>
        <v/>
      </c>
      <c r="C30" s="48" t="str">
        <f t="array" ref="C30">IFERROR(
  INDEX(員工資料!$D$2:$D$999,
    SMALL(
      IF(員工資料!$I$2:$I$999=$A30,
         ROW(員工資料!$I$2:$I$999)-ROW(員工資料!$I$2)+1
      ),
      COUNTIF($A$2:$A30,$A30)
    )
  ),
"")</f>
        <v/>
      </c>
      <c r="D30" s="48"/>
      <c r="G30" s="57" t="str">
        <f>IFERROR(
  SMALL(員工資料!$L$2:$L$999, ROW(G29)),
"")</f>
        <v/>
      </c>
      <c r="H30" s="58" t="str">
        <f t="array" ref="H30">IFERROR(
  INDEX(員工資料!$C$2:$C$999,
    SMALL(
      IF(員工資料!$L$2:$L$999=$G30,
         ROW(員工資料!$L$2:$L$999)-ROW(員工資料!$L$2)+1
      ),
      COUNTIF($G$2:$G30,$G30)
    )
  ),
"")</f>
        <v/>
      </c>
      <c r="I30" s="57" t="str">
        <f t="array" ref="I30">IFERROR(
  INDEX(員工資料!$D$2:$D$999,
    SMALL(
      IF(員工資料!$L$2:$L$999=$G30,
         ROW(員工資料!$L$2:$L$999)-ROW(員工資料!$L$2)+1
      ),
      COUNTIF($G$2:$G30,$G30)
    )
  ),
"")</f>
        <v/>
      </c>
      <c r="J30" s="57"/>
    </row>
    <row r="31" spans="1:10">
      <c r="A31" s="48" t="str">
        <f t="array" ref="A31">IFERROR(
  SMALL(員工資料!$I$2:$I$999, ROW(A30)),
"")</f>
        <v/>
      </c>
      <c r="B31" s="48" t="str">
        <f t="array" ref="B31">IFERROR(
  INDEX(員工資料!$C$2:$C$999,
    SMALL(
      IF(員工資料!$I$2:$I$999=$A31,
         ROW(員工資料!$I$2:$I$999)-ROW(員工資料!$I$2)+1
      ),
      COUNTIF($A$2:$A31,$A31)
    )
  ),
"")</f>
        <v/>
      </c>
      <c r="C31" s="48" t="str">
        <f t="array" ref="C31">IFERROR(
  INDEX(員工資料!$D$2:$D$999,
    SMALL(
      IF(員工資料!$I$2:$I$999=$A31,
         ROW(員工資料!$I$2:$I$999)-ROW(員工資料!$I$2)+1
      ),
      COUNTIF($A$2:$A31,$A31)
    )
  ),
"")</f>
        <v/>
      </c>
      <c r="D31" s="48"/>
      <c r="G31" s="57" t="str">
        <f>IFERROR(
  SMALL(員工資料!$L$2:$L$999, ROW(G30)),
"")</f>
        <v/>
      </c>
      <c r="H31" s="58" t="str">
        <f t="array" ref="H31">IFERROR(
  INDEX(員工資料!$C$2:$C$999,
    SMALL(
      IF(員工資料!$L$2:$L$999=$G31,
         ROW(員工資料!$L$2:$L$999)-ROW(員工資料!$L$2)+1
      ),
      COUNTIF($G$2:$G31,$G31)
    )
  ),
"")</f>
        <v/>
      </c>
      <c r="I31" s="57" t="str">
        <f t="array" ref="I31">IFERROR(
  INDEX(員工資料!$D$2:$D$999,
    SMALL(
      IF(員工資料!$L$2:$L$999=$G31,
         ROW(員工資料!$L$2:$L$999)-ROW(員工資料!$L$2)+1
      ),
      COUNTIF($G$2:$G31,$G31)
    )
  ),
"")</f>
        <v/>
      </c>
      <c r="J31" s="57"/>
    </row>
    <row r="32" spans="1:10">
      <c r="A32" s="45" t="str">
        <f t="array" ref="A32">IFERROR(
  SMALL(員工資料!$I$2:$I$999, ROW(A31)),
"")</f>
        <v/>
      </c>
      <c r="B32" s="45" t="str">
        <f t="array" ref="B32">IFERROR(
  INDEX(員工資料!$C$2:$C$999,
    SMALL(
      IF(員工資料!$I$2:$I$999=$A32,
         ROW(員工資料!$I$2:$I$999)-ROW(員工資料!$I$2)+1
      ),
      COUNTIF($A$2:$A32,$A32)
    )
  ),
"")</f>
        <v/>
      </c>
      <c r="C32" s="45" t="str">
        <f t="array" ref="C32">IFERROR(
  INDEX(員工資料!$D$2:$D$999,
    SMALL(
      IF(員工資料!$I$2:$I$999=$A32,
         ROW(員工資料!$I$2:$I$999)-ROW(員工資料!$I$2)+1
      ),
      COUNTIF($A$2:$A32,$A32)
    )
  ),
"")</f>
        <v/>
      </c>
      <c r="G32" s="59" t="str">
        <f>IFERROR(
  SMALL(員工資料!$L$2:$L$999, ROW(G31)),
"")</f>
        <v/>
      </c>
      <c r="H32" s="60" t="str">
        <f t="array" ref="H32">IFERROR(
  INDEX(員工資料!$C$2:$C$999,
    SMALL(
      IF(員工資料!$L$2:$L$999=$G32,
         ROW(員工資料!$L$2:$L$999)-ROW(員工資料!$L$2)+1
      ),
      COUNTIF($G$2:$G32,$G32)
    )
  ),
"")</f>
        <v/>
      </c>
      <c r="I32" s="59" t="str">
        <f t="array" ref="I32">IFERROR(
  INDEX(員工資料!$D$2:$D$999,
    SMALL(
      IF(員工資料!$L$2:$L$999=$G32,
         ROW(員工資料!$L$2:$L$999)-ROW(員工資料!$L$2)+1
      ),
      COUNTIF($G$2:$G32,$G32)
    )
  ),
"")</f>
        <v/>
      </c>
    </row>
    <row r="33" spans="1:9">
      <c r="A33" s="45" t="str">
        <f t="array" ref="A33">IFERROR(
  SMALL(員工資料!$I$2:$I$999, ROW(A32)),
"")</f>
        <v/>
      </c>
      <c r="B33" s="45" t="str">
        <f t="array" ref="B33">IFERROR(
  INDEX(員工資料!$C$2:$C$999,
    SMALL(
      IF(員工資料!$I$2:$I$999=$A33,
         ROW(員工資料!$I$2:$I$999)-ROW(員工資料!$I$2)+1
      ),
      COUNTIF($A$2:$A33,$A33)
    )
  ),
"")</f>
        <v/>
      </c>
      <c r="C33" s="45" t="str">
        <f t="array" ref="C33">IFERROR(
  INDEX(員工資料!$D$2:$D$999,
    SMALL(
      IF(員工資料!$I$2:$I$999=$A33,
         ROW(員工資料!$I$2:$I$999)-ROW(員工資料!$I$2)+1
      ),
      COUNTIF($A$2:$A33,$A33)
    )
  ),
"")</f>
        <v/>
      </c>
      <c r="G33" s="59" t="str">
        <f>IFERROR(
  SMALL(員工資料!$L$2:$L$999, ROW(G32)),
"")</f>
        <v/>
      </c>
      <c r="H33" s="60" t="str">
        <f t="array" ref="H33">IFERROR(
  INDEX(員工資料!$C$2:$C$999,
    SMALL(
      IF(員工資料!$L$2:$L$999=$G33,
         ROW(員工資料!$L$2:$L$999)-ROW(員工資料!$L$2)+1
      ),
      COUNTIF($G$2:$G33,$G33)
    )
  ),
"")</f>
        <v/>
      </c>
      <c r="I33" s="59" t="str">
        <f t="array" ref="I33">IFERROR(
  INDEX(員工資料!$D$2:$D$999,
    SMALL(
      IF(員工資料!$L$2:$L$999=$G33,
         ROW(員工資料!$L$2:$L$999)-ROW(員工資料!$L$2)+1
      ),
      COUNTIF($G$2:$G33,$G33)
    )
  ),
"")</f>
        <v/>
      </c>
    </row>
    <row r="34" spans="1:9">
      <c r="A34" s="45" t="str">
        <f t="array" ref="A34">IFERROR(
  SMALL(員工資料!$I$2:$I$999, ROW(A33)),
"")</f>
        <v/>
      </c>
      <c r="B34" s="45" t="str">
        <f t="array" ref="B34">IFERROR(
  INDEX(員工資料!$C$2:$C$999,
    SMALL(
      IF(員工資料!$I$2:$I$999=$A34,
         ROW(員工資料!$I$2:$I$999)-ROW(員工資料!$I$2)+1
      ),
      COUNTIF($A$2:$A34,$A34)
    )
  ),
"")</f>
        <v/>
      </c>
      <c r="C34" s="45" t="str">
        <f t="array" ref="C34">IFERROR(
  INDEX(員工資料!$D$2:$D$999,
    SMALL(
      IF(員工資料!$I$2:$I$999=$A34,
         ROW(員工資料!$I$2:$I$999)-ROW(員工資料!$I$2)+1
      ),
      COUNTIF($A$2:$A34,$A34)
    )
  ),
"")</f>
        <v/>
      </c>
      <c r="G34" s="59" t="str">
        <f>IFERROR(
  SMALL(員工資料!$L$2:$L$999, ROW(G33)),
"")</f>
        <v/>
      </c>
      <c r="H34" s="60" t="str">
        <f t="array" ref="H34">IFERROR(
  INDEX(員工資料!$C$2:$C$999,
    SMALL(
      IF(員工資料!$L$2:$L$999=$G34,
         ROW(員工資料!$L$2:$L$999)-ROW(員工資料!$L$2)+1
      ),
      COUNTIF($G$2:$G34,$G34)
    )
  ),
"")</f>
        <v/>
      </c>
      <c r="I34" s="59" t="str">
        <f t="array" ref="I34">IFERROR(
  INDEX(員工資料!$D$2:$D$999,
    SMALL(
      IF(員工資料!$L$2:$L$999=$G34,
         ROW(員工資料!$L$2:$L$999)-ROW(員工資料!$L$2)+1
      ),
      COUNTIF($G$2:$G34,$G34)
    )
  ),
"")</f>
        <v/>
      </c>
    </row>
    <row r="35" spans="1:9">
      <c r="A35" s="45" t="str">
        <f t="array" ref="A35">IFERROR(
  SMALL(員工資料!$I$2:$I$999, ROW(A34)),
"")</f>
        <v/>
      </c>
      <c r="B35" s="45" t="str">
        <f t="array" ref="B35">IFERROR(
  INDEX(員工資料!$C$2:$C$999,
    SMALL(
      IF(員工資料!$I$2:$I$999=$A35,
         ROW(員工資料!$I$2:$I$999)-ROW(員工資料!$I$2)+1
      ),
      COUNTIF($A$2:$A35,$A35)
    )
  ),
"")</f>
        <v/>
      </c>
      <c r="C35" s="45" t="str">
        <f t="array" ref="C35">IFERROR(
  INDEX(員工資料!$D$2:$D$999,
    SMALL(
      IF(員工資料!$I$2:$I$999=$A35,
         ROW(員工資料!$I$2:$I$999)-ROW(員工資料!$I$2)+1
      ),
      COUNTIF($A$2:$A35,$A35)
    )
  ),
"")</f>
        <v/>
      </c>
      <c r="G35" s="59" t="str">
        <f>IFERROR(
  SMALL(員工資料!$L$2:$L$999, ROW(G34)),
"")</f>
        <v/>
      </c>
      <c r="H35" s="60" t="str">
        <f t="array" ref="H35">IFERROR(
  INDEX(員工資料!$C$2:$C$999,
    SMALL(
      IF(員工資料!$L$2:$L$999=$G35,
         ROW(員工資料!$L$2:$L$999)-ROW(員工資料!$L$2)+1
      ),
      COUNTIF($G$2:$G35,$G35)
    )
  ),
"")</f>
        <v/>
      </c>
      <c r="I35" s="59" t="str">
        <f t="array" ref="I35">IFERROR(
  INDEX(員工資料!$D$2:$D$999,
    SMALL(
      IF(員工資料!$L$2:$L$999=$G35,
         ROW(員工資料!$L$2:$L$999)-ROW(員工資料!$L$2)+1
      ),
      COUNTIF($G$2:$G35,$G35)
    )
  ),
"")</f>
        <v/>
      </c>
    </row>
    <row r="36" spans="1:9">
      <c r="A36" s="45" t="str">
        <f t="array" ref="A36">IFERROR(
  SMALL(員工資料!$I$2:$I$999, ROW(A35)),
"")</f>
        <v/>
      </c>
      <c r="B36" s="45" t="str">
        <f t="array" ref="B36">IFERROR(
  INDEX(員工資料!$C$2:$C$999,
    SMALL(
      IF(員工資料!$I$2:$I$999=$A36,
         ROW(員工資料!$I$2:$I$999)-ROW(員工資料!$I$2)+1
      ),
      COUNTIF($A$2:$A36,$A36)
    )
  ),
"")</f>
        <v/>
      </c>
      <c r="C36" s="45" t="str">
        <f t="array" ref="C36">IFERROR(
  INDEX(員工資料!$D$2:$D$999,
    SMALL(
      IF(員工資料!$I$2:$I$999=$A36,
         ROW(員工資料!$I$2:$I$999)-ROW(員工資料!$I$2)+1
      ),
      COUNTIF($A$2:$A36,$A36)
    )
  ),
"")</f>
        <v/>
      </c>
      <c r="G36" s="59" t="str">
        <f>IFERROR(
  SMALL(員工資料!$L$2:$L$999, ROW(G35)),
"")</f>
        <v/>
      </c>
      <c r="H36" s="60" t="str">
        <f t="array" ref="H36">IFERROR(
  INDEX(員工資料!$C$2:$C$999,
    SMALL(
      IF(員工資料!$L$2:$L$999=$G36,
         ROW(員工資料!$L$2:$L$999)-ROW(員工資料!$L$2)+1
      ),
      COUNTIF($G$2:$G36,$G36)
    )
  ),
"")</f>
        <v/>
      </c>
      <c r="I36" s="59" t="str">
        <f t="array" ref="I36">IFERROR(
  INDEX(員工資料!$D$2:$D$999,
    SMALL(
      IF(員工資料!$L$2:$L$999=$G36,
         ROW(員工資料!$L$2:$L$999)-ROW(員工資料!$L$2)+1
      ),
      COUNTIF($G$2:$G36,$G36)
    )
  ),
"")</f>
        <v/>
      </c>
    </row>
    <row r="37" spans="1:9">
      <c r="A37" s="45" t="str">
        <f t="array" ref="A37">IFERROR(
  SMALL(員工資料!$I$2:$I$999, ROW(A36)),
"")</f>
        <v/>
      </c>
      <c r="B37" s="45" t="str">
        <f t="array" ref="B37">IFERROR(
  INDEX(員工資料!$C$2:$C$999,
    SMALL(
      IF(員工資料!$I$2:$I$999=$A37,
         ROW(員工資料!$I$2:$I$999)-ROW(員工資料!$I$2)+1
      ),
      COUNTIF($A$2:$A37,$A37)
    )
  ),
"")</f>
        <v/>
      </c>
      <c r="C37" s="45" t="str">
        <f t="array" ref="C37">IFERROR(
  INDEX(員工資料!$D$2:$D$999,
    SMALL(
      IF(員工資料!$I$2:$I$999=$A37,
         ROW(員工資料!$I$2:$I$999)-ROW(員工資料!$I$2)+1
      ),
      COUNTIF($A$2:$A37,$A37)
    )
  ),
"")</f>
        <v/>
      </c>
      <c r="G37" s="59" t="str">
        <f>IFERROR(
  SMALL(員工資料!$L$2:$L$999, ROW(G36)),
"")</f>
        <v/>
      </c>
      <c r="H37" s="60" t="str">
        <f t="array" ref="H37">IFERROR(
  INDEX(員工資料!$C$2:$C$999,
    SMALL(
      IF(員工資料!$L$2:$L$999=$G37,
         ROW(員工資料!$L$2:$L$999)-ROW(員工資料!$L$2)+1
      ),
      COUNTIF($G$2:$G37,$G37)
    )
  ),
"")</f>
        <v/>
      </c>
      <c r="I37" s="59" t="str">
        <f t="array" ref="I37">IFERROR(
  INDEX(員工資料!$D$2:$D$999,
    SMALL(
      IF(員工資料!$L$2:$L$999=$G37,
         ROW(員工資料!$L$2:$L$999)-ROW(員工資料!$L$2)+1
      ),
      COUNTIF($G$2:$G37,$G37)
    )
  ),
"")</f>
        <v/>
      </c>
    </row>
    <row r="38" spans="1:9">
      <c r="A38" s="45" t="str">
        <f t="array" ref="A38">IFERROR(
  SMALL(員工資料!$I$2:$I$999, ROW(A37)),
"")</f>
        <v/>
      </c>
      <c r="B38" s="45" t="str">
        <f t="array" ref="B38">IFERROR(
  INDEX(員工資料!$C$2:$C$999,
    SMALL(
      IF(員工資料!$I$2:$I$999=$A38,
         ROW(員工資料!$I$2:$I$999)-ROW(員工資料!$I$2)+1
      ),
      COUNTIF($A$2:$A38,$A38)
    )
  ),
"")</f>
        <v/>
      </c>
      <c r="C38" s="45" t="str">
        <f t="array" ref="C38">IFERROR(
  INDEX(員工資料!$D$2:$D$999,
    SMALL(
      IF(員工資料!$I$2:$I$999=$A38,
         ROW(員工資料!$I$2:$I$999)-ROW(員工資料!$I$2)+1
      ),
      COUNTIF($A$2:$A38,$A38)
    )
  ),
"")</f>
        <v/>
      </c>
      <c r="G38" s="59" t="str">
        <f>IFERROR(
  SMALL(員工資料!$L$2:$L$999, ROW(G37)),
"")</f>
        <v/>
      </c>
      <c r="H38" s="60" t="str">
        <f t="array" ref="H38">IFERROR(
  INDEX(員工資料!$C$2:$C$999,
    SMALL(
      IF(員工資料!$L$2:$L$999=$G38,
         ROW(員工資料!$L$2:$L$999)-ROW(員工資料!$L$2)+1
      ),
      COUNTIF($G$2:$G38,$G38)
    )
  ),
"")</f>
        <v/>
      </c>
      <c r="I38" s="59" t="str">
        <f t="array" ref="I38">IFERROR(
  INDEX(員工資料!$D$2:$D$999,
    SMALL(
      IF(員工資料!$L$2:$L$999=$G38,
         ROW(員工資料!$L$2:$L$999)-ROW(員工資料!$L$2)+1
      ),
      COUNTIF($G$2:$G38,$G38)
    )
  ),
"")</f>
        <v/>
      </c>
    </row>
    <row r="39" spans="1:9">
      <c r="A39" s="45" t="str">
        <f t="array" ref="A39">IFERROR(
  SMALL(員工資料!$I$2:$I$999, ROW(A38)),
"")</f>
        <v/>
      </c>
      <c r="B39" s="45" t="str">
        <f t="array" ref="B39">IFERROR(
  INDEX(員工資料!$C$2:$C$999,
    SMALL(
      IF(員工資料!$I$2:$I$999=$A39,
         ROW(員工資料!$I$2:$I$999)-ROW(員工資料!$I$2)+1
      ),
      COUNTIF($A$2:$A39,$A39)
    )
  ),
"")</f>
        <v/>
      </c>
      <c r="C39" s="45" t="str">
        <f t="array" ref="C39">IFERROR(
  INDEX(員工資料!$D$2:$D$999,
    SMALL(
      IF(員工資料!$I$2:$I$999=$A39,
         ROW(員工資料!$I$2:$I$999)-ROW(員工資料!$I$2)+1
      ),
      COUNTIF($A$2:$A39,$A39)
    )
  ),
"")</f>
        <v/>
      </c>
      <c r="G39" s="59" t="str">
        <f>IFERROR(
  SMALL(員工資料!$L$2:$L$999, ROW(G38)),
"")</f>
        <v/>
      </c>
      <c r="H39" s="60" t="str">
        <f t="array" ref="H39">IFERROR(
  INDEX(員工資料!$C$2:$C$999,
    SMALL(
      IF(員工資料!$L$2:$L$999=$G39,
         ROW(員工資料!$L$2:$L$999)-ROW(員工資料!$L$2)+1
      ),
      COUNTIF($G$2:$G39,$G39)
    )
  ),
"")</f>
        <v/>
      </c>
      <c r="I39" s="59" t="str">
        <f t="array" ref="I39">IFERROR(
  INDEX(員工資料!$D$2:$D$999,
    SMALL(
      IF(員工資料!$L$2:$L$999=$G39,
         ROW(員工資料!$L$2:$L$999)-ROW(員工資料!$L$2)+1
      ),
      COUNTIF($G$2:$G39,$G39)
    )
  ),
"")</f>
        <v/>
      </c>
    </row>
    <row r="40" spans="1:9">
      <c r="A40" s="45" t="str">
        <f t="array" ref="A40">IFERROR(
  SMALL(員工資料!$I$2:$I$999, ROW(A39)),
"")</f>
        <v/>
      </c>
      <c r="B40" s="45" t="str">
        <f t="array" ref="B40">IFERROR(
  INDEX(員工資料!$C$2:$C$999,
    SMALL(
      IF(員工資料!$I$2:$I$999=$A40,
         ROW(員工資料!$I$2:$I$999)-ROW(員工資料!$I$2)+1
      ),
      COUNTIF($A$2:$A40,$A40)
    )
  ),
"")</f>
        <v/>
      </c>
      <c r="C40" s="45" t="str">
        <f t="array" ref="C40">IFERROR(
  INDEX(員工資料!$D$2:$D$999,
    SMALL(
      IF(員工資料!$I$2:$I$999=$A40,
         ROW(員工資料!$I$2:$I$999)-ROW(員工資料!$I$2)+1
      ),
      COUNTIF($A$2:$A40,$A40)
    )
  ),
"")</f>
        <v/>
      </c>
      <c r="G40" s="59" t="str">
        <f>IFERROR(
  SMALL(員工資料!$L$2:$L$999, ROW(G39)),
"")</f>
        <v/>
      </c>
      <c r="H40" s="60" t="str">
        <f t="array" ref="H40">IFERROR(
  INDEX(員工資料!$C$2:$C$999,
    SMALL(
      IF(員工資料!$L$2:$L$999=$G40,
         ROW(員工資料!$L$2:$L$999)-ROW(員工資料!$L$2)+1
      ),
      COUNTIF($G$2:$G40,$G40)
    )
  ),
"")</f>
        <v/>
      </c>
      <c r="I40" s="59" t="str">
        <f t="array" ref="I40">IFERROR(
  INDEX(員工資料!$D$2:$D$999,
    SMALL(
      IF(員工資料!$L$2:$L$999=$G40,
         ROW(員工資料!$L$2:$L$999)-ROW(員工資料!$L$2)+1
      ),
      COUNTIF($G$2:$G40,$G40)
    )
  ),
"")</f>
        <v/>
      </c>
    </row>
    <row r="41" spans="1:9">
      <c r="A41" s="45" t="str">
        <f t="array" ref="A41">IFERROR(
  SMALL(員工資料!$I$2:$I$999, ROW(A40)),
"")</f>
        <v/>
      </c>
      <c r="B41" s="45" t="str">
        <f t="array" ref="B41">IFERROR(
  INDEX(員工資料!$C$2:$C$999,
    SMALL(
      IF(員工資料!$I$2:$I$999=$A41,
         ROW(員工資料!$I$2:$I$999)-ROW(員工資料!$I$2)+1
      ),
      COUNTIF($A$2:$A41,$A41)
    )
  ),
"")</f>
        <v/>
      </c>
      <c r="C41" s="45" t="str">
        <f t="array" ref="C41">IFERROR(
  INDEX(員工資料!$D$2:$D$999,
    SMALL(
      IF(員工資料!$I$2:$I$999=$A41,
         ROW(員工資料!$I$2:$I$999)-ROW(員工資料!$I$2)+1
      ),
      COUNTIF($A$2:$A41,$A41)
    )
  ),
"")</f>
        <v/>
      </c>
      <c r="G41" s="59" t="str">
        <f>IFERROR(
  SMALL(員工資料!$L$2:$L$999, ROW(G40)),
"")</f>
        <v/>
      </c>
      <c r="H41" s="60" t="str">
        <f t="array" ref="H41">IFERROR(
  INDEX(員工資料!$C$2:$C$999,
    SMALL(
      IF(員工資料!$L$2:$L$999=$G41,
         ROW(員工資料!$L$2:$L$999)-ROW(員工資料!$L$2)+1
      ),
      COUNTIF($G$2:$G41,$G41)
    )
  ),
"")</f>
        <v/>
      </c>
      <c r="I41" s="59" t="str">
        <f t="array" ref="I41">IFERROR(
  INDEX(員工資料!$D$2:$D$999,
    SMALL(
      IF(員工資料!$L$2:$L$999=$G41,
         ROW(員工資料!$L$2:$L$999)-ROW(員工資料!$L$2)+1
      ),
      COUNTIF($G$2:$G41,$G41)
    )
  ),
"")</f>
        <v/>
      </c>
    </row>
    <row r="42" spans="1:9">
      <c r="A42" s="45" t="str">
        <f t="array" ref="A42">IFERROR(
  SMALL(員工資料!$I$2:$I$999, ROW(A41)),
"")</f>
        <v/>
      </c>
      <c r="B42" s="45" t="str">
        <f t="array" ref="B42">IFERROR(
  INDEX(員工資料!$C$2:$C$999,
    SMALL(
      IF(員工資料!$I$2:$I$999=$A42,
         ROW(員工資料!$I$2:$I$999)-ROW(員工資料!$I$2)+1
      ),
      COUNTIF($A$2:$A42,$A42)
    )
  ),
"")</f>
        <v/>
      </c>
      <c r="C42" s="45" t="str">
        <f t="array" ref="C42">IFERROR(
  INDEX(員工資料!$D$2:$D$999,
    SMALL(
      IF(員工資料!$I$2:$I$999=$A42,
         ROW(員工資料!$I$2:$I$999)-ROW(員工資料!$I$2)+1
      ),
      COUNTIF($A$2:$A42,$A42)
    )
  ),
"")</f>
        <v/>
      </c>
      <c r="G42" s="59" t="str">
        <f>IFERROR(
  SMALL(員工資料!$L$2:$L$999, ROW(G41)),
"")</f>
        <v/>
      </c>
      <c r="H42" s="60" t="str">
        <f t="array" ref="H42">IFERROR(
  INDEX(員工資料!$C$2:$C$999,
    SMALL(
      IF(員工資料!$L$2:$L$999=$G42,
         ROW(員工資料!$L$2:$L$999)-ROW(員工資料!$L$2)+1
      ),
      COUNTIF($G$2:$G42,$G42)
    )
  ),
"")</f>
        <v/>
      </c>
      <c r="I42" s="59" t="str">
        <f t="array" ref="I42">IFERROR(
  INDEX(員工資料!$D$2:$D$999,
    SMALL(
      IF(員工資料!$L$2:$L$999=$G42,
         ROW(員工資料!$L$2:$L$999)-ROW(員工資料!$L$2)+1
      ),
      COUNTIF($G$2:$G42,$G42)
    )
  ),
"")</f>
        <v/>
      </c>
    </row>
    <row r="43" spans="1:9">
      <c r="A43" s="45" t="str">
        <f t="array" ref="A43">IFERROR(
  SMALL(員工資料!$I$2:$I$999, ROW(A42)),
"")</f>
        <v/>
      </c>
      <c r="B43" s="45" t="str">
        <f t="array" ref="B43">IFERROR(
  INDEX(員工資料!$C$2:$C$999,
    SMALL(
      IF(員工資料!$I$2:$I$999=$A43,
         ROW(員工資料!$I$2:$I$999)-ROW(員工資料!$I$2)+1
      ),
      COUNTIF($A$2:$A43,$A43)
    )
  ),
"")</f>
        <v/>
      </c>
      <c r="C43" s="45" t="str">
        <f t="array" ref="C43">IFERROR(
  INDEX(員工資料!$D$2:$D$999,
    SMALL(
      IF(員工資料!$I$2:$I$999=$A43,
         ROW(員工資料!$I$2:$I$999)-ROW(員工資料!$I$2)+1
      ),
      COUNTIF($A$2:$A43,$A43)
    )
  ),
"")</f>
        <v/>
      </c>
      <c r="G43" s="59" t="str">
        <f>IFERROR(
  SMALL(員工資料!$L$2:$L$999, ROW(G42)),
"")</f>
        <v/>
      </c>
      <c r="H43" s="60" t="str">
        <f t="array" ref="H43">IFERROR(
  INDEX(員工資料!$C$2:$C$999,
    SMALL(
      IF(員工資料!$L$2:$L$999=$G43,
         ROW(員工資料!$L$2:$L$999)-ROW(員工資料!$L$2)+1
      ),
      COUNTIF($G$2:$G43,$G43)
    )
  ),
"")</f>
        <v/>
      </c>
      <c r="I43" s="59" t="str">
        <f t="array" ref="I43">IFERROR(
  INDEX(員工資料!$D$2:$D$999,
    SMALL(
      IF(員工資料!$L$2:$L$999=$G43,
         ROW(員工資料!$L$2:$L$999)-ROW(員工資料!$L$2)+1
      ),
      COUNTIF($G$2:$G43,$G43)
    )
  ),
"")</f>
        <v/>
      </c>
    </row>
    <row r="44" spans="1:9">
      <c r="A44" s="45" t="str">
        <f t="array" ref="A44">IFERROR(
  SMALL(員工資料!$I$2:$I$999, ROW(A43)),
"")</f>
        <v/>
      </c>
      <c r="B44" s="45" t="str">
        <f t="array" ref="B44">IFERROR(
  INDEX(員工資料!$C$2:$C$999,
    SMALL(
      IF(員工資料!$I$2:$I$999=$A44,
         ROW(員工資料!$I$2:$I$999)-ROW(員工資料!$I$2)+1
      ),
      COUNTIF($A$2:$A44,$A44)
    )
  ),
"")</f>
        <v/>
      </c>
      <c r="C44" s="45" t="str">
        <f t="array" ref="C44">IFERROR(
  INDEX(員工資料!$D$2:$D$999,
    SMALL(
      IF(員工資料!$I$2:$I$999=$A44,
         ROW(員工資料!$I$2:$I$999)-ROW(員工資料!$I$2)+1
      ),
      COUNTIF($A$2:$A44,$A44)
    )
  ),
"")</f>
        <v/>
      </c>
      <c r="G44" s="59" t="str">
        <f>IFERROR(
  SMALL(員工資料!$L$2:$L$999, ROW(G43)),
"")</f>
        <v/>
      </c>
      <c r="H44" s="60" t="str">
        <f t="array" ref="H44">IFERROR(
  INDEX(員工資料!$C$2:$C$999,
    SMALL(
      IF(員工資料!$L$2:$L$999=$G44,
         ROW(員工資料!$L$2:$L$999)-ROW(員工資料!$L$2)+1
      ),
      COUNTIF($G$2:$G44,$G44)
    )
  ),
"")</f>
        <v/>
      </c>
      <c r="I44" s="59" t="str">
        <f t="array" ref="I44">IFERROR(
  INDEX(員工資料!$D$2:$D$999,
    SMALL(
      IF(員工資料!$L$2:$L$999=$G44,
         ROW(員工資料!$L$2:$L$999)-ROW(員工資料!$L$2)+1
      ),
      COUNTIF($G$2:$G44,$G44)
    )
  ),
"")</f>
        <v/>
      </c>
    </row>
    <row r="45" spans="1:9">
      <c r="A45" s="45" t="str">
        <f t="array" ref="A45">IFERROR(
  SMALL(員工資料!$I$2:$I$999, ROW(A44)),
"")</f>
        <v/>
      </c>
      <c r="B45" s="45" t="str">
        <f t="array" ref="B45">IFERROR(
  INDEX(員工資料!$C$2:$C$999,
    SMALL(
      IF(員工資料!$I$2:$I$999=$A45,
         ROW(員工資料!$I$2:$I$999)-ROW(員工資料!$I$2)+1
      ),
      COUNTIF($A$2:$A45,$A45)
    )
  ),
"")</f>
        <v/>
      </c>
      <c r="C45" s="45" t="str">
        <f t="array" ref="C45">IFERROR(
  INDEX(員工資料!$D$2:$D$999,
    SMALL(
      IF(員工資料!$I$2:$I$999=$A45,
         ROW(員工資料!$I$2:$I$999)-ROW(員工資料!$I$2)+1
      ),
      COUNTIF($A$2:$A45,$A45)
    )
  ),
"")</f>
        <v/>
      </c>
      <c r="G45" s="59" t="str">
        <f>IFERROR(
  SMALL(員工資料!$L$2:$L$999, ROW(G44)),
"")</f>
        <v/>
      </c>
      <c r="H45" s="60" t="str">
        <f t="array" ref="H45">IFERROR(
  INDEX(員工資料!$C$2:$C$999,
    SMALL(
      IF(員工資料!$L$2:$L$999=$G45,
         ROW(員工資料!$L$2:$L$999)-ROW(員工資料!$L$2)+1
      ),
      COUNTIF($G$2:$G45,$G45)
    )
  ),
"")</f>
        <v/>
      </c>
      <c r="I45" s="59" t="str">
        <f t="array" ref="I45">IFERROR(
  INDEX(員工資料!$D$2:$D$999,
    SMALL(
      IF(員工資料!$L$2:$L$999=$G45,
         ROW(員工資料!$L$2:$L$999)-ROW(員工資料!$L$2)+1
      ),
      COUNTIF($G$2:$G45,$G45)
    )
  ),
"")</f>
        <v/>
      </c>
    </row>
    <row r="46" spans="1:9">
      <c r="A46" s="45" t="str">
        <f t="array" ref="A46">IFERROR(
  SMALL(員工資料!$I$2:$I$999, ROW(A45)),
"")</f>
        <v/>
      </c>
      <c r="B46" s="45" t="str">
        <f t="array" ref="B46">IFERROR(
  INDEX(員工資料!$C$2:$C$999,
    SMALL(
      IF(員工資料!$I$2:$I$999=$A46,
         ROW(員工資料!$I$2:$I$999)-ROW(員工資料!$I$2)+1
      ),
      COUNTIF($A$2:$A46,$A46)
    )
  ),
"")</f>
        <v/>
      </c>
      <c r="C46" s="45" t="str">
        <f t="array" ref="C46">IFERROR(
  INDEX(員工資料!$D$2:$D$999,
    SMALL(
      IF(員工資料!$I$2:$I$999=$A46,
         ROW(員工資料!$I$2:$I$999)-ROW(員工資料!$I$2)+1
      ),
      COUNTIF($A$2:$A46,$A46)
    )
  ),
"")</f>
        <v/>
      </c>
      <c r="G46" s="59" t="str">
        <f>IFERROR(
  SMALL(員工資料!$L$2:$L$999, ROW(G45)),
"")</f>
        <v/>
      </c>
      <c r="H46" s="60" t="str">
        <f t="array" ref="H46">IFERROR(
  INDEX(員工資料!$C$2:$C$999,
    SMALL(
      IF(員工資料!$L$2:$L$999=$G46,
         ROW(員工資料!$L$2:$L$999)-ROW(員工資料!$L$2)+1
      ),
      COUNTIF($G$2:$G46,$G46)
    )
  ),
"")</f>
        <v/>
      </c>
      <c r="I46" s="59" t="str">
        <f t="array" ref="I46">IFERROR(
  INDEX(員工資料!$D$2:$D$999,
    SMALL(
      IF(員工資料!$L$2:$L$999=$G46,
         ROW(員工資料!$L$2:$L$999)-ROW(員工資料!$L$2)+1
      ),
      COUNTIF($G$2:$G46,$G46)
    )
  ),
"")</f>
        <v/>
      </c>
    </row>
    <row r="47" spans="1:9">
      <c r="A47" s="45" t="str">
        <f t="array" ref="A47">IFERROR(
  SMALL(員工資料!$I$2:$I$999, ROW(A46)),
"")</f>
        <v/>
      </c>
      <c r="B47" s="45" t="str">
        <f t="array" ref="B47">IFERROR(
  INDEX(員工資料!$C$2:$C$999,
    SMALL(
      IF(員工資料!$I$2:$I$999=$A47,
         ROW(員工資料!$I$2:$I$999)-ROW(員工資料!$I$2)+1
      ),
      COUNTIF($A$2:$A47,$A47)
    )
  ),
"")</f>
        <v/>
      </c>
      <c r="C47" s="45" t="str">
        <f t="array" ref="C47">IFERROR(
  INDEX(員工資料!$D$2:$D$999,
    SMALL(
      IF(員工資料!$I$2:$I$999=$A47,
         ROW(員工資料!$I$2:$I$999)-ROW(員工資料!$I$2)+1
      ),
      COUNTIF($A$2:$A47,$A47)
    )
  ),
"")</f>
        <v/>
      </c>
      <c r="G47" s="59" t="str">
        <f>IFERROR(
  SMALL(員工資料!$L$2:$L$999, ROW(G46)),
"")</f>
        <v/>
      </c>
      <c r="H47" s="60" t="str">
        <f t="array" ref="H47">IFERROR(
  INDEX(員工資料!$C$2:$C$999,
    SMALL(
      IF(員工資料!$L$2:$L$999=$G47,
         ROW(員工資料!$L$2:$L$999)-ROW(員工資料!$L$2)+1
      ),
      COUNTIF($G$2:$G47,$G47)
    )
  ),
"")</f>
        <v/>
      </c>
      <c r="I47" s="59" t="str">
        <f t="array" ref="I47">IFERROR(
  INDEX(員工資料!$D$2:$D$999,
    SMALL(
      IF(員工資料!$L$2:$L$999=$G47,
         ROW(員工資料!$L$2:$L$999)-ROW(員工資料!$L$2)+1
      ),
      COUNTIF($G$2:$G47,$G47)
    )
  ),
"")</f>
        <v/>
      </c>
    </row>
    <row r="48" spans="1:9">
      <c r="A48" s="45" t="str">
        <f t="array" ref="A48">IFERROR(
  SMALL(員工資料!$I$2:$I$999, ROW(A47)),
"")</f>
        <v/>
      </c>
      <c r="B48" s="45" t="str">
        <f t="array" ref="B48">IFERROR(
  INDEX(員工資料!$C$2:$C$999,
    SMALL(
      IF(員工資料!$I$2:$I$999=$A48,
         ROW(員工資料!$I$2:$I$999)-ROW(員工資料!$I$2)+1
      ),
      COUNTIF($A$2:$A48,$A48)
    )
  ),
"")</f>
        <v/>
      </c>
      <c r="C48" s="45" t="str">
        <f t="array" ref="C48">IFERROR(
  INDEX(員工資料!$D$2:$D$999,
    SMALL(
      IF(員工資料!$I$2:$I$999=$A48,
         ROW(員工資料!$I$2:$I$999)-ROW(員工資料!$I$2)+1
      ),
      COUNTIF($A$2:$A48,$A48)
    )
  ),
"")</f>
        <v/>
      </c>
      <c r="G48" s="59" t="str">
        <f>IFERROR(
  SMALL(員工資料!$L$2:$L$999, ROW(G47)),
"")</f>
        <v/>
      </c>
      <c r="H48" s="60" t="str">
        <f t="array" ref="H48">IFERROR(
  INDEX(員工資料!$C$2:$C$999,
    SMALL(
      IF(員工資料!$L$2:$L$999=$G48,
         ROW(員工資料!$L$2:$L$999)-ROW(員工資料!$L$2)+1
      ),
      COUNTIF($G$2:$G48,$G48)
    )
  ),
"")</f>
        <v/>
      </c>
      <c r="I48" s="59" t="str">
        <f t="array" ref="I48">IFERROR(
  INDEX(員工資料!$D$2:$D$999,
    SMALL(
      IF(員工資料!$L$2:$L$999=$G48,
         ROW(員工資料!$L$2:$L$999)-ROW(員工資料!$L$2)+1
      ),
      COUNTIF($G$2:$G48,$G48)
    )
  ),
"")</f>
        <v/>
      </c>
    </row>
    <row r="49" spans="1:9">
      <c r="A49" s="45" t="str">
        <f t="array" ref="A49">IFERROR(
  SMALL(員工資料!$I$2:$I$999, ROW(A48)),
"")</f>
        <v/>
      </c>
      <c r="B49" s="45" t="str">
        <f t="array" ref="B49">IFERROR(
  INDEX(員工資料!$C$2:$C$999,
    SMALL(
      IF(員工資料!$I$2:$I$999=$A49,
         ROW(員工資料!$I$2:$I$999)-ROW(員工資料!$I$2)+1
      ),
      COUNTIF($A$2:$A49,$A49)
    )
  ),
"")</f>
        <v/>
      </c>
      <c r="C49" s="45" t="str">
        <f t="array" ref="C49">IFERROR(
  INDEX(員工資料!$D$2:$D$999,
    SMALL(
      IF(員工資料!$I$2:$I$999=$A49,
         ROW(員工資料!$I$2:$I$999)-ROW(員工資料!$I$2)+1
      ),
      COUNTIF($A$2:$A49,$A49)
    )
  ),
"")</f>
        <v/>
      </c>
      <c r="G49" s="59" t="str">
        <f>IFERROR(
  SMALL(員工資料!$L$2:$L$999, ROW(G48)),
"")</f>
        <v/>
      </c>
      <c r="H49" s="60" t="str">
        <f t="array" ref="H49">IFERROR(
  INDEX(員工資料!$C$2:$C$999,
    SMALL(
      IF(員工資料!$L$2:$L$999=$G49,
         ROW(員工資料!$L$2:$L$999)-ROW(員工資料!$L$2)+1
      ),
      COUNTIF($G$2:$G49,$G49)
    )
  ),
"")</f>
        <v/>
      </c>
      <c r="I49" s="59" t="str">
        <f t="array" ref="I49">IFERROR(
  INDEX(員工資料!$D$2:$D$999,
    SMALL(
      IF(員工資料!$L$2:$L$999=$G49,
         ROW(員工資料!$L$2:$L$999)-ROW(員工資料!$L$2)+1
      ),
      COUNTIF($G$2:$G49,$G49)
    )
  ),
"")</f>
        <v/>
      </c>
    </row>
    <row r="50" spans="1:9">
      <c r="A50" s="45" t="str">
        <f t="array" ref="A50">IFERROR(
  SMALL(員工資料!$I$2:$I$999, ROW(A49)),
"")</f>
        <v/>
      </c>
      <c r="B50" s="45" t="str">
        <f t="array" ref="B50">IFERROR(
  INDEX(員工資料!$C$2:$C$999,
    SMALL(
      IF(員工資料!$I$2:$I$999=$A50,
         ROW(員工資料!$I$2:$I$999)-ROW(員工資料!$I$2)+1
      ),
      COUNTIF($A$2:$A50,$A50)
    )
  ),
"")</f>
        <v/>
      </c>
      <c r="C50" s="45" t="str">
        <f t="array" ref="C50">IFERROR(
  INDEX(員工資料!$D$2:$D$999,
    SMALL(
      IF(員工資料!$I$2:$I$999=$A50,
         ROW(員工資料!$I$2:$I$999)-ROW(員工資料!$I$2)+1
      ),
      COUNTIF($A$2:$A50,$A50)
    )
  ),
"")</f>
        <v/>
      </c>
      <c r="G50" s="59" t="str">
        <f>IFERROR(
  SMALL(員工資料!$L$2:$L$999, ROW(G49)),
"")</f>
        <v/>
      </c>
      <c r="H50" s="60" t="str">
        <f t="array" ref="H50">IFERROR(
  INDEX(員工資料!$C$2:$C$999,
    SMALL(
      IF(員工資料!$L$2:$L$999=$G50,
         ROW(員工資料!$L$2:$L$999)-ROW(員工資料!$L$2)+1
      ),
      COUNTIF($G$2:$G50,$G50)
    )
  ),
"")</f>
        <v/>
      </c>
      <c r="I50" s="59" t="str">
        <f t="array" ref="I50">IFERROR(
  INDEX(員工資料!$D$2:$D$999,
    SMALL(
      IF(員工資料!$L$2:$L$999=$G50,
         ROW(員工資料!$L$2:$L$999)-ROW(員工資料!$L$2)+1
      ),
      COUNTIF($G$2:$G50,$G50)
    )
  ),
"")</f>
        <v/>
      </c>
    </row>
    <row r="51" spans="1:9">
      <c r="A51" s="45" t="str">
        <f t="array" ref="A51">IFERROR(
  SMALL(員工資料!$I$2:$I$999, ROW(A50)),
"")</f>
        <v/>
      </c>
      <c r="B51" s="45" t="str">
        <f t="array" ref="B51">IFERROR(
  INDEX(員工資料!$C$2:$C$999,
    SMALL(
      IF(員工資料!$I$2:$I$999=$A51,
         ROW(員工資料!$I$2:$I$999)-ROW(員工資料!$I$2)+1
      ),
      COUNTIF($A$2:$A51,$A51)
    )
  ),
"")</f>
        <v/>
      </c>
      <c r="C51" s="45" t="str">
        <f t="array" ref="C51">IFERROR(
  INDEX(員工資料!$D$2:$D$999,
    SMALL(
      IF(員工資料!$I$2:$I$999=$A51,
         ROW(員工資料!$I$2:$I$999)-ROW(員工資料!$I$2)+1
      ),
      COUNTIF($A$2:$A51,$A51)
    )
  ),
"")</f>
        <v/>
      </c>
      <c r="G51" s="59" t="str">
        <f>IFERROR(
  SMALL(員工資料!$L$2:$L$999, ROW(G50)),
"")</f>
        <v/>
      </c>
      <c r="H51" s="60" t="str">
        <f t="array" ref="H51">IFERROR(
  INDEX(員工資料!$C$2:$C$999,
    SMALL(
      IF(員工資料!$L$2:$L$999=$G51,
         ROW(員工資料!$L$2:$L$999)-ROW(員工資料!$L$2)+1
      ),
      COUNTIF($G$2:$G51,$G51)
    )
  ),
"")</f>
        <v/>
      </c>
      <c r="I51" s="59" t="str">
        <f t="array" ref="I51">IFERROR(
  INDEX(員工資料!$D$2:$D$999,
    SMALL(
      IF(員工資料!$L$2:$L$999=$G51,
         ROW(員工資料!$L$2:$L$999)-ROW(員工資料!$L$2)+1
      ),
      COUNTIF($G$2:$G51,$G51)
    )
  ),
"")</f>
        <v/>
      </c>
    </row>
    <row r="52" spans="1:9">
      <c r="A52" s="45" t="str">
        <f t="array" ref="A52">IFERROR(
  SMALL(員工資料!$I$2:$I$999, ROW(A51)),
"")</f>
        <v/>
      </c>
      <c r="B52" s="45" t="str">
        <f t="array" ref="B52">IFERROR(
  INDEX(員工資料!$C$2:$C$999,
    SMALL(
      IF(員工資料!$I$2:$I$999=$A52,
         ROW(員工資料!$I$2:$I$999)-ROW(員工資料!$I$2)+1
      ),
      COUNTIF($A$2:$A52,$A52)
    )
  ),
"")</f>
        <v/>
      </c>
      <c r="C52" s="45" t="str">
        <f t="array" ref="C52">IFERROR(
  INDEX(員工資料!$D$2:$D$999,
    SMALL(
      IF(員工資料!$I$2:$I$999=$A52,
         ROW(員工資料!$I$2:$I$999)-ROW(員工資料!$I$2)+1
      ),
      COUNTIF($A$2:$A52,$A52)
    )
  ),
"")</f>
        <v/>
      </c>
      <c r="G52" s="59" t="str">
        <f>IFERROR(
  SMALL(員工資料!$L$2:$L$999, ROW(G51)),
"")</f>
        <v/>
      </c>
      <c r="H52" s="60" t="str">
        <f t="array" ref="H52">IFERROR(
  INDEX(員工資料!$C$2:$C$999,
    SMALL(
      IF(員工資料!$L$2:$L$999=$G52,
         ROW(員工資料!$L$2:$L$999)-ROW(員工資料!$L$2)+1
      ),
      COUNTIF($G$2:$G52,$G52)
    )
  ),
"")</f>
        <v/>
      </c>
      <c r="I52" s="59" t="str">
        <f t="array" ref="I52">IFERROR(
  INDEX(員工資料!$D$2:$D$999,
    SMALL(
      IF(員工資料!$L$2:$L$999=$G52,
         ROW(員工資料!$L$2:$L$999)-ROW(員工資料!$L$2)+1
      ),
      COUNTIF($G$2:$G52,$G52)
    )
  ),
"")</f>
        <v/>
      </c>
    </row>
    <row r="53" spans="1:9">
      <c r="A53" s="45" t="str">
        <f t="array" ref="A53">IFERROR(
  SMALL(員工資料!$I$2:$I$999, ROW(A52)),
"")</f>
        <v/>
      </c>
      <c r="B53" s="45" t="str">
        <f t="array" ref="B53">IFERROR(
  INDEX(員工資料!$C$2:$C$999,
    SMALL(
      IF(員工資料!$I$2:$I$999=$A53,
         ROW(員工資料!$I$2:$I$999)-ROW(員工資料!$I$2)+1
      ),
      COUNTIF($A$2:$A53,$A53)
    )
  ),
"")</f>
        <v/>
      </c>
      <c r="C53" s="45" t="str">
        <f t="array" ref="C53">IFERROR(
  INDEX(員工資料!$D$2:$D$999,
    SMALL(
      IF(員工資料!$I$2:$I$999=$A53,
         ROW(員工資料!$I$2:$I$999)-ROW(員工資料!$I$2)+1
      ),
      COUNTIF($A$2:$A53,$A53)
    )
  ),
"")</f>
        <v/>
      </c>
      <c r="G53" s="59" t="str">
        <f>IFERROR(
  SMALL(員工資料!$L$2:$L$999, ROW(G52)),
"")</f>
        <v/>
      </c>
      <c r="H53" s="60" t="str">
        <f t="array" ref="H53">IFERROR(
  INDEX(員工資料!$C$2:$C$999,
    SMALL(
      IF(員工資料!$L$2:$L$999=$G53,
         ROW(員工資料!$L$2:$L$999)-ROW(員工資料!$L$2)+1
      ),
      COUNTIF($G$2:$G53,$G53)
    )
  ),
"")</f>
        <v/>
      </c>
      <c r="I53" s="59" t="str">
        <f t="array" ref="I53">IFERROR(
  INDEX(員工資料!$D$2:$D$999,
    SMALL(
      IF(員工資料!$L$2:$L$999=$G53,
         ROW(員工資料!$L$2:$L$999)-ROW(員工資料!$L$2)+1
      ),
      COUNTIF($G$2:$G53,$G53)
    )
  ),
"")</f>
        <v/>
      </c>
    </row>
    <row r="54" spans="1:9">
      <c r="A54" s="45" t="str">
        <f t="array" ref="A54">IFERROR(
  SMALL(員工資料!$I$2:$I$999, ROW(A53)),
"")</f>
        <v/>
      </c>
      <c r="B54" s="45" t="str">
        <f t="array" ref="B54">IFERROR(
  INDEX(員工資料!$C$2:$C$999,
    SMALL(
      IF(員工資料!$I$2:$I$999=$A54,
         ROW(員工資料!$I$2:$I$999)-ROW(員工資料!$I$2)+1
      ),
      COUNTIF($A$2:$A54,$A54)
    )
  ),
"")</f>
        <v/>
      </c>
      <c r="C54" s="45" t="str">
        <f t="array" ref="C54">IFERROR(
  INDEX(員工資料!$D$2:$D$999,
    SMALL(
      IF(員工資料!$I$2:$I$999=$A54,
         ROW(員工資料!$I$2:$I$999)-ROW(員工資料!$I$2)+1
      ),
      COUNTIF($A$2:$A54,$A54)
    )
  ),
"")</f>
        <v/>
      </c>
      <c r="G54" s="59" t="str">
        <f>IFERROR(
  SMALL(員工資料!$L$2:$L$999, ROW(G53)),
"")</f>
        <v/>
      </c>
      <c r="H54" s="60" t="str">
        <f t="array" ref="H54">IFERROR(
  INDEX(員工資料!$C$2:$C$999,
    SMALL(
      IF(員工資料!$L$2:$L$999=$G54,
         ROW(員工資料!$L$2:$L$999)-ROW(員工資料!$L$2)+1
      ),
      COUNTIF($G$2:$G54,$G54)
    )
  ),
"")</f>
        <v/>
      </c>
      <c r="I54" s="59" t="str">
        <f t="array" ref="I54">IFERROR(
  INDEX(員工資料!$D$2:$D$999,
    SMALL(
      IF(員工資料!$L$2:$L$999=$G54,
         ROW(員工資料!$L$2:$L$999)-ROW(員工資料!$L$2)+1
      ),
      COUNTIF($G$2:$G54,$G54)
    )
  ),
"")</f>
        <v/>
      </c>
    </row>
    <row r="55" spans="1:9">
      <c r="A55" s="45" t="str">
        <f t="array" ref="A55">IFERROR(
  SMALL(員工資料!$I$2:$I$999, ROW(A54)),
"")</f>
        <v/>
      </c>
      <c r="B55" s="45" t="str">
        <f t="array" ref="B55">IFERROR(
  INDEX(員工資料!$C$2:$C$999,
    SMALL(
      IF(員工資料!$I$2:$I$999=$A55,
         ROW(員工資料!$I$2:$I$999)-ROW(員工資料!$I$2)+1
      ),
      COUNTIF($A$2:$A55,$A55)
    )
  ),
"")</f>
        <v/>
      </c>
      <c r="C55" s="45" t="str">
        <f t="array" ref="C55">IFERROR(
  INDEX(員工資料!$D$2:$D$999,
    SMALL(
      IF(員工資料!$I$2:$I$999=$A55,
         ROW(員工資料!$I$2:$I$999)-ROW(員工資料!$I$2)+1
      ),
      COUNTIF($A$2:$A55,$A55)
    )
  ),
"")</f>
        <v/>
      </c>
      <c r="G55" s="59" t="str">
        <f>IFERROR(
  SMALL(員工資料!$L$2:$L$999, ROW(G54)),
"")</f>
        <v/>
      </c>
      <c r="H55" s="60" t="str">
        <f t="array" ref="H55">IFERROR(
  INDEX(員工資料!$C$2:$C$999,
    SMALL(
      IF(員工資料!$L$2:$L$999=$G55,
         ROW(員工資料!$L$2:$L$999)-ROW(員工資料!$L$2)+1
      ),
      COUNTIF($G$2:$G55,$G55)
    )
  ),
"")</f>
        <v/>
      </c>
      <c r="I55" s="59" t="str">
        <f t="array" ref="I55">IFERROR(
  INDEX(員工資料!$D$2:$D$999,
    SMALL(
      IF(員工資料!$L$2:$L$999=$G55,
         ROW(員工資料!$L$2:$L$999)-ROW(員工資料!$L$2)+1
      ),
      COUNTIF($G$2:$G55,$G55)
    )
  ),
"")</f>
        <v/>
      </c>
    </row>
    <row r="56" spans="1:9">
      <c r="A56" s="45" t="str">
        <f t="array" ref="A56">IFERROR(
  SMALL(員工資料!$I$2:$I$999, ROW(A55)),
"")</f>
        <v/>
      </c>
      <c r="B56" s="45" t="str">
        <f t="array" ref="B56">IFERROR(
  INDEX(員工資料!$C$2:$C$999,
    SMALL(
      IF(員工資料!$I$2:$I$999=$A56,
         ROW(員工資料!$I$2:$I$999)-ROW(員工資料!$I$2)+1
      ),
      COUNTIF($A$2:$A56,$A56)
    )
  ),
"")</f>
        <v/>
      </c>
      <c r="C56" s="45" t="str">
        <f t="array" ref="C56">IFERROR(
  INDEX(員工資料!$D$2:$D$999,
    SMALL(
      IF(員工資料!$I$2:$I$999=$A56,
         ROW(員工資料!$I$2:$I$999)-ROW(員工資料!$I$2)+1
      ),
      COUNTIF($A$2:$A56,$A56)
    )
  ),
"")</f>
        <v/>
      </c>
      <c r="G56" s="59" t="str">
        <f>IFERROR(
  SMALL(員工資料!$L$2:$L$999, ROW(G55)),
"")</f>
        <v/>
      </c>
      <c r="H56" s="60" t="str">
        <f t="array" ref="H56">IFERROR(
  INDEX(員工資料!$C$2:$C$999,
    SMALL(
      IF(員工資料!$L$2:$L$999=$G56,
         ROW(員工資料!$L$2:$L$999)-ROW(員工資料!$L$2)+1
      ),
      COUNTIF($G$2:$G56,$G56)
    )
  ),
"")</f>
        <v/>
      </c>
      <c r="I56" s="59" t="str">
        <f t="array" ref="I56">IFERROR(
  INDEX(員工資料!$D$2:$D$999,
    SMALL(
      IF(員工資料!$L$2:$L$999=$G56,
         ROW(員工資料!$L$2:$L$999)-ROW(員工資料!$L$2)+1
      ),
      COUNTIF($G$2:$G56,$G56)
    )
  ),
"")</f>
        <v/>
      </c>
    </row>
    <row r="57" spans="1:9">
      <c r="A57" s="45" t="str">
        <f t="array" ref="A57">IFERROR(
  SMALL(員工資料!$I$2:$I$999, ROW(A56)),
"")</f>
        <v/>
      </c>
      <c r="B57" s="45" t="str">
        <f t="array" ref="B57">IFERROR(
  INDEX(員工資料!$C$2:$C$999,
    SMALL(
      IF(員工資料!$I$2:$I$999=$A57,
         ROW(員工資料!$I$2:$I$999)-ROW(員工資料!$I$2)+1
      ),
      COUNTIF($A$2:$A57,$A57)
    )
  ),
"")</f>
        <v/>
      </c>
      <c r="C57" s="45" t="str">
        <f t="array" ref="C57">IFERROR(
  INDEX(員工資料!$D$2:$D$999,
    SMALL(
      IF(員工資料!$I$2:$I$999=$A57,
         ROW(員工資料!$I$2:$I$999)-ROW(員工資料!$I$2)+1
      ),
      COUNTIF($A$2:$A57,$A57)
    )
  ),
"")</f>
        <v/>
      </c>
      <c r="G57" s="59" t="str">
        <f>IFERROR(
  SMALL(員工資料!$L$2:$L$999, ROW(G56)),
"")</f>
        <v/>
      </c>
      <c r="H57" s="60" t="str">
        <f t="array" ref="H57">IFERROR(
  INDEX(員工資料!$C$2:$C$999,
    SMALL(
      IF(員工資料!$L$2:$L$999=$G57,
         ROW(員工資料!$L$2:$L$999)-ROW(員工資料!$L$2)+1
      ),
      COUNTIF($G$2:$G57,$G57)
    )
  ),
"")</f>
        <v/>
      </c>
      <c r="I57" s="59" t="str">
        <f t="array" ref="I57">IFERROR(
  INDEX(員工資料!$D$2:$D$999,
    SMALL(
      IF(員工資料!$L$2:$L$999=$G57,
         ROW(員工資料!$L$2:$L$999)-ROW(員工資料!$L$2)+1
      ),
      COUNTIF($G$2:$G57,$G57)
    )
  ),
"")</f>
        <v/>
      </c>
    </row>
    <row r="58" spans="1:9">
      <c r="A58" s="45" t="str">
        <f t="array" ref="A58">IFERROR(
  SMALL(員工資料!$I$2:$I$999, ROW(A57)),
"")</f>
        <v/>
      </c>
      <c r="B58" s="45" t="str">
        <f t="array" ref="B58">IFERROR(
  INDEX(員工資料!$C$2:$C$999,
    SMALL(
      IF(員工資料!$I$2:$I$999=$A58,
         ROW(員工資料!$I$2:$I$999)-ROW(員工資料!$I$2)+1
      ),
      COUNTIF($A$2:$A58,$A58)
    )
  ),
"")</f>
        <v/>
      </c>
      <c r="C58" s="45" t="str">
        <f t="array" ref="C58">IFERROR(
  INDEX(員工資料!$D$2:$D$999,
    SMALL(
      IF(員工資料!$I$2:$I$999=$A58,
         ROW(員工資料!$I$2:$I$999)-ROW(員工資料!$I$2)+1
      ),
      COUNTIF($A$2:$A58,$A58)
    )
  ),
"")</f>
        <v/>
      </c>
      <c r="G58" s="59" t="str">
        <f>IFERROR(
  SMALL(員工資料!$L$2:$L$999, ROW(G57)),
"")</f>
        <v/>
      </c>
      <c r="H58" s="60" t="str">
        <f t="array" ref="H58">IFERROR(
  INDEX(員工資料!$C$2:$C$999,
    SMALL(
      IF(員工資料!$L$2:$L$999=$G58,
         ROW(員工資料!$L$2:$L$999)-ROW(員工資料!$L$2)+1
      ),
      COUNTIF($G$2:$G58,$G58)
    )
  ),
"")</f>
        <v/>
      </c>
      <c r="I58" s="59" t="str">
        <f t="array" ref="I58">IFERROR(
  INDEX(員工資料!$D$2:$D$999,
    SMALL(
      IF(員工資料!$L$2:$L$999=$G58,
         ROW(員工資料!$L$2:$L$999)-ROW(員工資料!$L$2)+1
      ),
      COUNTIF($G$2:$G58,$G58)
    )
  ),
"")</f>
        <v/>
      </c>
    </row>
    <row r="59" spans="1:9">
      <c r="A59" s="45" t="str">
        <f t="array" ref="A59">IFERROR(
  SMALL(員工資料!$I$2:$I$999, ROW(A58)),
"")</f>
        <v/>
      </c>
      <c r="B59" s="45" t="str">
        <f t="array" ref="B59">IFERROR(
  INDEX(員工資料!$C$2:$C$999,
    SMALL(
      IF(員工資料!$I$2:$I$999=$A59,
         ROW(員工資料!$I$2:$I$999)-ROW(員工資料!$I$2)+1
      ),
      COUNTIF($A$2:$A59,$A59)
    )
  ),
"")</f>
        <v/>
      </c>
      <c r="C59" s="45" t="str">
        <f t="array" ref="C59">IFERROR(
  INDEX(員工資料!$D$2:$D$999,
    SMALL(
      IF(員工資料!$I$2:$I$999=$A59,
         ROW(員工資料!$I$2:$I$999)-ROW(員工資料!$I$2)+1
      ),
      COUNTIF($A$2:$A59,$A59)
    )
  ),
"")</f>
        <v/>
      </c>
      <c r="G59" s="59" t="str">
        <f>IFERROR(
  SMALL(員工資料!$L$2:$L$999, ROW(G58)),
"")</f>
        <v/>
      </c>
      <c r="H59" s="60" t="str">
        <f t="array" ref="H59">IFERROR(
  INDEX(員工資料!$C$2:$C$999,
    SMALL(
      IF(員工資料!$L$2:$L$999=$G59,
         ROW(員工資料!$L$2:$L$999)-ROW(員工資料!$L$2)+1
      ),
      COUNTIF($G$2:$G59,$G59)
    )
  ),
"")</f>
        <v/>
      </c>
      <c r="I59" s="59" t="str">
        <f t="array" ref="I59">IFERROR(
  INDEX(員工資料!$D$2:$D$999,
    SMALL(
      IF(員工資料!$L$2:$L$999=$G59,
         ROW(員工資料!$L$2:$L$999)-ROW(員工資料!$L$2)+1
      ),
      COUNTIF($G$2:$G59,$G59)
    )
  ),
"")</f>
        <v/>
      </c>
    </row>
    <row r="60" spans="1:9">
      <c r="A60" s="45" t="str">
        <f t="array" ref="A60">IFERROR(
  SMALL(員工資料!$I$2:$I$999, ROW(A59)),
"")</f>
        <v/>
      </c>
      <c r="B60" s="45" t="str">
        <f t="array" ref="B60">IFERROR(
  INDEX(員工資料!$C$2:$C$999,
    SMALL(
      IF(員工資料!$I$2:$I$999=$A60,
         ROW(員工資料!$I$2:$I$999)-ROW(員工資料!$I$2)+1
      ),
      COUNTIF($A$2:$A60,$A60)
    )
  ),
"")</f>
        <v/>
      </c>
      <c r="C60" s="45" t="str">
        <f t="array" ref="C60">IFERROR(
  INDEX(員工資料!$D$2:$D$999,
    SMALL(
      IF(員工資料!$I$2:$I$999=$A60,
         ROW(員工資料!$I$2:$I$999)-ROW(員工資料!$I$2)+1
      ),
      COUNTIF($A$2:$A60,$A60)
    )
  ),
"")</f>
        <v/>
      </c>
      <c r="G60" s="59" t="str">
        <f>IFERROR(
  SMALL(員工資料!$L$2:$L$999, ROW(G59)),
"")</f>
        <v/>
      </c>
      <c r="H60" s="60" t="str">
        <f t="array" ref="H60">IFERROR(
  INDEX(員工資料!$C$2:$C$999,
    SMALL(
      IF(員工資料!$L$2:$L$999=$G60,
         ROW(員工資料!$L$2:$L$999)-ROW(員工資料!$L$2)+1
      ),
      COUNTIF($G$2:$G60,$G60)
    )
  ),
"")</f>
        <v/>
      </c>
      <c r="I60" s="59" t="str">
        <f t="array" ref="I60">IFERROR(
  INDEX(員工資料!$D$2:$D$999,
    SMALL(
      IF(員工資料!$L$2:$L$999=$G60,
         ROW(員工資料!$L$2:$L$999)-ROW(員工資料!$L$2)+1
      ),
      COUNTIF($G$2:$G60,$G60)
    )
  ),
"")</f>
        <v/>
      </c>
    </row>
    <row r="61" spans="1:9">
      <c r="A61" s="45" t="str">
        <f t="array" ref="A61">IFERROR(
  SMALL(員工資料!$I$2:$I$999, ROW(A60)),
"")</f>
        <v/>
      </c>
      <c r="B61" s="45" t="str">
        <f t="array" ref="B61">IFERROR(
  INDEX(員工資料!$C$2:$C$999,
    SMALL(
      IF(員工資料!$I$2:$I$999=$A61,
         ROW(員工資料!$I$2:$I$999)-ROW(員工資料!$I$2)+1
      ),
      COUNTIF($A$2:$A61,$A61)
    )
  ),
"")</f>
        <v/>
      </c>
      <c r="C61" s="45" t="str">
        <f t="array" ref="C61">IFERROR(
  INDEX(員工資料!$D$2:$D$999,
    SMALL(
      IF(員工資料!$I$2:$I$999=$A61,
         ROW(員工資料!$I$2:$I$999)-ROW(員工資料!$I$2)+1
      ),
      COUNTIF($A$2:$A61,$A61)
    )
  ),
"")</f>
        <v/>
      </c>
      <c r="G61" s="59" t="str">
        <f>IFERROR(
  SMALL(員工資料!$L$2:$L$999, ROW(G60)),
"")</f>
        <v/>
      </c>
      <c r="H61" s="60" t="str">
        <f t="array" ref="H61">IFERROR(
  INDEX(員工資料!$C$2:$C$999,
    SMALL(
      IF(員工資料!$L$2:$L$999=$G61,
         ROW(員工資料!$L$2:$L$999)-ROW(員工資料!$L$2)+1
      ),
      COUNTIF($G$2:$G61,$G61)
    )
  ),
"")</f>
        <v/>
      </c>
      <c r="I61" s="59" t="str">
        <f t="array" ref="I61">IFERROR(
  INDEX(員工資料!$D$2:$D$999,
    SMALL(
      IF(員工資料!$L$2:$L$999=$G61,
         ROW(員工資料!$L$2:$L$999)-ROW(員工資料!$L$2)+1
      ),
      COUNTIF($G$2:$G61,$G61)
    )
  ),
"")</f>
        <v/>
      </c>
    </row>
    <row r="62" spans="1:9">
      <c r="A62" s="45" t="str">
        <f t="array" ref="A62">IFERROR(
  SMALL(員工資料!$I$2:$I$999, ROW(A61)),
"")</f>
        <v/>
      </c>
      <c r="B62" s="45" t="str">
        <f t="array" ref="B62">IFERROR(
  INDEX(員工資料!$C$2:$C$999,
    SMALL(
      IF(員工資料!$I$2:$I$999=$A62,
         ROW(員工資料!$I$2:$I$999)-ROW(員工資料!$I$2)+1
      ),
      COUNTIF($A$2:$A62,$A62)
    )
  ),
"")</f>
        <v/>
      </c>
      <c r="C62" s="45" t="str">
        <f t="array" ref="C62">IFERROR(
  INDEX(員工資料!$D$2:$D$999,
    SMALL(
      IF(員工資料!$I$2:$I$999=$A62,
         ROW(員工資料!$I$2:$I$999)-ROW(員工資料!$I$2)+1
      ),
      COUNTIF($A$2:$A62,$A62)
    )
  ),
"")</f>
        <v/>
      </c>
      <c r="G62" s="59" t="str">
        <f>IFERROR(
  SMALL(員工資料!$L$2:$L$999, ROW(G61)),
"")</f>
        <v/>
      </c>
      <c r="H62" s="60" t="str">
        <f t="array" ref="H62">IFERROR(
  INDEX(員工資料!$C$2:$C$999,
    SMALL(
      IF(員工資料!$L$2:$L$999=$G62,
         ROW(員工資料!$L$2:$L$999)-ROW(員工資料!$L$2)+1
      ),
      COUNTIF($G$2:$G62,$G62)
    )
  ),
"")</f>
        <v/>
      </c>
      <c r="I62" s="59" t="str">
        <f t="array" ref="I62">IFERROR(
  INDEX(員工資料!$D$2:$D$999,
    SMALL(
      IF(員工資料!$L$2:$L$999=$G62,
         ROW(員工資料!$L$2:$L$999)-ROW(員工資料!$L$2)+1
      ),
      COUNTIF($G$2:$G62,$G62)
    )
  ),
"")</f>
        <v/>
      </c>
    </row>
    <row r="63" spans="1:9">
      <c r="A63" s="45" t="str">
        <f t="array" ref="A63">IFERROR(
  SMALL(員工資料!$I$2:$I$999, ROW(A62)),
"")</f>
        <v/>
      </c>
      <c r="B63" s="45" t="str">
        <f t="array" ref="B63">IFERROR(
  INDEX(員工資料!$C$2:$C$999,
    SMALL(
      IF(員工資料!$I$2:$I$999=$A63,
         ROW(員工資料!$I$2:$I$999)-ROW(員工資料!$I$2)+1
      ),
      COUNTIF($A$2:$A63,$A63)
    )
  ),
"")</f>
        <v/>
      </c>
      <c r="C63" s="45" t="str">
        <f t="array" ref="C63">IFERROR(
  INDEX(員工資料!$D$2:$D$999,
    SMALL(
      IF(員工資料!$I$2:$I$999=$A63,
         ROW(員工資料!$I$2:$I$999)-ROW(員工資料!$I$2)+1
      ),
      COUNTIF($A$2:$A63,$A63)
    )
  ),
"")</f>
        <v/>
      </c>
      <c r="G63" s="59" t="str">
        <f>IFERROR(
  SMALL(員工資料!$L$2:$L$999, ROW(G62)),
"")</f>
        <v/>
      </c>
      <c r="H63" s="60" t="str">
        <f t="array" ref="H63">IFERROR(
  INDEX(員工資料!$C$2:$C$999,
    SMALL(
      IF(員工資料!$L$2:$L$999=$G63,
         ROW(員工資料!$L$2:$L$999)-ROW(員工資料!$L$2)+1
      ),
      COUNTIF($G$2:$G63,$G63)
    )
  ),
"")</f>
        <v/>
      </c>
      <c r="I63" s="59" t="str">
        <f t="array" ref="I63">IFERROR(
  INDEX(員工資料!$D$2:$D$999,
    SMALL(
      IF(員工資料!$L$2:$L$999=$G63,
         ROW(員工資料!$L$2:$L$999)-ROW(員工資料!$L$2)+1
      ),
      COUNTIF($G$2:$G63,$G63)
    )
  ),
"")</f>
        <v/>
      </c>
    </row>
    <row r="64" spans="1:9">
      <c r="A64" s="45" t="str">
        <f t="array" ref="A64">IFERROR(
  SMALL(員工資料!$I$2:$I$999, ROW(A63)),
"")</f>
        <v/>
      </c>
      <c r="B64" s="45" t="str">
        <f t="array" ref="B64">IFERROR(
  INDEX(員工資料!$C$2:$C$999,
    SMALL(
      IF(員工資料!$I$2:$I$999=$A64,
         ROW(員工資料!$I$2:$I$999)-ROW(員工資料!$I$2)+1
      ),
      COUNTIF($A$2:$A64,$A64)
    )
  ),
"")</f>
        <v/>
      </c>
      <c r="C64" s="45" t="str">
        <f t="array" ref="C64">IFERROR(
  INDEX(員工資料!$D$2:$D$999,
    SMALL(
      IF(員工資料!$I$2:$I$999=$A64,
         ROW(員工資料!$I$2:$I$999)-ROW(員工資料!$I$2)+1
      ),
      COUNTIF($A$2:$A64,$A64)
    )
  ),
"")</f>
        <v/>
      </c>
      <c r="G64" s="59" t="str">
        <f>IFERROR(
  SMALL(員工資料!$L$2:$L$999, ROW(G63)),
"")</f>
        <v/>
      </c>
      <c r="H64" s="60" t="str">
        <f t="array" ref="H64">IFERROR(
  INDEX(員工資料!$C$2:$C$999,
    SMALL(
      IF(員工資料!$L$2:$L$999=$G64,
         ROW(員工資料!$L$2:$L$999)-ROW(員工資料!$L$2)+1
      ),
      COUNTIF($G$2:$G64,$G64)
    )
  ),
"")</f>
        <v/>
      </c>
      <c r="I64" s="59" t="str">
        <f t="array" ref="I64">IFERROR(
  INDEX(員工資料!$D$2:$D$999,
    SMALL(
      IF(員工資料!$L$2:$L$999=$G64,
         ROW(員工資料!$L$2:$L$999)-ROW(員工資料!$L$2)+1
      ),
      COUNTIF($G$2:$G64,$G64)
    )
  ),
"")</f>
        <v/>
      </c>
    </row>
    <row r="65" spans="1:9">
      <c r="A65" s="45" t="str">
        <f t="array" ref="A65">IFERROR(
  SMALL(員工資料!$I$2:$I$999, ROW(A64)),
"")</f>
        <v/>
      </c>
      <c r="B65" s="45" t="str">
        <f t="array" ref="B65">IFERROR(
  INDEX(員工資料!$C$2:$C$999,
    SMALL(
      IF(員工資料!$I$2:$I$999=$A65,
         ROW(員工資料!$I$2:$I$999)-ROW(員工資料!$I$2)+1
      ),
      COUNTIF($A$2:$A65,$A65)
    )
  ),
"")</f>
        <v/>
      </c>
      <c r="C65" s="45" t="str">
        <f t="array" ref="C65">IFERROR(
  INDEX(員工資料!$D$2:$D$999,
    SMALL(
      IF(員工資料!$I$2:$I$999=$A65,
         ROW(員工資料!$I$2:$I$999)-ROW(員工資料!$I$2)+1
      ),
      COUNTIF($A$2:$A65,$A65)
    )
  ),
"")</f>
        <v/>
      </c>
      <c r="G65" s="59" t="str">
        <f>IFERROR(
  SMALL(員工資料!$L$2:$L$999, ROW(G64)),
"")</f>
        <v/>
      </c>
      <c r="H65" s="60" t="str">
        <f t="array" ref="H65">IFERROR(
  INDEX(員工資料!$C$2:$C$999,
    SMALL(
      IF(員工資料!$L$2:$L$999=$G65,
         ROW(員工資料!$L$2:$L$999)-ROW(員工資料!$L$2)+1
      ),
      COUNTIF($G$2:$G65,$G65)
    )
  ),
"")</f>
        <v/>
      </c>
      <c r="I65" s="59" t="str">
        <f t="array" ref="I65">IFERROR(
  INDEX(員工資料!$D$2:$D$999,
    SMALL(
      IF(員工資料!$L$2:$L$999=$G65,
         ROW(員工資料!$L$2:$L$999)-ROW(員工資料!$L$2)+1
      ),
      COUNTIF($G$2:$G65,$G65)
    )
  ),
"")</f>
        <v/>
      </c>
    </row>
    <row r="66" spans="1:9">
      <c r="A66" s="45" t="str">
        <f t="array" ref="A66">IFERROR(
  SMALL(員工資料!$I$2:$I$999, ROW(A65)),
"")</f>
        <v/>
      </c>
      <c r="B66" s="45" t="str">
        <f t="array" ref="B66">IFERROR(
  INDEX(員工資料!$C$2:$C$999,
    SMALL(
      IF(員工資料!$I$2:$I$999=$A66,
         ROW(員工資料!$I$2:$I$999)-ROW(員工資料!$I$2)+1
      ),
      COUNTIF($A$2:$A66,$A66)
    )
  ),
"")</f>
        <v/>
      </c>
      <c r="C66" s="45" t="str">
        <f t="array" ref="C66">IFERROR(
  INDEX(員工資料!$D$2:$D$999,
    SMALL(
      IF(員工資料!$I$2:$I$999=$A66,
         ROW(員工資料!$I$2:$I$999)-ROW(員工資料!$I$2)+1
      ),
      COUNTIF($A$2:$A66,$A66)
    )
  ),
"")</f>
        <v/>
      </c>
      <c r="G66" s="59" t="str">
        <f>IFERROR(
  SMALL(員工資料!$L$2:$L$999, ROW(G65)),
"")</f>
        <v/>
      </c>
      <c r="H66" s="60" t="str">
        <f t="array" ref="H66">IFERROR(
  INDEX(員工資料!$C$2:$C$999,
    SMALL(
      IF(員工資料!$L$2:$L$999=$G66,
         ROW(員工資料!$L$2:$L$999)-ROW(員工資料!$L$2)+1
      ),
      COUNTIF($G$2:$G66,$G66)
    )
  ),
"")</f>
        <v/>
      </c>
      <c r="I66" s="59" t="str">
        <f t="array" ref="I66">IFERROR(
  INDEX(員工資料!$D$2:$D$999,
    SMALL(
      IF(員工資料!$L$2:$L$999=$G66,
         ROW(員工資料!$L$2:$L$999)-ROW(員工資料!$L$2)+1
      ),
      COUNTIF($G$2:$G66,$G66)
    )
  ),
"")</f>
        <v/>
      </c>
    </row>
    <row r="67" spans="1:9">
      <c r="A67" s="45" t="str">
        <f t="array" ref="A67">IFERROR(
  SMALL(員工資料!$I$2:$I$999, ROW(A66)),
"")</f>
        <v/>
      </c>
      <c r="B67" s="45" t="str">
        <f t="array" ref="B67">IFERROR(
  INDEX(員工資料!$C$2:$C$999,
    SMALL(
      IF(員工資料!$I$2:$I$999=$A67,
         ROW(員工資料!$I$2:$I$999)-ROW(員工資料!$I$2)+1
      ),
      COUNTIF($A$2:$A67,$A67)
    )
  ),
"")</f>
        <v/>
      </c>
      <c r="C67" s="45" t="str">
        <f t="array" ref="C67">IFERROR(
  INDEX(員工資料!$D$2:$D$999,
    SMALL(
      IF(員工資料!$I$2:$I$999=$A67,
         ROW(員工資料!$I$2:$I$999)-ROW(員工資料!$I$2)+1
      ),
      COUNTIF($A$2:$A67,$A67)
    )
  ),
"")</f>
        <v/>
      </c>
      <c r="G67" s="59" t="str">
        <f>IFERROR(
  SMALL(員工資料!$L$2:$L$999, ROW(G66)),
"")</f>
        <v/>
      </c>
      <c r="H67" s="60" t="str">
        <f t="array" ref="H67">IFERROR(
  INDEX(員工資料!$C$2:$C$999,
    SMALL(
      IF(員工資料!$L$2:$L$999=$G67,
         ROW(員工資料!$L$2:$L$999)-ROW(員工資料!$L$2)+1
      ),
      COUNTIF($G$2:$G67,$G67)
    )
  ),
"")</f>
        <v/>
      </c>
      <c r="I67" s="59" t="str">
        <f t="array" ref="I67">IFERROR(
  INDEX(員工資料!$D$2:$D$999,
    SMALL(
      IF(員工資料!$L$2:$L$999=$G67,
         ROW(員工資料!$L$2:$L$999)-ROW(員工資料!$L$2)+1
      ),
      COUNTIF($G$2:$G67,$G67)
    )
  ),
"")</f>
        <v/>
      </c>
    </row>
    <row r="68" spans="1:9">
      <c r="A68" s="45" t="str">
        <f t="array" ref="A68">IFERROR(
  SMALL(員工資料!$I$2:$I$999, ROW(A67)),
"")</f>
        <v/>
      </c>
      <c r="B68" s="45" t="str">
        <f t="array" ref="B68">IFERROR(
  INDEX(員工資料!$C$2:$C$999,
    SMALL(
      IF(員工資料!$I$2:$I$999=$A68,
         ROW(員工資料!$I$2:$I$999)-ROW(員工資料!$I$2)+1
      ),
      COUNTIF($A$2:$A68,$A68)
    )
  ),
"")</f>
        <v/>
      </c>
      <c r="C68" s="45" t="str">
        <f t="array" ref="C68">IFERROR(
  INDEX(員工資料!$D$2:$D$999,
    SMALL(
      IF(員工資料!$I$2:$I$999=$A68,
         ROW(員工資料!$I$2:$I$999)-ROW(員工資料!$I$2)+1
      ),
      COUNTIF($A$2:$A68,$A68)
    )
  ),
"")</f>
        <v/>
      </c>
      <c r="G68" s="59" t="str">
        <f>IFERROR(
  SMALL(員工資料!$L$2:$L$999, ROW(G67)),
"")</f>
        <v/>
      </c>
      <c r="H68" s="60" t="str">
        <f t="array" ref="H68">IFERROR(
  INDEX(員工資料!$C$2:$C$999,
    SMALL(
      IF(員工資料!$L$2:$L$999=$G68,
         ROW(員工資料!$L$2:$L$999)-ROW(員工資料!$L$2)+1
      ),
      COUNTIF($G$2:$G68,$G68)
    )
  ),
"")</f>
        <v/>
      </c>
      <c r="I68" s="59" t="str">
        <f t="array" ref="I68">IFERROR(
  INDEX(員工資料!$D$2:$D$999,
    SMALL(
      IF(員工資料!$L$2:$L$999=$G68,
         ROW(員工資料!$L$2:$L$999)-ROW(員工資料!$L$2)+1
      ),
      COUNTIF($G$2:$G68,$G68)
    )
  ),
"")</f>
        <v/>
      </c>
    </row>
    <row r="69" spans="1:9">
      <c r="A69" s="45" t="str">
        <f t="array" ref="A69">IFERROR(
  SMALL(員工資料!$I$2:$I$999, ROW(A68)),
"")</f>
        <v/>
      </c>
      <c r="B69" s="45" t="str">
        <f t="array" ref="B69">IFERROR(
  INDEX(員工資料!$C$2:$C$999,
    SMALL(
      IF(員工資料!$I$2:$I$999=$A69,
         ROW(員工資料!$I$2:$I$999)-ROW(員工資料!$I$2)+1
      ),
      COUNTIF($A$2:$A69,$A69)
    )
  ),
"")</f>
        <v/>
      </c>
      <c r="C69" s="45" t="str">
        <f t="array" ref="C69">IFERROR(
  INDEX(員工資料!$D$2:$D$999,
    SMALL(
      IF(員工資料!$I$2:$I$999=$A69,
         ROW(員工資料!$I$2:$I$999)-ROW(員工資料!$I$2)+1
      ),
      COUNTIF($A$2:$A69,$A69)
    )
  ),
"")</f>
        <v/>
      </c>
      <c r="G69" s="59" t="str">
        <f>IFERROR(
  SMALL(員工資料!$L$2:$L$999, ROW(G68)),
"")</f>
        <v/>
      </c>
      <c r="H69" s="60" t="str">
        <f t="array" ref="H69">IFERROR(
  INDEX(員工資料!$C$2:$C$999,
    SMALL(
      IF(員工資料!$L$2:$L$999=$G69,
         ROW(員工資料!$L$2:$L$999)-ROW(員工資料!$L$2)+1
      ),
      COUNTIF($G$2:$G69,$G69)
    )
  ),
"")</f>
        <v/>
      </c>
      <c r="I69" s="59" t="str">
        <f t="array" ref="I69">IFERROR(
  INDEX(員工資料!$D$2:$D$999,
    SMALL(
      IF(員工資料!$L$2:$L$999=$G69,
         ROW(員工資料!$L$2:$L$999)-ROW(員工資料!$L$2)+1
      ),
      COUNTIF($G$2:$G69,$G69)
    )
  ),
"")</f>
        <v/>
      </c>
    </row>
    <row r="70" spans="1:9">
      <c r="A70" s="45" t="str">
        <f t="array" ref="A70">IFERROR(
  SMALL(員工資料!$I$2:$I$999, ROW(A69)),
"")</f>
        <v/>
      </c>
      <c r="B70" s="45" t="str">
        <f t="array" ref="B70">IFERROR(
  INDEX(員工資料!$C$2:$C$999,
    SMALL(
      IF(員工資料!$I$2:$I$999=$A70,
         ROW(員工資料!$I$2:$I$999)-ROW(員工資料!$I$2)+1
      ),
      COUNTIF($A$2:$A70,$A70)
    )
  ),
"")</f>
        <v/>
      </c>
      <c r="C70" s="45" t="str">
        <f t="array" ref="C70">IFERROR(
  INDEX(員工資料!$D$2:$D$999,
    SMALL(
      IF(員工資料!$I$2:$I$999=$A70,
         ROW(員工資料!$I$2:$I$999)-ROW(員工資料!$I$2)+1
      ),
      COUNTIF($A$2:$A70,$A70)
    )
  ),
"")</f>
        <v/>
      </c>
      <c r="G70" s="59" t="str">
        <f>IFERROR(
  SMALL(員工資料!$L$2:$L$999, ROW(G69)),
"")</f>
        <v/>
      </c>
      <c r="H70" s="60" t="str">
        <f t="array" ref="H70">IFERROR(
  INDEX(員工資料!$C$2:$C$999,
    SMALL(
      IF(員工資料!$L$2:$L$999=$G70,
         ROW(員工資料!$L$2:$L$999)-ROW(員工資料!$L$2)+1
      ),
      COUNTIF($G$2:$G70,$G70)
    )
  ),
"")</f>
        <v/>
      </c>
      <c r="I70" s="59" t="str">
        <f t="array" ref="I70">IFERROR(
  INDEX(員工資料!$D$2:$D$999,
    SMALL(
      IF(員工資料!$L$2:$L$999=$G70,
         ROW(員工資料!$L$2:$L$999)-ROW(員工資料!$L$2)+1
      ),
      COUNTIF($G$2:$G70,$G70)
    )
  ),
"")</f>
        <v/>
      </c>
    </row>
    <row r="71" spans="1:9">
      <c r="A71" s="45" t="str">
        <f t="array" ref="A71">IFERROR(
  SMALL(員工資料!$I$2:$I$999, ROW(A70)),
"")</f>
        <v/>
      </c>
      <c r="B71" s="45" t="str">
        <f t="array" ref="B71">IFERROR(
  INDEX(員工資料!$C$2:$C$999,
    SMALL(
      IF(員工資料!$I$2:$I$999=$A71,
         ROW(員工資料!$I$2:$I$999)-ROW(員工資料!$I$2)+1
      ),
      COUNTIF($A$2:$A71,$A71)
    )
  ),
"")</f>
        <v/>
      </c>
      <c r="C71" s="45" t="str">
        <f t="array" ref="C71">IFERROR(
  INDEX(員工資料!$D$2:$D$999,
    SMALL(
      IF(員工資料!$I$2:$I$999=$A71,
         ROW(員工資料!$I$2:$I$999)-ROW(員工資料!$I$2)+1
      ),
      COUNTIF($A$2:$A71,$A71)
    )
  ),
"")</f>
        <v/>
      </c>
      <c r="G71" s="59" t="str">
        <f>IFERROR(
  SMALL(員工資料!$L$2:$L$999, ROW(G70)),
"")</f>
        <v/>
      </c>
      <c r="H71" s="60" t="str">
        <f t="array" ref="H71">IFERROR(
  INDEX(員工資料!$C$2:$C$999,
    SMALL(
      IF(員工資料!$L$2:$L$999=$G71,
         ROW(員工資料!$L$2:$L$999)-ROW(員工資料!$L$2)+1
      ),
      COUNTIF($G$2:$G71,$G71)
    )
  ),
"")</f>
        <v/>
      </c>
      <c r="I71" s="59" t="str">
        <f t="array" ref="I71">IFERROR(
  INDEX(員工資料!$D$2:$D$999,
    SMALL(
      IF(員工資料!$L$2:$L$999=$G71,
         ROW(員工資料!$L$2:$L$999)-ROW(員工資料!$L$2)+1
      ),
      COUNTIF($G$2:$G71,$G71)
    )
  ),
"")</f>
        <v/>
      </c>
    </row>
    <row r="72" spans="1:9">
      <c r="A72" s="45" t="str">
        <f t="array" ref="A72">IFERROR(
  SMALL(員工資料!$I$2:$I$999, ROW(A71)),
"")</f>
        <v/>
      </c>
      <c r="B72" s="45" t="str">
        <f t="array" ref="B72">IFERROR(
  INDEX(員工資料!$C$2:$C$999,
    SMALL(
      IF(員工資料!$I$2:$I$999=$A72,
         ROW(員工資料!$I$2:$I$999)-ROW(員工資料!$I$2)+1
      ),
      COUNTIF($A$2:$A72,$A72)
    )
  ),
"")</f>
        <v/>
      </c>
      <c r="C72" s="45" t="str">
        <f t="array" ref="C72">IFERROR(
  INDEX(員工資料!$D$2:$D$999,
    SMALL(
      IF(員工資料!$I$2:$I$999=$A72,
         ROW(員工資料!$I$2:$I$999)-ROW(員工資料!$I$2)+1
      ),
      COUNTIF($A$2:$A72,$A72)
    )
  ),
"")</f>
        <v/>
      </c>
      <c r="G72" s="59" t="str">
        <f>IFERROR(
  SMALL(員工資料!$L$2:$L$999, ROW(G71)),
"")</f>
        <v/>
      </c>
      <c r="H72" s="60" t="str">
        <f t="array" ref="H72">IFERROR(
  INDEX(員工資料!$C$2:$C$999,
    SMALL(
      IF(員工資料!$L$2:$L$999=$G72,
         ROW(員工資料!$L$2:$L$999)-ROW(員工資料!$L$2)+1
      ),
      COUNTIF($G$2:$G72,$G72)
    )
  ),
"")</f>
        <v/>
      </c>
      <c r="I72" s="59" t="str">
        <f t="array" ref="I72">IFERROR(
  INDEX(員工資料!$D$2:$D$999,
    SMALL(
      IF(員工資料!$L$2:$L$999=$G72,
         ROW(員工資料!$L$2:$L$999)-ROW(員工資料!$L$2)+1
      ),
      COUNTIF($G$2:$G72,$G72)
    )
  ),
"")</f>
        <v/>
      </c>
    </row>
    <row r="73" spans="1:9">
      <c r="A73" s="45" t="str">
        <f t="array" ref="A73">IFERROR(
  SMALL(員工資料!$I$2:$I$999, ROW(A72)),
"")</f>
        <v/>
      </c>
      <c r="B73" s="45" t="str">
        <f t="array" ref="B73">IFERROR(
  INDEX(員工資料!$C$2:$C$999,
    SMALL(
      IF(員工資料!$I$2:$I$999=$A73,
         ROW(員工資料!$I$2:$I$999)-ROW(員工資料!$I$2)+1
      ),
      COUNTIF($A$2:$A73,$A73)
    )
  ),
"")</f>
        <v/>
      </c>
      <c r="C73" s="45" t="str">
        <f t="array" ref="C73">IFERROR(
  INDEX(員工資料!$D$2:$D$999,
    SMALL(
      IF(員工資料!$I$2:$I$999=$A73,
         ROW(員工資料!$I$2:$I$999)-ROW(員工資料!$I$2)+1
      ),
      COUNTIF($A$2:$A73,$A73)
    )
  ),
"")</f>
        <v/>
      </c>
      <c r="G73" s="59" t="str">
        <f>IFERROR(
  SMALL(員工資料!$L$2:$L$999, ROW(G72)),
"")</f>
        <v/>
      </c>
      <c r="H73" s="60" t="str">
        <f t="array" ref="H73">IFERROR(
  INDEX(員工資料!$C$2:$C$999,
    SMALL(
      IF(員工資料!$L$2:$L$999=$G73,
         ROW(員工資料!$L$2:$L$999)-ROW(員工資料!$L$2)+1
      ),
      COUNTIF($G$2:$G73,$G73)
    )
  ),
"")</f>
        <v/>
      </c>
      <c r="I73" s="59" t="str">
        <f t="array" ref="I73">IFERROR(
  INDEX(員工資料!$D$2:$D$999,
    SMALL(
      IF(員工資料!$L$2:$L$999=$G73,
         ROW(員工資料!$L$2:$L$999)-ROW(員工資料!$L$2)+1
      ),
      COUNTIF($G$2:$G73,$G73)
    )
  ),
"")</f>
        <v/>
      </c>
    </row>
    <row r="74" spans="1:9">
      <c r="A74" s="45" t="str">
        <f t="array" ref="A74">IFERROR(
  SMALL(員工資料!$I$2:$I$999, ROW(A73)),
"")</f>
        <v/>
      </c>
      <c r="B74" s="45" t="str">
        <f t="array" ref="B74">IFERROR(
  INDEX(員工資料!$C$2:$C$999,
    SMALL(
      IF(員工資料!$I$2:$I$999=$A74,
         ROW(員工資料!$I$2:$I$999)-ROW(員工資料!$I$2)+1
      ),
      COUNTIF($A$2:$A74,$A74)
    )
  ),
"")</f>
        <v/>
      </c>
      <c r="C74" s="45" t="str">
        <f t="array" ref="C74">IFERROR(
  INDEX(員工資料!$D$2:$D$999,
    SMALL(
      IF(員工資料!$I$2:$I$999=$A74,
         ROW(員工資料!$I$2:$I$999)-ROW(員工資料!$I$2)+1
      ),
      COUNTIF($A$2:$A74,$A74)
    )
  ),
"")</f>
        <v/>
      </c>
      <c r="G74" s="59" t="str">
        <f>IFERROR(
  SMALL(員工資料!$L$2:$L$999, ROW(G73)),
"")</f>
        <v/>
      </c>
      <c r="H74" s="60" t="str">
        <f t="array" ref="H74">IFERROR(
  INDEX(員工資料!$C$2:$C$999,
    SMALL(
      IF(員工資料!$L$2:$L$999=$G74,
         ROW(員工資料!$L$2:$L$999)-ROW(員工資料!$L$2)+1
      ),
      COUNTIF($G$2:$G74,$G74)
    )
  ),
"")</f>
        <v/>
      </c>
      <c r="I74" s="59" t="str">
        <f t="array" ref="I74">IFERROR(
  INDEX(員工資料!$D$2:$D$999,
    SMALL(
      IF(員工資料!$L$2:$L$999=$G74,
         ROW(員工資料!$L$2:$L$999)-ROW(員工資料!$L$2)+1
      ),
      COUNTIF($G$2:$G74,$G74)
    )
  ),
"")</f>
        <v/>
      </c>
    </row>
    <row r="75" spans="1:9">
      <c r="A75" s="45" t="str">
        <f t="array" ref="A75">IFERROR(
  SMALL(員工資料!$I$2:$I$999, ROW(A74)),
"")</f>
        <v/>
      </c>
      <c r="B75" s="45" t="str">
        <f t="array" ref="B75">IFERROR(
  INDEX(員工資料!$C$2:$C$999,
    SMALL(
      IF(員工資料!$I$2:$I$999=$A75,
         ROW(員工資料!$I$2:$I$999)-ROW(員工資料!$I$2)+1
      ),
      COUNTIF($A$2:$A75,$A75)
    )
  ),
"")</f>
        <v/>
      </c>
      <c r="C75" s="45" t="str">
        <f t="array" ref="C75">IFERROR(
  INDEX(員工資料!$D$2:$D$999,
    SMALL(
      IF(員工資料!$I$2:$I$999=$A75,
         ROW(員工資料!$I$2:$I$999)-ROW(員工資料!$I$2)+1
      ),
      COUNTIF($A$2:$A75,$A75)
    )
  ),
"")</f>
        <v/>
      </c>
      <c r="G75" s="59" t="str">
        <f>IFERROR(
  SMALL(員工資料!$L$2:$L$999, ROW(G74)),
"")</f>
        <v/>
      </c>
      <c r="H75" s="60" t="str">
        <f t="array" ref="H75">IFERROR(
  INDEX(員工資料!$C$2:$C$999,
    SMALL(
      IF(員工資料!$L$2:$L$999=$G75,
         ROW(員工資料!$L$2:$L$999)-ROW(員工資料!$L$2)+1
      ),
      COUNTIF($G$2:$G75,$G75)
    )
  ),
"")</f>
        <v/>
      </c>
      <c r="I75" s="59" t="str">
        <f t="array" ref="I75">IFERROR(
  INDEX(員工資料!$D$2:$D$999,
    SMALL(
      IF(員工資料!$L$2:$L$999=$G75,
         ROW(員工資料!$L$2:$L$999)-ROW(員工資料!$L$2)+1
      ),
      COUNTIF($G$2:$G75,$G75)
    )
  ),
"")</f>
        <v/>
      </c>
    </row>
    <row r="76" spans="1:9">
      <c r="A76" s="45" t="str">
        <f t="array" ref="A76">IFERROR(
  SMALL(員工資料!$I$2:$I$999, ROW(A75)),
"")</f>
        <v/>
      </c>
      <c r="B76" s="45" t="str">
        <f t="array" ref="B76">IFERROR(
  INDEX(員工資料!$C$2:$C$999,
    SMALL(
      IF(員工資料!$I$2:$I$999=$A76,
         ROW(員工資料!$I$2:$I$999)-ROW(員工資料!$I$2)+1
      ),
      COUNTIF($A$2:$A76,$A76)
    )
  ),
"")</f>
        <v/>
      </c>
      <c r="C76" s="45" t="str">
        <f t="array" ref="C76">IFERROR(
  INDEX(員工資料!$D$2:$D$999,
    SMALL(
      IF(員工資料!$I$2:$I$999=$A76,
         ROW(員工資料!$I$2:$I$999)-ROW(員工資料!$I$2)+1
      ),
      COUNTIF($A$2:$A76,$A76)
    )
  ),
"")</f>
        <v/>
      </c>
      <c r="G76" s="59" t="str">
        <f>IFERROR(
  SMALL(員工資料!$L$2:$L$999, ROW(G75)),
"")</f>
        <v/>
      </c>
      <c r="H76" s="60" t="str">
        <f t="array" ref="H76">IFERROR(
  INDEX(員工資料!$C$2:$C$999,
    SMALL(
      IF(員工資料!$L$2:$L$999=$G76,
         ROW(員工資料!$L$2:$L$999)-ROW(員工資料!$L$2)+1
      ),
      COUNTIF($G$2:$G76,$G76)
    )
  ),
"")</f>
        <v/>
      </c>
      <c r="I76" s="59" t="str">
        <f t="array" ref="I76">IFERROR(
  INDEX(員工資料!$D$2:$D$999,
    SMALL(
      IF(員工資料!$L$2:$L$999=$G76,
         ROW(員工資料!$L$2:$L$999)-ROW(員工資料!$L$2)+1
      ),
      COUNTIF($G$2:$G76,$G76)
    )
  ),
"")</f>
        <v/>
      </c>
    </row>
    <row r="77" spans="1:9">
      <c r="A77" s="45" t="str">
        <f t="array" ref="A77">IFERROR(
  SMALL(員工資料!$I$2:$I$999, ROW(A76)),
"")</f>
        <v/>
      </c>
      <c r="B77" s="45" t="str">
        <f t="array" ref="B77">IFERROR(
  INDEX(員工資料!$C$2:$C$999,
    SMALL(
      IF(員工資料!$I$2:$I$999=$A77,
         ROW(員工資料!$I$2:$I$999)-ROW(員工資料!$I$2)+1
      ),
      COUNTIF($A$2:$A77,$A77)
    )
  ),
"")</f>
        <v/>
      </c>
      <c r="C77" s="45" t="str">
        <f t="array" ref="C77">IFERROR(
  INDEX(員工資料!$D$2:$D$999,
    SMALL(
      IF(員工資料!$I$2:$I$999=$A77,
         ROW(員工資料!$I$2:$I$999)-ROW(員工資料!$I$2)+1
      ),
      COUNTIF($A$2:$A77,$A77)
    )
  ),
"")</f>
        <v/>
      </c>
      <c r="G77" s="59" t="str">
        <f>IFERROR(
  SMALL(員工資料!$L$2:$L$999, ROW(G76)),
"")</f>
        <v/>
      </c>
      <c r="H77" s="60" t="str">
        <f t="array" ref="H77">IFERROR(
  INDEX(員工資料!$C$2:$C$999,
    SMALL(
      IF(員工資料!$L$2:$L$999=$G77,
         ROW(員工資料!$L$2:$L$999)-ROW(員工資料!$L$2)+1
      ),
      COUNTIF($G$2:$G77,$G77)
    )
  ),
"")</f>
        <v/>
      </c>
      <c r="I77" s="59" t="str">
        <f t="array" ref="I77">IFERROR(
  INDEX(員工資料!$D$2:$D$999,
    SMALL(
      IF(員工資料!$L$2:$L$999=$G77,
         ROW(員工資料!$L$2:$L$999)-ROW(員工資料!$L$2)+1
      ),
      COUNTIF($G$2:$G77,$G77)
    )
  ),
"")</f>
        <v/>
      </c>
    </row>
    <row r="78" spans="1:9">
      <c r="A78" s="45" t="str">
        <f t="array" ref="A78">IFERROR(
  SMALL(員工資料!$I$2:$I$999, ROW(A77)),
"")</f>
        <v/>
      </c>
      <c r="B78" s="45" t="str">
        <f t="array" ref="B78">IFERROR(
  INDEX(員工資料!$C$2:$C$999,
    SMALL(
      IF(員工資料!$I$2:$I$999=$A78,
         ROW(員工資料!$I$2:$I$999)-ROW(員工資料!$I$2)+1
      ),
      COUNTIF($A$2:$A78,$A78)
    )
  ),
"")</f>
        <v/>
      </c>
      <c r="C78" s="45" t="str">
        <f t="array" ref="C78">IFERROR(
  INDEX(員工資料!$D$2:$D$999,
    SMALL(
      IF(員工資料!$I$2:$I$999=$A78,
         ROW(員工資料!$I$2:$I$999)-ROW(員工資料!$I$2)+1
      ),
      COUNTIF($A$2:$A78,$A78)
    )
  ),
"")</f>
        <v/>
      </c>
      <c r="G78" s="59" t="str">
        <f>IFERROR(
  SMALL(員工資料!$L$2:$L$999, ROW(G77)),
"")</f>
        <v/>
      </c>
      <c r="H78" s="60" t="str">
        <f t="array" ref="H78">IFERROR(
  INDEX(員工資料!$C$2:$C$999,
    SMALL(
      IF(員工資料!$L$2:$L$999=$G78,
         ROW(員工資料!$L$2:$L$999)-ROW(員工資料!$L$2)+1
      ),
      COUNTIF($G$2:$G78,$G78)
    )
  ),
"")</f>
        <v/>
      </c>
      <c r="I78" s="59" t="str">
        <f t="array" ref="I78">IFERROR(
  INDEX(員工資料!$D$2:$D$999,
    SMALL(
      IF(員工資料!$L$2:$L$999=$G78,
         ROW(員工資料!$L$2:$L$999)-ROW(員工資料!$L$2)+1
      ),
      COUNTIF($G$2:$G78,$G78)
    )
  ),
"")</f>
        <v/>
      </c>
    </row>
    <row r="79" spans="1:9">
      <c r="A79" s="45" t="str">
        <f t="array" ref="A79">IFERROR(
  SMALL(員工資料!$I$2:$I$999, ROW(A78)),
"")</f>
        <v/>
      </c>
      <c r="B79" s="45" t="str">
        <f t="array" ref="B79">IFERROR(
  INDEX(員工資料!$C$2:$C$999,
    SMALL(
      IF(員工資料!$I$2:$I$999=$A79,
         ROW(員工資料!$I$2:$I$999)-ROW(員工資料!$I$2)+1
      ),
      COUNTIF($A$2:$A79,$A79)
    )
  ),
"")</f>
        <v/>
      </c>
      <c r="C79" s="45" t="str">
        <f t="array" ref="C79">IFERROR(
  INDEX(員工資料!$D$2:$D$999,
    SMALL(
      IF(員工資料!$I$2:$I$999=$A79,
         ROW(員工資料!$I$2:$I$999)-ROW(員工資料!$I$2)+1
      ),
      COUNTIF($A$2:$A79,$A79)
    )
  ),
"")</f>
        <v/>
      </c>
      <c r="G79" s="59" t="str">
        <f>IFERROR(
  SMALL(員工資料!$L$2:$L$999, ROW(G78)),
"")</f>
        <v/>
      </c>
      <c r="H79" s="60" t="str">
        <f t="array" ref="H79">IFERROR(
  INDEX(員工資料!$C$2:$C$999,
    SMALL(
      IF(員工資料!$L$2:$L$999=$G79,
         ROW(員工資料!$L$2:$L$999)-ROW(員工資料!$L$2)+1
      ),
      COUNTIF($G$2:$G79,$G79)
    )
  ),
"")</f>
        <v/>
      </c>
      <c r="I79" s="59" t="str">
        <f t="array" ref="I79">IFERROR(
  INDEX(員工資料!$D$2:$D$999,
    SMALL(
      IF(員工資料!$L$2:$L$999=$G79,
         ROW(員工資料!$L$2:$L$999)-ROW(員工資料!$L$2)+1
      ),
      COUNTIF($G$2:$G79,$G79)
    )
  ),
"")</f>
        <v/>
      </c>
    </row>
    <row r="80" spans="1:9">
      <c r="A80" s="45" t="str">
        <f t="array" ref="A80">IFERROR(
  SMALL(員工資料!$I$2:$I$999, ROW(A79)),
"")</f>
        <v/>
      </c>
      <c r="B80" s="45" t="str">
        <f t="array" ref="B80">IFERROR(
  INDEX(員工資料!$C$2:$C$999,
    SMALL(
      IF(員工資料!$I$2:$I$999=$A80,
         ROW(員工資料!$I$2:$I$999)-ROW(員工資料!$I$2)+1
      ),
      COUNTIF($A$2:$A80,$A80)
    )
  ),
"")</f>
        <v/>
      </c>
      <c r="C80" s="45" t="str">
        <f t="array" ref="C80">IFERROR(
  INDEX(員工資料!$D$2:$D$999,
    SMALL(
      IF(員工資料!$I$2:$I$999=$A80,
         ROW(員工資料!$I$2:$I$999)-ROW(員工資料!$I$2)+1
      ),
      COUNTIF($A$2:$A80,$A80)
    )
  ),
"")</f>
        <v/>
      </c>
      <c r="G80" s="59" t="str">
        <f>IFERROR(
  SMALL(員工資料!$L$2:$L$999, ROW(G79)),
"")</f>
        <v/>
      </c>
      <c r="H80" s="60" t="str">
        <f t="array" ref="H80">IFERROR(
  INDEX(員工資料!$C$2:$C$999,
    SMALL(
      IF(員工資料!$L$2:$L$999=$G80,
         ROW(員工資料!$L$2:$L$999)-ROW(員工資料!$L$2)+1
      ),
      COUNTIF($G$2:$G80,$G80)
    )
  ),
"")</f>
        <v/>
      </c>
      <c r="I80" s="59" t="str">
        <f t="array" ref="I80">IFERROR(
  INDEX(員工資料!$D$2:$D$999,
    SMALL(
      IF(員工資料!$L$2:$L$999=$G80,
         ROW(員工資料!$L$2:$L$999)-ROW(員工資料!$L$2)+1
      ),
      COUNTIF($G$2:$G80,$G80)
    )
  ),
"")</f>
        <v/>
      </c>
    </row>
    <row r="81" spans="1:9">
      <c r="A81" s="45" t="str">
        <f t="array" ref="A81">IFERROR(
  SMALL(員工資料!$I$2:$I$999, ROW(A80)),
"")</f>
        <v/>
      </c>
      <c r="B81" s="45" t="str">
        <f t="array" ref="B81">IFERROR(
  INDEX(員工資料!$C$2:$C$999,
    SMALL(
      IF(員工資料!$I$2:$I$999=$A81,
         ROW(員工資料!$I$2:$I$999)-ROW(員工資料!$I$2)+1
      ),
      COUNTIF($A$2:$A81,$A81)
    )
  ),
"")</f>
        <v/>
      </c>
      <c r="C81" s="45" t="str">
        <f t="array" ref="C81">IFERROR(
  INDEX(員工資料!$D$2:$D$999,
    SMALL(
      IF(員工資料!$I$2:$I$999=$A81,
         ROW(員工資料!$I$2:$I$999)-ROW(員工資料!$I$2)+1
      ),
      COUNTIF($A$2:$A81,$A81)
    )
  ),
"")</f>
        <v/>
      </c>
      <c r="G81" s="59" t="str">
        <f>IFERROR(
  SMALL(員工資料!$L$2:$L$999, ROW(G80)),
"")</f>
        <v/>
      </c>
      <c r="H81" s="60" t="str">
        <f t="array" ref="H81">IFERROR(
  INDEX(員工資料!$C$2:$C$999,
    SMALL(
      IF(員工資料!$L$2:$L$999=$G81,
         ROW(員工資料!$L$2:$L$999)-ROW(員工資料!$L$2)+1
      ),
      COUNTIF($G$2:$G81,$G81)
    )
  ),
"")</f>
        <v/>
      </c>
      <c r="I81" s="59" t="str">
        <f t="array" ref="I81">IFERROR(
  INDEX(員工資料!$D$2:$D$999,
    SMALL(
      IF(員工資料!$L$2:$L$999=$G81,
         ROW(員工資料!$L$2:$L$999)-ROW(員工資料!$L$2)+1
      ),
      COUNTIF($G$2:$G81,$G81)
    )
  ),
"")</f>
        <v/>
      </c>
    </row>
    <row r="82" spans="1:9">
      <c r="A82" s="45" t="str">
        <f t="array" ref="A82">IFERROR(
  SMALL(員工資料!$I$2:$I$999, ROW(A81)),
"")</f>
        <v/>
      </c>
      <c r="B82" s="45" t="str">
        <f t="array" ref="B82">IFERROR(
  INDEX(員工資料!$C$2:$C$999,
    SMALL(
      IF(員工資料!$I$2:$I$999=$A82,
         ROW(員工資料!$I$2:$I$999)-ROW(員工資料!$I$2)+1
      ),
      COUNTIF($A$2:$A82,$A82)
    )
  ),
"")</f>
        <v/>
      </c>
      <c r="C82" s="45" t="str">
        <f t="array" ref="C82">IFERROR(
  INDEX(員工資料!$D$2:$D$999,
    SMALL(
      IF(員工資料!$I$2:$I$999=$A82,
         ROW(員工資料!$I$2:$I$999)-ROW(員工資料!$I$2)+1
      ),
      COUNTIF($A$2:$A82,$A82)
    )
  ),
"")</f>
        <v/>
      </c>
      <c r="G82" s="59" t="str">
        <f>IFERROR(
  SMALL(員工資料!$L$2:$L$999, ROW(G81)),
"")</f>
        <v/>
      </c>
      <c r="H82" s="60" t="str">
        <f t="array" ref="H82">IFERROR(
  INDEX(員工資料!$C$2:$C$999,
    SMALL(
      IF(員工資料!$L$2:$L$999=$G82,
         ROW(員工資料!$L$2:$L$999)-ROW(員工資料!$L$2)+1
      ),
      COUNTIF($G$2:$G82,$G82)
    )
  ),
"")</f>
        <v/>
      </c>
      <c r="I82" s="59" t="str">
        <f t="array" ref="I82">IFERROR(
  INDEX(員工資料!$D$2:$D$999,
    SMALL(
      IF(員工資料!$L$2:$L$999=$G82,
         ROW(員工資料!$L$2:$L$999)-ROW(員工資料!$L$2)+1
      ),
      COUNTIF($G$2:$G82,$G82)
    )
  ),
"")</f>
        <v/>
      </c>
    </row>
    <row r="83" spans="1:9">
      <c r="A83" s="45" t="str">
        <f t="array" ref="A83">IFERROR(
  SMALL(員工資料!$I$2:$I$999, ROW(A82)),
"")</f>
        <v/>
      </c>
      <c r="B83" s="45" t="str">
        <f t="array" ref="B83">IFERROR(
  INDEX(員工資料!$C$2:$C$999,
    SMALL(
      IF(員工資料!$I$2:$I$999=$A83,
         ROW(員工資料!$I$2:$I$999)-ROW(員工資料!$I$2)+1
      ),
      COUNTIF($A$2:$A83,$A83)
    )
  ),
"")</f>
        <v/>
      </c>
      <c r="C83" s="45" t="str">
        <f t="array" ref="C83">IFERROR(
  INDEX(員工資料!$D$2:$D$999,
    SMALL(
      IF(員工資料!$I$2:$I$999=$A83,
         ROW(員工資料!$I$2:$I$999)-ROW(員工資料!$I$2)+1
      ),
      COUNTIF($A$2:$A83,$A83)
    )
  ),
"")</f>
        <v/>
      </c>
      <c r="G83" s="59" t="str">
        <f>IFERROR(
  SMALL(員工資料!$L$2:$L$999, ROW(G82)),
"")</f>
        <v/>
      </c>
      <c r="H83" s="60" t="str">
        <f t="array" ref="H83">IFERROR(
  INDEX(員工資料!$C$2:$C$999,
    SMALL(
      IF(員工資料!$L$2:$L$999=$G83,
         ROW(員工資料!$L$2:$L$999)-ROW(員工資料!$L$2)+1
      ),
      COUNTIF($G$2:$G83,$G83)
    )
  ),
"")</f>
        <v/>
      </c>
      <c r="I83" s="59" t="str">
        <f t="array" ref="I83">IFERROR(
  INDEX(員工資料!$D$2:$D$999,
    SMALL(
      IF(員工資料!$L$2:$L$999=$G83,
         ROW(員工資料!$L$2:$L$999)-ROW(員工資料!$L$2)+1
      ),
      COUNTIF($G$2:$G83,$G83)
    )
  ),
"")</f>
        <v/>
      </c>
    </row>
    <row r="84" spans="1:9">
      <c r="A84" s="45" t="str">
        <f t="array" ref="A84">IFERROR(
  SMALL(員工資料!$I$2:$I$999, ROW(A83)),
"")</f>
        <v/>
      </c>
      <c r="B84" s="45" t="str">
        <f t="array" ref="B84">IFERROR(
  INDEX(員工資料!$C$2:$C$999,
    SMALL(
      IF(員工資料!$I$2:$I$999=$A84,
         ROW(員工資料!$I$2:$I$999)-ROW(員工資料!$I$2)+1
      ),
      COUNTIF($A$2:$A84,$A84)
    )
  ),
"")</f>
        <v/>
      </c>
      <c r="C84" s="45" t="str">
        <f t="array" ref="C84">IFERROR(
  INDEX(員工資料!$D$2:$D$999,
    SMALL(
      IF(員工資料!$I$2:$I$999=$A84,
         ROW(員工資料!$I$2:$I$999)-ROW(員工資料!$I$2)+1
      ),
      COUNTIF($A$2:$A84,$A84)
    )
  ),
"")</f>
        <v/>
      </c>
      <c r="G84" s="59" t="str">
        <f>IFERROR(
  SMALL(員工資料!$L$2:$L$999, ROW(G83)),
"")</f>
        <v/>
      </c>
      <c r="H84" s="60" t="str">
        <f t="array" ref="H84">IFERROR(
  INDEX(員工資料!$C$2:$C$999,
    SMALL(
      IF(員工資料!$L$2:$L$999=$G84,
         ROW(員工資料!$L$2:$L$999)-ROW(員工資料!$L$2)+1
      ),
      COUNTIF($G$2:$G84,$G84)
    )
  ),
"")</f>
        <v/>
      </c>
      <c r="I84" s="59" t="str">
        <f t="array" ref="I84">IFERROR(
  INDEX(員工資料!$D$2:$D$999,
    SMALL(
      IF(員工資料!$L$2:$L$999=$G84,
         ROW(員工資料!$L$2:$L$999)-ROW(員工資料!$L$2)+1
      ),
      COUNTIF($G$2:$G84,$G84)
    )
  ),
"")</f>
        <v/>
      </c>
    </row>
    <row r="85" spans="1:9">
      <c r="A85" s="45" t="str">
        <f t="array" ref="A85">IFERROR(
  SMALL(員工資料!$I$2:$I$999, ROW(A84)),
"")</f>
        <v/>
      </c>
      <c r="B85" s="45" t="str">
        <f t="array" ref="B85">IFERROR(
  INDEX(員工資料!$C$2:$C$999,
    SMALL(
      IF(員工資料!$I$2:$I$999=$A85,
         ROW(員工資料!$I$2:$I$999)-ROW(員工資料!$I$2)+1
      ),
      COUNTIF($A$2:$A85,$A85)
    )
  ),
"")</f>
        <v/>
      </c>
      <c r="C85" s="45" t="str">
        <f t="array" ref="C85">IFERROR(
  INDEX(員工資料!$D$2:$D$999,
    SMALL(
      IF(員工資料!$I$2:$I$999=$A85,
         ROW(員工資料!$I$2:$I$999)-ROW(員工資料!$I$2)+1
      ),
      COUNTIF($A$2:$A85,$A85)
    )
  ),
"")</f>
        <v/>
      </c>
      <c r="G85" s="59" t="str">
        <f>IFERROR(
  SMALL(員工資料!$L$2:$L$999, ROW(G84)),
"")</f>
        <v/>
      </c>
      <c r="H85" s="60" t="str">
        <f t="array" ref="H85">IFERROR(
  INDEX(員工資料!$C$2:$C$999,
    SMALL(
      IF(員工資料!$L$2:$L$999=$G85,
         ROW(員工資料!$L$2:$L$999)-ROW(員工資料!$L$2)+1
      ),
      COUNTIF($G$2:$G85,$G85)
    )
  ),
"")</f>
        <v/>
      </c>
      <c r="I85" s="59" t="str">
        <f t="array" ref="I85">IFERROR(
  INDEX(員工資料!$D$2:$D$999,
    SMALL(
      IF(員工資料!$L$2:$L$999=$G85,
         ROW(員工資料!$L$2:$L$999)-ROW(員工資料!$L$2)+1
      ),
      COUNTIF($G$2:$G85,$G85)
    )
  ),
"")</f>
        <v/>
      </c>
    </row>
    <row r="86" spans="1:9">
      <c r="A86" s="45" t="str">
        <f t="array" ref="A86">IFERROR(
  SMALL(員工資料!$I$2:$I$999, ROW(A85)),
"")</f>
        <v/>
      </c>
      <c r="B86" s="45" t="str">
        <f t="array" ref="B86">IFERROR(
  INDEX(員工資料!$C$2:$C$999,
    SMALL(
      IF(員工資料!$I$2:$I$999=$A86,
         ROW(員工資料!$I$2:$I$999)-ROW(員工資料!$I$2)+1
      ),
      COUNTIF($A$2:$A86,$A86)
    )
  ),
"")</f>
        <v/>
      </c>
      <c r="C86" s="45" t="str">
        <f t="array" ref="C86">IFERROR(
  INDEX(員工資料!$D$2:$D$999,
    SMALL(
      IF(員工資料!$I$2:$I$999=$A86,
         ROW(員工資料!$I$2:$I$999)-ROW(員工資料!$I$2)+1
      ),
      COUNTIF($A$2:$A86,$A86)
    )
  ),
"")</f>
        <v/>
      </c>
      <c r="G86" s="59" t="str">
        <f>IFERROR(
  SMALL(員工資料!$L$2:$L$999, ROW(G85)),
"")</f>
        <v/>
      </c>
      <c r="H86" s="60" t="str">
        <f t="array" ref="H86">IFERROR(
  INDEX(員工資料!$C$2:$C$999,
    SMALL(
      IF(員工資料!$L$2:$L$999=$G86,
         ROW(員工資料!$L$2:$L$999)-ROW(員工資料!$L$2)+1
      ),
      COUNTIF($G$2:$G86,$G86)
    )
  ),
"")</f>
        <v/>
      </c>
      <c r="I86" s="59" t="str">
        <f t="array" ref="I86">IFERROR(
  INDEX(員工資料!$D$2:$D$999,
    SMALL(
      IF(員工資料!$L$2:$L$999=$G86,
         ROW(員工資料!$L$2:$L$999)-ROW(員工資料!$L$2)+1
      ),
      COUNTIF($G$2:$G86,$G86)
    )
  ),
"")</f>
        <v/>
      </c>
    </row>
    <row r="87" spans="1:9">
      <c r="A87" s="45" t="str">
        <f t="array" ref="A87">IFERROR(
  SMALL(員工資料!$I$2:$I$999, ROW(A86)),
"")</f>
        <v/>
      </c>
      <c r="B87" s="45" t="str">
        <f t="array" ref="B87">IFERROR(
  INDEX(員工資料!$C$2:$C$999,
    SMALL(
      IF(員工資料!$I$2:$I$999=$A87,
         ROW(員工資料!$I$2:$I$999)-ROW(員工資料!$I$2)+1
      ),
      COUNTIF($A$2:$A87,$A87)
    )
  ),
"")</f>
        <v/>
      </c>
      <c r="C87" s="45" t="str">
        <f t="array" ref="C87">IFERROR(
  INDEX(員工資料!$D$2:$D$999,
    SMALL(
      IF(員工資料!$I$2:$I$999=$A87,
         ROW(員工資料!$I$2:$I$999)-ROW(員工資料!$I$2)+1
      ),
      COUNTIF($A$2:$A87,$A87)
    )
  ),
"")</f>
        <v/>
      </c>
      <c r="G87" s="59" t="str">
        <f>IFERROR(
  SMALL(員工資料!$L$2:$L$999, ROW(G86)),
"")</f>
        <v/>
      </c>
      <c r="H87" s="60" t="str">
        <f t="array" ref="H87">IFERROR(
  INDEX(員工資料!$C$2:$C$999,
    SMALL(
      IF(員工資料!$L$2:$L$999=$G87,
         ROW(員工資料!$L$2:$L$999)-ROW(員工資料!$L$2)+1
      ),
      COUNTIF($G$2:$G87,$G87)
    )
  ),
"")</f>
        <v/>
      </c>
      <c r="I87" s="59" t="str">
        <f t="array" ref="I87">IFERROR(
  INDEX(員工資料!$D$2:$D$999,
    SMALL(
      IF(員工資料!$L$2:$L$999=$G87,
         ROW(員工資料!$L$2:$L$999)-ROW(員工資料!$L$2)+1
      ),
      COUNTIF($G$2:$G87,$G87)
    )
  ),
"")</f>
        <v/>
      </c>
    </row>
    <row r="88" spans="1:9">
      <c r="A88" s="45" t="str">
        <f t="array" ref="A88">IFERROR(
  SMALL(員工資料!$I$2:$I$999, ROW(A87)),
"")</f>
        <v/>
      </c>
      <c r="B88" s="45" t="str">
        <f t="array" ref="B88">IFERROR(
  INDEX(員工資料!$C$2:$C$999,
    SMALL(
      IF(員工資料!$I$2:$I$999=$A88,
         ROW(員工資料!$I$2:$I$999)-ROW(員工資料!$I$2)+1
      ),
      COUNTIF($A$2:$A88,$A88)
    )
  ),
"")</f>
        <v/>
      </c>
      <c r="C88" s="45" t="str">
        <f t="array" ref="C88">IFERROR(
  INDEX(員工資料!$D$2:$D$999,
    SMALL(
      IF(員工資料!$I$2:$I$999=$A88,
         ROW(員工資料!$I$2:$I$999)-ROW(員工資料!$I$2)+1
      ),
      COUNTIF($A$2:$A88,$A88)
    )
  ),
"")</f>
        <v/>
      </c>
      <c r="G88" s="59" t="str">
        <f>IFERROR(
  SMALL(員工資料!$L$2:$L$999, ROW(G87)),
"")</f>
        <v/>
      </c>
      <c r="H88" s="60" t="str">
        <f t="array" ref="H88">IFERROR(
  INDEX(員工資料!$C$2:$C$999,
    SMALL(
      IF(員工資料!$L$2:$L$999=$G88,
         ROW(員工資料!$L$2:$L$999)-ROW(員工資料!$L$2)+1
      ),
      COUNTIF($G$2:$G88,$G88)
    )
  ),
"")</f>
        <v/>
      </c>
      <c r="I88" s="59" t="str">
        <f t="array" ref="I88">IFERROR(
  INDEX(員工資料!$D$2:$D$999,
    SMALL(
      IF(員工資料!$L$2:$L$999=$G88,
         ROW(員工資料!$L$2:$L$999)-ROW(員工資料!$L$2)+1
      ),
      COUNTIF($G$2:$G88,$G88)
    )
  ),
"")</f>
        <v/>
      </c>
    </row>
    <row r="89" spans="1:9">
      <c r="A89" s="45" t="str">
        <f t="array" ref="A89">IFERROR(
  SMALL(員工資料!$I$2:$I$999, ROW(A88)),
"")</f>
        <v/>
      </c>
      <c r="B89" s="45" t="str">
        <f t="array" ref="B89">IFERROR(
  INDEX(員工資料!$C$2:$C$999,
    SMALL(
      IF(員工資料!$I$2:$I$999=$A89,
         ROW(員工資料!$I$2:$I$999)-ROW(員工資料!$I$2)+1
      ),
      COUNTIF($A$2:$A89,$A89)
    )
  ),
"")</f>
        <v/>
      </c>
      <c r="C89" s="45" t="str">
        <f t="array" ref="C89">IFERROR(
  INDEX(員工資料!$D$2:$D$999,
    SMALL(
      IF(員工資料!$I$2:$I$999=$A89,
         ROW(員工資料!$I$2:$I$999)-ROW(員工資料!$I$2)+1
      ),
      COUNTIF($A$2:$A89,$A89)
    )
  ),
"")</f>
        <v/>
      </c>
      <c r="G89" s="59" t="str">
        <f>IFERROR(
  SMALL(員工資料!$L$2:$L$999, ROW(G88)),
"")</f>
        <v/>
      </c>
      <c r="H89" s="60" t="str">
        <f t="array" ref="H89">IFERROR(
  INDEX(員工資料!$C$2:$C$999,
    SMALL(
      IF(員工資料!$L$2:$L$999=$G89,
         ROW(員工資料!$L$2:$L$999)-ROW(員工資料!$L$2)+1
      ),
      COUNTIF($G$2:$G89,$G89)
    )
  ),
"")</f>
        <v/>
      </c>
      <c r="I89" s="59" t="str">
        <f t="array" ref="I89">IFERROR(
  INDEX(員工資料!$D$2:$D$999,
    SMALL(
      IF(員工資料!$L$2:$L$999=$G89,
         ROW(員工資料!$L$2:$L$999)-ROW(員工資料!$L$2)+1
      ),
      COUNTIF($G$2:$G89,$G89)
    )
  ),
"")</f>
        <v/>
      </c>
    </row>
    <row r="90" spans="1:9">
      <c r="A90" s="45" t="str">
        <f t="array" ref="A90">IFERROR(
  SMALL(員工資料!$I$2:$I$999, ROW(A89)),
"")</f>
        <v/>
      </c>
      <c r="B90" s="45" t="str">
        <f t="array" ref="B90">IFERROR(
  INDEX(員工資料!$C$2:$C$999,
    SMALL(
      IF(員工資料!$I$2:$I$999=$A90,
         ROW(員工資料!$I$2:$I$999)-ROW(員工資料!$I$2)+1
      ),
      COUNTIF($A$2:$A90,$A90)
    )
  ),
"")</f>
        <v/>
      </c>
      <c r="C90" s="45" t="str">
        <f t="array" ref="C90">IFERROR(
  INDEX(員工資料!$D$2:$D$999,
    SMALL(
      IF(員工資料!$I$2:$I$999=$A90,
         ROW(員工資料!$I$2:$I$999)-ROW(員工資料!$I$2)+1
      ),
      COUNTIF($A$2:$A90,$A90)
    )
  ),
"")</f>
        <v/>
      </c>
      <c r="G90" s="59" t="str">
        <f>IFERROR(
  SMALL(員工資料!$L$2:$L$999, ROW(G89)),
"")</f>
        <v/>
      </c>
      <c r="H90" s="60" t="str">
        <f t="array" ref="H90">IFERROR(
  INDEX(員工資料!$C$2:$C$999,
    SMALL(
      IF(員工資料!$L$2:$L$999=$G90,
         ROW(員工資料!$L$2:$L$999)-ROW(員工資料!$L$2)+1
      ),
      COUNTIF($G$2:$G90,$G90)
    )
  ),
"")</f>
        <v/>
      </c>
      <c r="I90" s="59" t="str">
        <f t="array" ref="I90">IFERROR(
  INDEX(員工資料!$D$2:$D$999,
    SMALL(
      IF(員工資料!$L$2:$L$999=$G90,
         ROW(員工資料!$L$2:$L$999)-ROW(員工資料!$L$2)+1
      ),
      COUNTIF($G$2:$G90,$G90)
    )
  ),
"")</f>
        <v/>
      </c>
    </row>
    <row r="91" spans="1:9">
      <c r="A91" s="45" t="str">
        <f t="array" ref="A91">IFERROR(
  SMALL(員工資料!$I$2:$I$999, ROW(A90)),
"")</f>
        <v/>
      </c>
      <c r="B91" s="45" t="str">
        <f t="array" ref="B91">IFERROR(
  INDEX(員工資料!$C$2:$C$999,
    SMALL(
      IF(員工資料!$I$2:$I$999=$A91,
         ROW(員工資料!$I$2:$I$999)-ROW(員工資料!$I$2)+1
      ),
      COUNTIF($A$2:$A91,$A91)
    )
  ),
"")</f>
        <v/>
      </c>
      <c r="C91" s="45" t="str">
        <f t="array" ref="C91">IFERROR(
  INDEX(員工資料!$D$2:$D$999,
    SMALL(
      IF(員工資料!$I$2:$I$999=$A91,
         ROW(員工資料!$I$2:$I$999)-ROW(員工資料!$I$2)+1
      ),
      COUNTIF($A$2:$A91,$A91)
    )
  ),
"")</f>
        <v/>
      </c>
      <c r="G91" s="59" t="str">
        <f>IFERROR(
  SMALL(員工資料!$L$2:$L$999, ROW(G90)),
"")</f>
        <v/>
      </c>
      <c r="H91" s="60" t="str">
        <f t="array" ref="H91">IFERROR(
  INDEX(員工資料!$C$2:$C$999,
    SMALL(
      IF(員工資料!$L$2:$L$999=$G91,
         ROW(員工資料!$L$2:$L$999)-ROW(員工資料!$L$2)+1
      ),
      COUNTIF($G$2:$G91,$G91)
    )
  ),
"")</f>
        <v/>
      </c>
      <c r="I91" s="59" t="str">
        <f t="array" ref="I91">IFERROR(
  INDEX(員工資料!$D$2:$D$999,
    SMALL(
      IF(員工資料!$L$2:$L$999=$G91,
         ROW(員工資料!$L$2:$L$999)-ROW(員工資料!$L$2)+1
      ),
      COUNTIF($G$2:$G91,$G91)
    )
  ),
"")</f>
        <v/>
      </c>
    </row>
    <row r="92" spans="1:9">
      <c r="A92" s="45" t="str">
        <f t="array" ref="A92">IFERROR(
  SMALL(員工資料!$I$2:$I$999, ROW(A91)),
"")</f>
        <v/>
      </c>
      <c r="B92" s="45" t="str">
        <f t="array" ref="B92">IFERROR(
  INDEX(員工資料!$C$2:$C$999,
    SMALL(
      IF(員工資料!$I$2:$I$999=$A92,
         ROW(員工資料!$I$2:$I$999)-ROW(員工資料!$I$2)+1
      ),
      COUNTIF($A$2:$A92,$A92)
    )
  ),
"")</f>
        <v/>
      </c>
      <c r="C92" s="45" t="str">
        <f t="array" ref="C92">IFERROR(
  INDEX(員工資料!$D$2:$D$999,
    SMALL(
      IF(員工資料!$I$2:$I$999=$A92,
         ROW(員工資料!$I$2:$I$999)-ROW(員工資料!$I$2)+1
      ),
      COUNTIF($A$2:$A92,$A92)
    )
  ),
"")</f>
        <v/>
      </c>
      <c r="G92" s="59" t="str">
        <f>IFERROR(
  SMALL(員工資料!$L$2:$L$999, ROW(G91)),
"")</f>
        <v/>
      </c>
      <c r="H92" s="60" t="str">
        <f t="array" ref="H92">IFERROR(
  INDEX(員工資料!$C$2:$C$999,
    SMALL(
      IF(員工資料!$L$2:$L$999=$G92,
         ROW(員工資料!$L$2:$L$999)-ROW(員工資料!$L$2)+1
      ),
      COUNTIF($G$2:$G92,$G92)
    )
  ),
"")</f>
        <v/>
      </c>
      <c r="I92" s="59" t="str">
        <f t="array" ref="I92">IFERROR(
  INDEX(員工資料!$D$2:$D$999,
    SMALL(
      IF(員工資料!$L$2:$L$999=$G92,
         ROW(員工資料!$L$2:$L$999)-ROW(員工資料!$L$2)+1
      ),
      COUNTIF($G$2:$G92,$G92)
    )
  ),
"")</f>
        <v/>
      </c>
    </row>
    <row r="93" spans="1:9">
      <c r="A93" s="45" t="str">
        <f t="array" ref="A93">IFERROR(
  SMALL(員工資料!$I$2:$I$999, ROW(A92)),
"")</f>
        <v/>
      </c>
      <c r="B93" s="45" t="str">
        <f t="array" ref="B93">IFERROR(
  INDEX(員工資料!$C$2:$C$999,
    SMALL(
      IF(員工資料!$I$2:$I$999=$A93,
         ROW(員工資料!$I$2:$I$999)-ROW(員工資料!$I$2)+1
      ),
      COUNTIF($A$2:$A93,$A93)
    )
  ),
"")</f>
        <v/>
      </c>
      <c r="C93" s="45" t="str">
        <f t="array" ref="C93">IFERROR(
  INDEX(員工資料!$D$2:$D$999,
    SMALL(
      IF(員工資料!$I$2:$I$999=$A93,
         ROW(員工資料!$I$2:$I$999)-ROW(員工資料!$I$2)+1
      ),
      COUNTIF($A$2:$A93,$A93)
    )
  ),
"")</f>
        <v/>
      </c>
      <c r="G93" s="59" t="str">
        <f>IFERROR(
  SMALL(員工資料!$L$2:$L$999, ROW(G92)),
"")</f>
        <v/>
      </c>
      <c r="H93" s="60" t="str">
        <f t="array" ref="H93">IFERROR(
  INDEX(員工資料!$C$2:$C$999,
    SMALL(
      IF(員工資料!$L$2:$L$999=$G93,
         ROW(員工資料!$L$2:$L$999)-ROW(員工資料!$L$2)+1
      ),
      COUNTIF($G$2:$G93,$G93)
    )
  ),
"")</f>
        <v/>
      </c>
      <c r="I93" s="59" t="str">
        <f t="array" ref="I93">IFERROR(
  INDEX(員工資料!$D$2:$D$999,
    SMALL(
      IF(員工資料!$L$2:$L$999=$G93,
         ROW(員工資料!$L$2:$L$999)-ROW(員工資料!$L$2)+1
      ),
      COUNTIF($G$2:$G93,$G93)
    )
  ),
"")</f>
        <v/>
      </c>
    </row>
    <row r="94" spans="1:9">
      <c r="A94" s="45" t="str">
        <f t="array" ref="A94">IFERROR(
  SMALL(員工資料!$I$2:$I$999, ROW(A93)),
"")</f>
        <v/>
      </c>
      <c r="B94" s="45" t="str">
        <f t="array" ref="B94">IFERROR(
  INDEX(員工資料!$C$2:$C$999,
    SMALL(
      IF(員工資料!$I$2:$I$999=$A94,
         ROW(員工資料!$I$2:$I$999)-ROW(員工資料!$I$2)+1
      ),
      COUNTIF($A$2:$A94,$A94)
    )
  ),
"")</f>
        <v/>
      </c>
      <c r="C94" s="45" t="str">
        <f t="array" ref="C94">IFERROR(
  INDEX(員工資料!$D$2:$D$999,
    SMALL(
      IF(員工資料!$I$2:$I$999=$A94,
         ROW(員工資料!$I$2:$I$999)-ROW(員工資料!$I$2)+1
      ),
      COUNTIF($A$2:$A94,$A94)
    )
  ),
"")</f>
        <v/>
      </c>
      <c r="G94" s="59" t="str">
        <f>IFERROR(
  SMALL(員工資料!$L$2:$L$999, ROW(G93)),
"")</f>
        <v/>
      </c>
      <c r="H94" s="60" t="str">
        <f t="array" ref="H94">IFERROR(
  INDEX(員工資料!$C$2:$C$999,
    SMALL(
      IF(員工資料!$L$2:$L$999=$G94,
         ROW(員工資料!$L$2:$L$999)-ROW(員工資料!$L$2)+1
      ),
      COUNTIF($G$2:$G94,$G94)
    )
  ),
"")</f>
        <v/>
      </c>
      <c r="I94" s="59" t="str">
        <f t="array" ref="I94">IFERROR(
  INDEX(員工資料!$D$2:$D$999,
    SMALL(
      IF(員工資料!$L$2:$L$999=$G94,
         ROW(員工資料!$L$2:$L$999)-ROW(員工資料!$L$2)+1
      ),
      COUNTIF($G$2:$G94,$G94)
    )
  ),
"")</f>
        <v/>
      </c>
    </row>
    <row r="95" spans="1:9">
      <c r="A95" s="45" t="str">
        <f t="array" ref="A95">IFERROR(
  SMALL(員工資料!$I$2:$I$999, ROW(A94)),
"")</f>
        <v/>
      </c>
      <c r="B95" s="45" t="str">
        <f t="array" ref="B95">IFERROR(
  INDEX(員工資料!$C$2:$C$999,
    SMALL(
      IF(員工資料!$I$2:$I$999=$A95,
         ROW(員工資料!$I$2:$I$999)-ROW(員工資料!$I$2)+1
      ),
      COUNTIF($A$2:$A95,$A95)
    )
  ),
"")</f>
        <v/>
      </c>
      <c r="C95" s="45" t="str">
        <f t="array" ref="C95">IFERROR(
  INDEX(員工資料!$D$2:$D$999,
    SMALL(
      IF(員工資料!$I$2:$I$999=$A95,
         ROW(員工資料!$I$2:$I$999)-ROW(員工資料!$I$2)+1
      ),
      COUNTIF($A$2:$A95,$A95)
    )
  ),
"")</f>
        <v/>
      </c>
      <c r="G95" s="59" t="str">
        <f>IFERROR(
  SMALL(員工資料!$L$2:$L$999, ROW(G94)),
"")</f>
        <v/>
      </c>
      <c r="H95" s="60" t="str">
        <f t="array" ref="H95">IFERROR(
  INDEX(員工資料!$C$2:$C$999,
    SMALL(
      IF(員工資料!$L$2:$L$999=$G95,
         ROW(員工資料!$L$2:$L$999)-ROW(員工資料!$L$2)+1
      ),
      COUNTIF($G$2:$G95,$G95)
    )
  ),
"")</f>
        <v/>
      </c>
      <c r="I95" s="59" t="str">
        <f t="array" ref="I95">IFERROR(
  INDEX(員工資料!$D$2:$D$999,
    SMALL(
      IF(員工資料!$L$2:$L$999=$G95,
         ROW(員工資料!$L$2:$L$999)-ROW(員工資料!$L$2)+1
      ),
      COUNTIF($G$2:$G95,$G95)
    )
  ),
"")</f>
        <v/>
      </c>
    </row>
    <row r="96" spans="1:9">
      <c r="A96" s="45" t="str">
        <f t="array" ref="A96">IFERROR(
  SMALL(員工資料!$I$2:$I$999, ROW(A95)),
"")</f>
        <v/>
      </c>
      <c r="B96" s="45" t="str">
        <f t="array" ref="B96">IFERROR(
  INDEX(員工資料!$C$2:$C$999,
    SMALL(
      IF(員工資料!$I$2:$I$999=$A96,
         ROW(員工資料!$I$2:$I$999)-ROW(員工資料!$I$2)+1
      ),
      COUNTIF($A$2:$A96,$A96)
    )
  ),
"")</f>
        <v/>
      </c>
      <c r="C96" s="45" t="str">
        <f t="array" ref="C96">IFERROR(
  INDEX(員工資料!$D$2:$D$999,
    SMALL(
      IF(員工資料!$I$2:$I$999=$A96,
         ROW(員工資料!$I$2:$I$999)-ROW(員工資料!$I$2)+1
      ),
      COUNTIF($A$2:$A96,$A96)
    )
  ),
"")</f>
        <v/>
      </c>
      <c r="G96" s="59" t="str">
        <f>IFERROR(
  SMALL(員工資料!$L$2:$L$999, ROW(G95)),
"")</f>
        <v/>
      </c>
      <c r="H96" s="60" t="str">
        <f t="array" ref="H96">IFERROR(
  INDEX(員工資料!$C$2:$C$999,
    SMALL(
      IF(員工資料!$L$2:$L$999=$G96,
         ROW(員工資料!$L$2:$L$999)-ROW(員工資料!$L$2)+1
      ),
      COUNTIF($G$2:$G96,$G96)
    )
  ),
"")</f>
        <v/>
      </c>
      <c r="I96" s="59" t="str">
        <f t="array" ref="I96">IFERROR(
  INDEX(員工資料!$D$2:$D$999,
    SMALL(
      IF(員工資料!$L$2:$L$999=$G96,
         ROW(員工資料!$L$2:$L$999)-ROW(員工資料!$L$2)+1
      ),
      COUNTIF($G$2:$G96,$G96)
    )
  ),
"")</f>
        <v/>
      </c>
    </row>
    <row r="97" spans="1:9">
      <c r="A97" s="45" t="str">
        <f t="array" ref="A97">IFERROR(
  SMALL(員工資料!$I$2:$I$999, ROW(A96)),
"")</f>
        <v/>
      </c>
      <c r="B97" s="45" t="str">
        <f t="array" ref="B97">IFERROR(
  INDEX(員工資料!$C$2:$C$999,
    SMALL(
      IF(員工資料!$I$2:$I$999=$A97,
         ROW(員工資料!$I$2:$I$999)-ROW(員工資料!$I$2)+1
      ),
      COUNTIF($A$2:$A97,$A97)
    )
  ),
"")</f>
        <v/>
      </c>
      <c r="C97" s="45" t="str">
        <f t="array" ref="C97">IFERROR(
  INDEX(員工資料!$D$2:$D$999,
    SMALL(
      IF(員工資料!$I$2:$I$999=$A97,
         ROW(員工資料!$I$2:$I$999)-ROW(員工資料!$I$2)+1
      ),
      COUNTIF($A$2:$A97,$A97)
    )
  ),
"")</f>
        <v/>
      </c>
      <c r="G97" s="59" t="str">
        <f>IFERROR(
  SMALL(員工資料!$L$2:$L$999, ROW(G96)),
"")</f>
        <v/>
      </c>
      <c r="H97" s="60" t="str">
        <f t="array" ref="H97">IFERROR(
  INDEX(員工資料!$C$2:$C$999,
    SMALL(
      IF(員工資料!$L$2:$L$999=$G97,
         ROW(員工資料!$L$2:$L$999)-ROW(員工資料!$L$2)+1
      ),
      COUNTIF($G$2:$G97,$G97)
    )
  ),
"")</f>
        <v/>
      </c>
      <c r="I97" s="59" t="str">
        <f t="array" ref="I97">IFERROR(
  INDEX(員工資料!$D$2:$D$999,
    SMALL(
      IF(員工資料!$L$2:$L$999=$G97,
         ROW(員工資料!$L$2:$L$999)-ROW(員工資料!$L$2)+1
      ),
      COUNTIF($G$2:$G97,$G97)
    )
  ),
"")</f>
        <v/>
      </c>
    </row>
    <row r="98" spans="1:9">
      <c r="A98" s="45" t="str">
        <f t="array" ref="A98">IFERROR(
  SMALL(員工資料!$I$2:$I$999, ROW(A97)),
"")</f>
        <v/>
      </c>
      <c r="B98" s="45" t="str">
        <f t="array" ref="B98">IFERROR(
  INDEX(員工資料!$C$2:$C$999,
    SMALL(
      IF(員工資料!$I$2:$I$999=$A98,
         ROW(員工資料!$I$2:$I$999)-ROW(員工資料!$I$2)+1
      ),
      COUNTIF($A$2:$A98,$A98)
    )
  ),
"")</f>
        <v/>
      </c>
      <c r="C98" s="45" t="str">
        <f t="array" ref="C98">IFERROR(
  INDEX(員工資料!$D$2:$D$999,
    SMALL(
      IF(員工資料!$I$2:$I$999=$A98,
         ROW(員工資料!$I$2:$I$999)-ROW(員工資料!$I$2)+1
      ),
      COUNTIF($A$2:$A98,$A98)
    )
  ),
"")</f>
        <v/>
      </c>
      <c r="G98" s="59" t="str">
        <f>IFERROR(
  SMALL(員工資料!$L$2:$L$999, ROW(G97)),
"")</f>
        <v/>
      </c>
      <c r="H98" s="60" t="str">
        <f t="array" ref="H98">IFERROR(
  INDEX(員工資料!$C$2:$C$999,
    SMALL(
      IF(員工資料!$L$2:$L$999=$G98,
         ROW(員工資料!$L$2:$L$999)-ROW(員工資料!$L$2)+1
      ),
      COUNTIF($G$2:$G98,$G98)
    )
  ),
"")</f>
        <v/>
      </c>
      <c r="I98" s="59" t="str">
        <f t="array" ref="I98">IFERROR(
  INDEX(員工資料!$D$2:$D$999,
    SMALL(
      IF(員工資料!$L$2:$L$999=$G98,
         ROW(員工資料!$L$2:$L$999)-ROW(員工資料!$L$2)+1
      ),
      COUNTIF($G$2:$G98,$G98)
    )
  ),
"")</f>
        <v/>
      </c>
    </row>
    <row r="99" spans="1:9">
      <c r="A99" s="45" t="str">
        <f t="array" ref="A99">IFERROR(
  SMALL(員工資料!$I$2:$I$999, ROW(A98)),
"")</f>
        <v/>
      </c>
      <c r="B99" s="45" t="str">
        <f t="array" ref="B99">IFERROR(
  INDEX(員工資料!$C$2:$C$999,
    SMALL(
      IF(員工資料!$I$2:$I$999=$A99,
         ROW(員工資料!$I$2:$I$999)-ROW(員工資料!$I$2)+1
      ),
      COUNTIF($A$2:$A99,$A99)
    )
  ),
"")</f>
        <v/>
      </c>
      <c r="C99" s="45" t="str">
        <f t="array" ref="C99">IFERROR(
  INDEX(員工資料!$D$2:$D$999,
    SMALL(
      IF(員工資料!$I$2:$I$999=$A99,
         ROW(員工資料!$I$2:$I$999)-ROW(員工資料!$I$2)+1
      ),
      COUNTIF($A$2:$A99,$A99)
    )
  ),
"")</f>
        <v/>
      </c>
      <c r="G99" s="59" t="str">
        <f>IFERROR(
  SMALL(員工資料!$L$2:$L$999, ROW(G98)),
"")</f>
        <v/>
      </c>
      <c r="H99" s="60" t="str">
        <f t="array" ref="H99">IFERROR(
  INDEX(員工資料!$C$2:$C$999,
    SMALL(
      IF(員工資料!$L$2:$L$999=$G99,
         ROW(員工資料!$L$2:$L$999)-ROW(員工資料!$L$2)+1
      ),
      COUNTIF($G$2:$G99,$G99)
    )
  ),
"")</f>
        <v/>
      </c>
      <c r="I99" s="59" t="str">
        <f t="array" ref="I99">IFERROR(
  INDEX(員工資料!$D$2:$D$999,
    SMALL(
      IF(員工資料!$L$2:$L$999=$G99,
         ROW(員工資料!$L$2:$L$999)-ROW(員工資料!$L$2)+1
      ),
      COUNTIF($G$2:$G99,$G99)
    )
  ),
"")</f>
        <v/>
      </c>
    </row>
    <row r="100" spans="1:9">
      <c r="A100" s="45" t="str">
        <f t="array" ref="A100">IFERROR(
  SMALL(員工資料!$I$2:$I$999, ROW(A99)),
"")</f>
        <v/>
      </c>
      <c r="B100" s="45" t="str">
        <f t="array" ref="B100">IFERROR(
  INDEX(員工資料!$C$2:$C$999,
    SMALL(
      IF(員工資料!$I$2:$I$999=$A100,
         ROW(員工資料!$I$2:$I$999)-ROW(員工資料!$I$2)+1
      ),
      COUNTIF($A$2:$A100,$A100)
    )
  ),
"")</f>
        <v/>
      </c>
      <c r="C100" s="45" t="str">
        <f t="array" ref="C100">IFERROR(
  INDEX(員工資料!$D$2:$D$999,
    SMALL(
      IF(員工資料!$I$2:$I$999=$A100,
         ROW(員工資料!$I$2:$I$999)-ROW(員工資料!$I$2)+1
      ),
      COUNTIF($A$2:$A100,$A100)
    )
  ),
"")</f>
        <v/>
      </c>
      <c r="G100" s="59" t="str">
        <f>IFERROR(
  SMALL(員工資料!$L$2:$L$999, ROW(G99)),
"")</f>
        <v/>
      </c>
      <c r="H100" s="60" t="str">
        <f t="array" ref="H100">IFERROR(
  INDEX(員工資料!$C$2:$C$999,
    SMALL(
      IF(員工資料!$L$2:$L$999=$G100,
         ROW(員工資料!$L$2:$L$999)-ROW(員工資料!$L$2)+1
      ),
      COUNTIF($G$2:$G100,$G100)
    )
  ),
"")</f>
        <v/>
      </c>
      <c r="I100" s="59" t="str">
        <f t="array" ref="I100">IFERROR(
  INDEX(員工資料!$D$2:$D$999,
    SMALL(
      IF(員工資料!$L$2:$L$999=$G100,
         ROW(員工資料!$L$2:$L$999)-ROW(員工資料!$L$2)+1
      ),
      COUNTIF($G$2:$G100,$G100)
    )
  ),
"")</f>
        <v/>
      </c>
    </row>
    <row r="101" spans="1:9">
      <c r="A101" s="45" t="str">
        <f t="array" ref="A101">IFERROR(
  SMALL(員工資料!$I$2:$I$999, ROW(A100)),
"")</f>
        <v/>
      </c>
      <c r="B101" s="45" t="str">
        <f t="array" ref="B101">IFERROR(
  INDEX(員工資料!$C$2:$C$999,
    SMALL(
      IF(員工資料!$I$2:$I$999=$A101,
         ROW(員工資料!$I$2:$I$999)-ROW(員工資料!$I$2)+1
      ),
      COUNTIF($A$2:$A101,$A101)
    )
  ),
"")</f>
        <v/>
      </c>
      <c r="C101" s="45" t="str">
        <f t="array" ref="C101">IFERROR(
  INDEX(員工資料!$D$2:$D$999,
    SMALL(
      IF(員工資料!$I$2:$I$999=$A101,
         ROW(員工資料!$I$2:$I$999)-ROW(員工資料!$I$2)+1
      ),
      COUNTIF($A$2:$A101,$A101)
    )
  ),
"")</f>
        <v/>
      </c>
      <c r="G101" s="59" t="str">
        <f>IFERROR(
  SMALL(員工資料!$L$2:$L$999, ROW(G100)),
"")</f>
        <v/>
      </c>
      <c r="H101" s="60" t="str">
        <f t="array" ref="H101">IFERROR(
  INDEX(員工資料!$C$2:$C$999,
    SMALL(
      IF(員工資料!$L$2:$L$999=$G101,
         ROW(員工資料!$L$2:$L$999)-ROW(員工資料!$L$2)+1
      ),
      COUNTIF($G$2:$G101,$G101)
    )
  ),
"")</f>
        <v/>
      </c>
      <c r="I101" s="59" t="str">
        <f t="array" ref="I101">IFERROR(
  INDEX(員工資料!$D$2:$D$999,
    SMALL(
      IF(員工資料!$L$2:$L$999=$G101,
         ROW(員工資料!$L$2:$L$999)-ROW(員工資料!$L$2)+1
      ),
      COUNTIF($G$2:$G101,$G101)
    )
  ),
"")</f>
        <v/>
      </c>
    </row>
    <row r="102" spans="1:9">
      <c r="A102" s="45" t="str">
        <f t="array" ref="A102">IFERROR(
  SMALL(員工資料!$I$2:$I$999, ROW(A101)),
"")</f>
        <v/>
      </c>
      <c r="B102" s="45" t="str">
        <f t="array" ref="B102">IFERROR(
  INDEX(員工資料!$C$2:$C$999,
    SMALL(
      IF(員工資料!$I$2:$I$999=$A102,
         ROW(員工資料!$I$2:$I$999)-ROW(員工資料!$I$2)+1
      ),
      COUNTIF($A$2:$A102,$A102)
    )
  ),
"")</f>
        <v/>
      </c>
      <c r="C102" s="45" t="str">
        <f t="array" ref="C102">IFERROR(
  INDEX(員工資料!$D$2:$D$999,
    SMALL(
      IF(員工資料!$I$2:$I$999=$A102,
         ROW(員工資料!$I$2:$I$999)-ROW(員工資料!$I$2)+1
      ),
      COUNTIF($A$2:$A102,$A102)
    )
  ),
"")</f>
        <v/>
      </c>
      <c r="G102" s="59" t="str">
        <f>IFERROR(
  SMALL(員工資料!$L$2:$L$999, ROW(G101)),
"")</f>
        <v/>
      </c>
      <c r="H102" s="60" t="str">
        <f t="array" ref="H102">IFERROR(
  INDEX(員工資料!$C$2:$C$999,
    SMALL(
      IF(員工資料!$L$2:$L$999=$G102,
         ROW(員工資料!$L$2:$L$999)-ROW(員工資料!$L$2)+1
      ),
      COUNTIF($G$2:$G102,$G102)
    )
  ),
"")</f>
        <v/>
      </c>
      <c r="I102" s="59" t="str">
        <f t="array" ref="I102">IFERROR(
  INDEX(員工資料!$D$2:$D$999,
    SMALL(
      IF(員工資料!$L$2:$L$999=$G102,
         ROW(員工資料!$L$2:$L$999)-ROW(員工資料!$L$2)+1
      ),
      COUNTIF($G$2:$G102,$G102)
    )
  ),
"")</f>
        <v/>
      </c>
    </row>
    <row r="103" spans="1:9">
      <c r="A103" s="45" t="str">
        <f t="array" ref="A103">IFERROR(
  SMALL(員工資料!$I$2:$I$999, ROW(A102)),
"")</f>
        <v/>
      </c>
      <c r="B103" s="45" t="str">
        <f t="array" ref="B103">IFERROR(
  INDEX(員工資料!$C$2:$C$999,
    SMALL(
      IF(員工資料!$I$2:$I$999=$A103,
         ROW(員工資料!$I$2:$I$999)-ROW(員工資料!$I$2)+1
      ),
      COUNTIF($A$2:$A103,$A103)
    )
  ),
"")</f>
        <v/>
      </c>
      <c r="C103" s="45" t="str">
        <f t="array" ref="C103">IFERROR(
  INDEX(員工資料!$D$2:$D$999,
    SMALL(
      IF(員工資料!$I$2:$I$999=$A103,
         ROW(員工資料!$I$2:$I$999)-ROW(員工資料!$I$2)+1
      ),
      COUNTIF($A$2:$A103,$A103)
    )
  ),
"")</f>
        <v/>
      </c>
      <c r="G103" s="59" t="str">
        <f>IFERROR(
  SMALL(員工資料!$L$2:$L$999, ROW(G102)),
"")</f>
        <v/>
      </c>
      <c r="H103" s="60" t="str">
        <f t="array" ref="H103">IFERROR(
  INDEX(員工資料!$C$2:$C$999,
    SMALL(
      IF(員工資料!$L$2:$L$999=$G103,
         ROW(員工資料!$L$2:$L$999)-ROW(員工資料!$L$2)+1
      ),
      COUNTIF($G$2:$G103,$G103)
    )
  ),
"")</f>
        <v/>
      </c>
      <c r="I103" s="59" t="str">
        <f t="array" ref="I103">IFERROR(
  INDEX(員工資料!$D$2:$D$999,
    SMALL(
      IF(員工資料!$L$2:$L$999=$G103,
         ROW(員工資料!$L$2:$L$999)-ROW(員工資料!$L$2)+1
      ),
      COUNTIF($G$2:$G103,$G103)
    )
  ),
"")</f>
        <v/>
      </c>
    </row>
    <row r="104" spans="1:9">
      <c r="A104" s="45" t="str">
        <f t="array" ref="A104">IFERROR(
  SMALL(員工資料!$I$2:$I$999, ROW(A103)),
"")</f>
        <v/>
      </c>
      <c r="B104" s="45" t="str">
        <f t="array" ref="B104">IFERROR(
  INDEX(員工資料!$C$2:$C$999,
    SMALL(
      IF(員工資料!$I$2:$I$999=$A104,
         ROW(員工資料!$I$2:$I$999)-ROW(員工資料!$I$2)+1
      ),
      COUNTIF($A$2:$A104,$A104)
    )
  ),
"")</f>
        <v/>
      </c>
      <c r="C104" s="45" t="str">
        <f t="array" ref="C104">IFERROR(
  INDEX(員工資料!$D$2:$D$999,
    SMALL(
      IF(員工資料!$I$2:$I$999=$A104,
         ROW(員工資料!$I$2:$I$999)-ROW(員工資料!$I$2)+1
      ),
      COUNTIF($A$2:$A104,$A104)
    )
  ),
"")</f>
        <v/>
      </c>
      <c r="G104" s="59" t="str">
        <f>IFERROR(
  SMALL(員工資料!$L$2:$L$999, ROW(G103)),
"")</f>
        <v/>
      </c>
      <c r="H104" s="60" t="str">
        <f t="array" ref="H104">IFERROR(
  INDEX(員工資料!$C$2:$C$999,
    SMALL(
      IF(員工資料!$L$2:$L$999=$G104,
         ROW(員工資料!$L$2:$L$999)-ROW(員工資料!$L$2)+1
      ),
      COUNTIF($G$2:$G104,$G104)
    )
  ),
"")</f>
        <v/>
      </c>
      <c r="I104" s="59" t="str">
        <f t="array" ref="I104">IFERROR(
  INDEX(員工資料!$D$2:$D$999,
    SMALL(
      IF(員工資料!$L$2:$L$999=$G104,
         ROW(員工資料!$L$2:$L$999)-ROW(員工資料!$L$2)+1
      ),
      COUNTIF($G$2:$G104,$G104)
    )
  ),
"")</f>
        <v/>
      </c>
    </row>
    <row r="105" spans="1:9">
      <c r="A105" s="45" t="str">
        <f t="array" ref="A105">IFERROR(
  SMALL(員工資料!$I$2:$I$999, ROW(A104)),
"")</f>
        <v/>
      </c>
      <c r="B105" s="45" t="str">
        <f t="array" ref="B105">IFERROR(
  INDEX(員工資料!$C$2:$C$999,
    SMALL(
      IF(員工資料!$I$2:$I$999=$A105,
         ROW(員工資料!$I$2:$I$999)-ROW(員工資料!$I$2)+1
      ),
      COUNTIF($A$2:$A105,$A105)
    )
  ),
"")</f>
        <v/>
      </c>
      <c r="C105" s="45" t="str">
        <f t="array" ref="C105">IFERROR(
  INDEX(員工資料!$D$2:$D$999,
    SMALL(
      IF(員工資料!$I$2:$I$999=$A105,
         ROW(員工資料!$I$2:$I$999)-ROW(員工資料!$I$2)+1
      ),
      COUNTIF($A$2:$A105,$A105)
    )
  ),
"")</f>
        <v/>
      </c>
      <c r="G105" s="59" t="str">
        <f>IFERROR(
  SMALL(員工資料!$L$2:$L$999, ROW(G104)),
"")</f>
        <v/>
      </c>
      <c r="H105" s="60" t="str">
        <f t="array" ref="H105">IFERROR(
  INDEX(員工資料!$C$2:$C$999,
    SMALL(
      IF(員工資料!$L$2:$L$999=$G105,
         ROW(員工資料!$L$2:$L$999)-ROW(員工資料!$L$2)+1
      ),
      COUNTIF($G$2:$G105,$G105)
    )
  ),
"")</f>
        <v/>
      </c>
      <c r="I105" s="59" t="str">
        <f t="array" ref="I105">IFERROR(
  INDEX(員工資料!$D$2:$D$999,
    SMALL(
      IF(員工資料!$L$2:$L$999=$G105,
         ROW(員工資料!$L$2:$L$999)-ROW(員工資料!$L$2)+1
      ),
      COUNTIF($G$2:$G105,$G105)
    )
  ),
"")</f>
        <v/>
      </c>
    </row>
    <row r="106" spans="1:9">
      <c r="A106" s="45" t="str">
        <f t="array" ref="A106">IFERROR(
  SMALL(員工資料!$I$2:$I$999, ROW(A105)),
"")</f>
        <v/>
      </c>
      <c r="B106" s="45" t="str">
        <f t="array" ref="B106">IFERROR(
  INDEX(員工資料!$C$2:$C$999,
    SMALL(
      IF(員工資料!$I$2:$I$999=$A106,
         ROW(員工資料!$I$2:$I$999)-ROW(員工資料!$I$2)+1
      ),
      COUNTIF($A$2:$A106,$A106)
    )
  ),
"")</f>
        <v/>
      </c>
      <c r="C106" s="45" t="str">
        <f t="array" ref="C106">IFERROR(
  INDEX(員工資料!$D$2:$D$999,
    SMALL(
      IF(員工資料!$I$2:$I$999=$A106,
         ROW(員工資料!$I$2:$I$999)-ROW(員工資料!$I$2)+1
      ),
      COUNTIF($A$2:$A106,$A106)
    )
  ),
"")</f>
        <v/>
      </c>
      <c r="G106" s="59" t="str">
        <f>IFERROR(
  SMALL(員工資料!$L$2:$L$999, ROW(G105)),
"")</f>
        <v/>
      </c>
      <c r="H106" s="60" t="str">
        <f t="array" ref="H106">IFERROR(
  INDEX(員工資料!$C$2:$C$999,
    SMALL(
      IF(員工資料!$L$2:$L$999=$G106,
         ROW(員工資料!$L$2:$L$999)-ROW(員工資料!$L$2)+1
      ),
      COUNTIF($G$2:$G106,$G106)
    )
  ),
"")</f>
        <v/>
      </c>
      <c r="I106" s="59" t="str">
        <f t="array" ref="I106">IFERROR(
  INDEX(員工資料!$D$2:$D$999,
    SMALL(
      IF(員工資料!$L$2:$L$999=$G106,
         ROW(員工資料!$L$2:$L$999)-ROW(員工資料!$L$2)+1
      ),
      COUNTIF($G$2:$G106,$G106)
    )
  ),
"")</f>
        <v/>
      </c>
    </row>
    <row r="107" spans="1:9">
      <c r="A107" s="45" t="str">
        <f t="array" ref="A107">IFERROR(
  SMALL(員工資料!$I$2:$I$999, ROW(A106)),
"")</f>
        <v/>
      </c>
      <c r="B107" s="45" t="str">
        <f t="array" ref="B107">IFERROR(
  INDEX(員工資料!$C$2:$C$999,
    SMALL(
      IF(員工資料!$I$2:$I$999=$A107,
         ROW(員工資料!$I$2:$I$999)-ROW(員工資料!$I$2)+1
      ),
      COUNTIF($A$2:$A107,$A107)
    )
  ),
"")</f>
        <v/>
      </c>
      <c r="C107" s="45" t="str">
        <f t="array" ref="C107">IFERROR(
  INDEX(員工資料!$D$2:$D$999,
    SMALL(
      IF(員工資料!$I$2:$I$999=$A107,
         ROW(員工資料!$I$2:$I$999)-ROW(員工資料!$I$2)+1
      ),
      COUNTIF($A$2:$A107,$A107)
    )
  ),
"")</f>
        <v/>
      </c>
      <c r="G107" s="59" t="str">
        <f>IFERROR(
  SMALL(員工資料!$L$2:$L$999, ROW(G106)),
"")</f>
        <v/>
      </c>
      <c r="H107" s="60" t="str">
        <f t="array" ref="H107">IFERROR(
  INDEX(員工資料!$C$2:$C$999,
    SMALL(
      IF(員工資料!$L$2:$L$999=$G107,
         ROW(員工資料!$L$2:$L$999)-ROW(員工資料!$L$2)+1
      ),
      COUNTIF($G$2:$G107,$G107)
    )
  ),
"")</f>
        <v/>
      </c>
      <c r="I107" s="59" t="str">
        <f t="array" ref="I107">IFERROR(
  INDEX(員工資料!$D$2:$D$999,
    SMALL(
      IF(員工資料!$L$2:$L$999=$G107,
         ROW(員工資料!$L$2:$L$999)-ROW(員工資料!$L$2)+1
      ),
      COUNTIF($G$2:$G107,$G107)
    )
  ),
"")</f>
        <v/>
      </c>
    </row>
    <row r="108" spans="1:9">
      <c r="A108" s="45" t="str">
        <f t="array" ref="A108">IFERROR(
  SMALL(員工資料!$I$2:$I$999, ROW(A107)),
"")</f>
        <v/>
      </c>
      <c r="B108" s="45" t="str">
        <f t="array" ref="B108">IFERROR(
  INDEX(員工資料!$C$2:$C$999,
    SMALL(
      IF(員工資料!$I$2:$I$999=$A108,
         ROW(員工資料!$I$2:$I$999)-ROW(員工資料!$I$2)+1
      ),
      COUNTIF($A$2:$A108,$A108)
    )
  ),
"")</f>
        <v/>
      </c>
      <c r="C108" s="45" t="str">
        <f t="array" ref="C108">IFERROR(
  INDEX(員工資料!$D$2:$D$999,
    SMALL(
      IF(員工資料!$I$2:$I$999=$A108,
         ROW(員工資料!$I$2:$I$999)-ROW(員工資料!$I$2)+1
      ),
      COUNTIF($A$2:$A108,$A108)
    )
  ),
"")</f>
        <v/>
      </c>
      <c r="G108" s="59" t="str">
        <f>IFERROR(
  SMALL(員工資料!$L$2:$L$999, ROW(G107)),
"")</f>
        <v/>
      </c>
      <c r="H108" s="60" t="str">
        <f t="array" ref="H108">IFERROR(
  INDEX(員工資料!$C$2:$C$999,
    SMALL(
      IF(員工資料!$L$2:$L$999=$G108,
         ROW(員工資料!$L$2:$L$999)-ROW(員工資料!$L$2)+1
      ),
      COUNTIF($G$2:$G108,$G108)
    )
  ),
"")</f>
        <v/>
      </c>
      <c r="I108" s="59" t="str">
        <f t="array" ref="I108">IFERROR(
  INDEX(員工資料!$D$2:$D$999,
    SMALL(
      IF(員工資料!$L$2:$L$999=$G108,
         ROW(員工資料!$L$2:$L$999)-ROW(員工資料!$L$2)+1
      ),
      COUNTIF($G$2:$G108,$G108)
    )
  ),
"")</f>
        <v/>
      </c>
    </row>
    <row r="109" spans="1:9">
      <c r="A109" s="45" t="str">
        <f t="array" ref="A109">IFERROR(
  SMALL(員工資料!$I$2:$I$999, ROW(A108)),
"")</f>
        <v/>
      </c>
      <c r="B109" s="45" t="str">
        <f t="array" ref="B109">IFERROR(
  INDEX(員工資料!$C$2:$C$999,
    SMALL(
      IF(員工資料!$I$2:$I$999=$A109,
         ROW(員工資料!$I$2:$I$999)-ROW(員工資料!$I$2)+1
      ),
      COUNTIF($A$2:$A109,$A109)
    )
  ),
"")</f>
        <v/>
      </c>
      <c r="C109" s="45" t="str">
        <f t="array" ref="C109">IFERROR(
  INDEX(員工資料!$D$2:$D$999,
    SMALL(
      IF(員工資料!$I$2:$I$999=$A109,
         ROW(員工資料!$I$2:$I$999)-ROW(員工資料!$I$2)+1
      ),
      COUNTIF($A$2:$A109,$A109)
    )
  ),
"")</f>
        <v/>
      </c>
      <c r="G109" s="59" t="str">
        <f>IFERROR(
  SMALL(員工資料!$L$2:$L$999, ROW(G108)),
"")</f>
        <v/>
      </c>
      <c r="H109" s="60" t="str">
        <f t="array" ref="H109">IFERROR(
  INDEX(員工資料!$C$2:$C$999,
    SMALL(
      IF(員工資料!$L$2:$L$999=$G109,
         ROW(員工資料!$L$2:$L$999)-ROW(員工資料!$L$2)+1
      ),
      COUNTIF($G$2:$G109,$G109)
    )
  ),
"")</f>
        <v/>
      </c>
      <c r="I109" s="59" t="str">
        <f t="array" ref="I109">IFERROR(
  INDEX(員工資料!$D$2:$D$999,
    SMALL(
      IF(員工資料!$L$2:$L$999=$G109,
         ROW(員工資料!$L$2:$L$999)-ROW(員工資料!$L$2)+1
      ),
      COUNTIF($G$2:$G109,$G109)
    )
  ),
"")</f>
        <v/>
      </c>
    </row>
    <row r="110" spans="1:9">
      <c r="A110" s="45" t="str">
        <f t="array" ref="A110">IFERROR(
  SMALL(員工資料!$I$2:$I$999, ROW(A109)),
"")</f>
        <v/>
      </c>
      <c r="B110" s="45" t="str">
        <f t="array" ref="B110">IFERROR(
  INDEX(員工資料!$C$2:$C$999,
    SMALL(
      IF(員工資料!$I$2:$I$999=$A110,
         ROW(員工資料!$I$2:$I$999)-ROW(員工資料!$I$2)+1
      ),
      COUNTIF($A$2:$A110,$A110)
    )
  ),
"")</f>
        <v/>
      </c>
      <c r="C110" s="45" t="str">
        <f t="array" ref="C110">IFERROR(
  INDEX(員工資料!$D$2:$D$999,
    SMALL(
      IF(員工資料!$I$2:$I$999=$A110,
         ROW(員工資料!$I$2:$I$999)-ROW(員工資料!$I$2)+1
      ),
      COUNTIF($A$2:$A110,$A110)
    )
  ),
"")</f>
        <v/>
      </c>
      <c r="G110" s="59" t="str">
        <f>IFERROR(
  SMALL(員工資料!$L$2:$L$999, ROW(G109)),
"")</f>
        <v/>
      </c>
      <c r="H110" s="60" t="str">
        <f t="array" ref="H110">IFERROR(
  INDEX(員工資料!$C$2:$C$999,
    SMALL(
      IF(員工資料!$L$2:$L$999=$G110,
         ROW(員工資料!$L$2:$L$999)-ROW(員工資料!$L$2)+1
      ),
      COUNTIF($G$2:$G110,$G110)
    )
  ),
"")</f>
        <v/>
      </c>
      <c r="I110" s="59" t="str">
        <f t="array" ref="I110">IFERROR(
  INDEX(員工資料!$D$2:$D$999,
    SMALL(
      IF(員工資料!$L$2:$L$999=$G110,
         ROW(員工資料!$L$2:$L$999)-ROW(員工資料!$L$2)+1
      ),
      COUNTIF($G$2:$G110,$G110)
    )
  ),
"")</f>
        <v/>
      </c>
    </row>
    <row r="111" spans="1:9">
      <c r="A111" s="45" t="str">
        <f t="array" ref="A111">IFERROR(
  SMALL(員工資料!$I$2:$I$999, ROW(A110)),
"")</f>
        <v/>
      </c>
      <c r="B111" s="45" t="str">
        <f t="array" ref="B111">IFERROR(
  INDEX(員工資料!$C$2:$C$999,
    SMALL(
      IF(員工資料!$I$2:$I$999=$A111,
         ROW(員工資料!$I$2:$I$999)-ROW(員工資料!$I$2)+1
      ),
      COUNTIF($A$2:$A111,$A111)
    )
  ),
"")</f>
        <v/>
      </c>
      <c r="C111" s="45" t="str">
        <f t="array" ref="C111">IFERROR(
  INDEX(員工資料!$D$2:$D$999,
    SMALL(
      IF(員工資料!$I$2:$I$999=$A111,
         ROW(員工資料!$I$2:$I$999)-ROW(員工資料!$I$2)+1
      ),
      COUNTIF($A$2:$A111,$A111)
    )
  ),
"")</f>
        <v/>
      </c>
      <c r="G111" s="59" t="str">
        <f>IFERROR(
  SMALL(員工資料!$L$2:$L$999, ROW(G110)),
"")</f>
        <v/>
      </c>
      <c r="H111" s="60" t="str">
        <f t="array" ref="H111">IFERROR(
  INDEX(員工資料!$C$2:$C$999,
    SMALL(
      IF(員工資料!$L$2:$L$999=$G111,
         ROW(員工資料!$L$2:$L$999)-ROW(員工資料!$L$2)+1
      ),
      COUNTIF($G$2:$G111,$G111)
    )
  ),
"")</f>
        <v/>
      </c>
      <c r="I111" s="59" t="str">
        <f t="array" ref="I111">IFERROR(
  INDEX(員工資料!$D$2:$D$999,
    SMALL(
      IF(員工資料!$L$2:$L$999=$G111,
         ROW(員工資料!$L$2:$L$999)-ROW(員工資料!$L$2)+1
      ),
      COUNTIF($G$2:$G111,$G111)
    )
  ),
"")</f>
        <v/>
      </c>
    </row>
    <row r="112" spans="1:9">
      <c r="A112" s="45" t="str">
        <f t="array" ref="A112">IFERROR(
  SMALL(員工資料!$I$2:$I$999, ROW(A111)),
"")</f>
        <v/>
      </c>
      <c r="B112" s="45" t="str">
        <f t="array" ref="B112">IFERROR(
  INDEX(員工資料!$C$2:$C$999,
    SMALL(
      IF(員工資料!$I$2:$I$999=$A112,
         ROW(員工資料!$I$2:$I$999)-ROW(員工資料!$I$2)+1
      ),
      COUNTIF($A$2:$A112,$A112)
    )
  ),
"")</f>
        <v/>
      </c>
      <c r="C112" s="45" t="str">
        <f t="array" ref="C112">IFERROR(
  INDEX(員工資料!$D$2:$D$999,
    SMALL(
      IF(員工資料!$I$2:$I$999=$A112,
         ROW(員工資料!$I$2:$I$999)-ROW(員工資料!$I$2)+1
      ),
      COUNTIF($A$2:$A112,$A112)
    )
  ),
"")</f>
        <v/>
      </c>
      <c r="G112" s="59" t="str">
        <f>IFERROR(
  SMALL(員工資料!$L$2:$L$999, ROW(G111)),
"")</f>
        <v/>
      </c>
      <c r="H112" s="60" t="str">
        <f t="array" ref="H112">IFERROR(
  INDEX(員工資料!$C$2:$C$999,
    SMALL(
      IF(員工資料!$L$2:$L$999=$G112,
         ROW(員工資料!$L$2:$L$999)-ROW(員工資料!$L$2)+1
      ),
      COUNTIF($G$2:$G112,$G112)
    )
  ),
"")</f>
        <v/>
      </c>
      <c r="I112" s="59" t="str">
        <f t="array" ref="I112">IFERROR(
  INDEX(員工資料!$D$2:$D$999,
    SMALL(
      IF(員工資料!$L$2:$L$999=$G112,
         ROW(員工資料!$L$2:$L$999)-ROW(員工資料!$L$2)+1
      ),
      COUNTIF($G$2:$G112,$G112)
    )
  ),
"")</f>
        <v/>
      </c>
    </row>
    <row r="113" spans="1:9">
      <c r="A113" s="45" t="str">
        <f t="array" ref="A113">IFERROR(
  SMALL(員工資料!$I$2:$I$999, ROW(A112)),
"")</f>
        <v/>
      </c>
      <c r="B113" s="45" t="str">
        <f t="array" ref="B113">IFERROR(
  INDEX(員工資料!$C$2:$C$999,
    SMALL(
      IF(員工資料!$I$2:$I$999=$A113,
         ROW(員工資料!$I$2:$I$999)-ROW(員工資料!$I$2)+1
      ),
      COUNTIF($A$2:$A113,$A113)
    )
  ),
"")</f>
        <v/>
      </c>
      <c r="C113" s="45" t="str">
        <f t="array" ref="C113">IFERROR(
  INDEX(員工資料!$D$2:$D$999,
    SMALL(
      IF(員工資料!$I$2:$I$999=$A113,
         ROW(員工資料!$I$2:$I$999)-ROW(員工資料!$I$2)+1
      ),
      COUNTIF($A$2:$A113,$A113)
    )
  ),
"")</f>
        <v/>
      </c>
      <c r="G113" s="59" t="str">
        <f>IFERROR(
  SMALL(員工資料!$L$2:$L$999, ROW(G112)),
"")</f>
        <v/>
      </c>
      <c r="H113" s="60" t="str">
        <f t="array" ref="H113">IFERROR(
  INDEX(員工資料!$C$2:$C$999,
    SMALL(
      IF(員工資料!$L$2:$L$999=$G113,
         ROW(員工資料!$L$2:$L$999)-ROW(員工資料!$L$2)+1
      ),
      COUNTIF($G$2:$G113,$G113)
    )
  ),
"")</f>
        <v/>
      </c>
      <c r="I113" s="59" t="str">
        <f t="array" ref="I113">IFERROR(
  INDEX(員工資料!$D$2:$D$999,
    SMALL(
      IF(員工資料!$L$2:$L$999=$G113,
         ROW(員工資料!$L$2:$L$999)-ROW(員工資料!$L$2)+1
      ),
      COUNTIF($G$2:$G113,$G113)
    )
  ),
"")</f>
        <v/>
      </c>
    </row>
    <row r="114" spans="1:9">
      <c r="A114" s="45" t="str">
        <f t="array" ref="A114">IFERROR(
  SMALL(員工資料!$I$2:$I$999, ROW(A113)),
"")</f>
        <v/>
      </c>
      <c r="B114" s="45" t="str">
        <f t="array" ref="B114">IFERROR(
  INDEX(員工資料!$C$2:$C$999,
    SMALL(
      IF(員工資料!$I$2:$I$999=$A114,
         ROW(員工資料!$I$2:$I$999)-ROW(員工資料!$I$2)+1
      ),
      COUNTIF($A$2:$A114,$A114)
    )
  ),
"")</f>
        <v/>
      </c>
      <c r="C114" s="45" t="str">
        <f t="array" ref="C114">IFERROR(
  INDEX(員工資料!$D$2:$D$999,
    SMALL(
      IF(員工資料!$I$2:$I$999=$A114,
         ROW(員工資料!$I$2:$I$999)-ROW(員工資料!$I$2)+1
      ),
      COUNTIF($A$2:$A114,$A114)
    )
  ),
"")</f>
        <v/>
      </c>
      <c r="G114" s="59" t="str">
        <f>IFERROR(
  SMALL(員工資料!$L$2:$L$999, ROW(G113)),
"")</f>
        <v/>
      </c>
      <c r="H114" s="60" t="str">
        <f t="array" ref="H114">IFERROR(
  INDEX(員工資料!$C$2:$C$999,
    SMALL(
      IF(員工資料!$L$2:$L$999=$G114,
         ROW(員工資料!$L$2:$L$999)-ROW(員工資料!$L$2)+1
      ),
      COUNTIF($G$2:$G114,$G114)
    )
  ),
"")</f>
        <v/>
      </c>
      <c r="I114" s="59" t="str">
        <f t="array" ref="I114">IFERROR(
  INDEX(員工資料!$D$2:$D$999,
    SMALL(
      IF(員工資料!$L$2:$L$999=$G114,
         ROW(員工資料!$L$2:$L$999)-ROW(員工資料!$L$2)+1
      ),
      COUNTIF($G$2:$G114,$G114)
    )
  ),
"")</f>
        <v/>
      </c>
    </row>
    <row r="115" spans="1:9">
      <c r="A115" s="45" t="str">
        <f t="array" ref="A115">IFERROR(
  SMALL(員工資料!$I$2:$I$999, ROW(A114)),
"")</f>
        <v/>
      </c>
      <c r="B115" s="45" t="str">
        <f t="array" ref="B115">IFERROR(
  INDEX(員工資料!$C$2:$C$999,
    SMALL(
      IF(員工資料!$I$2:$I$999=$A115,
         ROW(員工資料!$I$2:$I$999)-ROW(員工資料!$I$2)+1
      ),
      COUNTIF($A$2:$A115,$A115)
    )
  ),
"")</f>
        <v/>
      </c>
      <c r="C115" s="45" t="str">
        <f t="array" ref="C115">IFERROR(
  INDEX(員工資料!$D$2:$D$999,
    SMALL(
      IF(員工資料!$I$2:$I$999=$A115,
         ROW(員工資料!$I$2:$I$999)-ROW(員工資料!$I$2)+1
      ),
      COUNTIF($A$2:$A115,$A115)
    )
  ),
"")</f>
        <v/>
      </c>
      <c r="G115" s="59" t="str">
        <f>IFERROR(
  SMALL(員工資料!$L$2:$L$999, ROW(G114)),
"")</f>
        <v/>
      </c>
      <c r="H115" s="60" t="str">
        <f t="array" ref="H115">IFERROR(
  INDEX(員工資料!$C$2:$C$999,
    SMALL(
      IF(員工資料!$L$2:$L$999=$G115,
         ROW(員工資料!$L$2:$L$999)-ROW(員工資料!$L$2)+1
      ),
      COUNTIF($G$2:$G115,$G115)
    )
  ),
"")</f>
        <v/>
      </c>
      <c r="I115" s="59" t="str">
        <f t="array" ref="I115">IFERROR(
  INDEX(員工資料!$D$2:$D$999,
    SMALL(
      IF(員工資料!$L$2:$L$999=$G115,
         ROW(員工資料!$L$2:$L$999)-ROW(員工資料!$L$2)+1
      ),
      COUNTIF($G$2:$G115,$G115)
    )
  ),
"")</f>
        <v/>
      </c>
    </row>
    <row r="116" spans="1:9">
      <c r="A116" s="45" t="str">
        <f t="array" ref="A116">IFERROR(
  SMALL(員工資料!$I$2:$I$999, ROW(A115)),
"")</f>
        <v/>
      </c>
      <c r="B116" s="45" t="str">
        <f t="array" ref="B116">IFERROR(
  INDEX(員工資料!$C$2:$C$999,
    SMALL(
      IF(員工資料!$I$2:$I$999=$A116,
         ROW(員工資料!$I$2:$I$999)-ROW(員工資料!$I$2)+1
      ),
      COUNTIF($A$2:$A116,$A116)
    )
  ),
"")</f>
        <v/>
      </c>
      <c r="C116" s="45" t="str">
        <f t="array" ref="C116">IFERROR(
  INDEX(員工資料!$D$2:$D$999,
    SMALL(
      IF(員工資料!$I$2:$I$999=$A116,
         ROW(員工資料!$I$2:$I$999)-ROW(員工資料!$I$2)+1
      ),
      COUNTIF($A$2:$A116,$A116)
    )
  ),
"")</f>
        <v/>
      </c>
      <c r="G116" s="59" t="str">
        <f>IFERROR(
  SMALL(員工資料!$L$2:$L$999, ROW(G115)),
"")</f>
        <v/>
      </c>
      <c r="H116" s="60" t="str">
        <f t="array" ref="H116">IFERROR(
  INDEX(員工資料!$C$2:$C$999,
    SMALL(
      IF(員工資料!$L$2:$L$999=$G116,
         ROW(員工資料!$L$2:$L$999)-ROW(員工資料!$L$2)+1
      ),
      COUNTIF($G$2:$G116,$G116)
    )
  ),
"")</f>
        <v/>
      </c>
      <c r="I116" s="59" t="str">
        <f t="array" ref="I116">IFERROR(
  INDEX(員工資料!$D$2:$D$999,
    SMALL(
      IF(員工資料!$L$2:$L$999=$G116,
         ROW(員工資料!$L$2:$L$999)-ROW(員工資料!$L$2)+1
      ),
      COUNTIF($G$2:$G116,$G116)
    )
  ),
"")</f>
        <v/>
      </c>
    </row>
    <row r="117" spans="1:9">
      <c r="A117" s="45" t="str">
        <f t="array" ref="A117">IFERROR(
  SMALL(員工資料!$I$2:$I$999, ROW(A116)),
"")</f>
        <v/>
      </c>
      <c r="B117" s="45" t="str">
        <f t="array" ref="B117">IFERROR(
  INDEX(員工資料!$C$2:$C$999,
    SMALL(
      IF(員工資料!$I$2:$I$999=$A117,
         ROW(員工資料!$I$2:$I$999)-ROW(員工資料!$I$2)+1
      ),
      COUNTIF($A$2:$A117,$A117)
    )
  ),
"")</f>
        <v/>
      </c>
      <c r="C117" s="45" t="str">
        <f t="array" ref="C117">IFERROR(
  INDEX(員工資料!$D$2:$D$999,
    SMALL(
      IF(員工資料!$I$2:$I$999=$A117,
         ROW(員工資料!$I$2:$I$999)-ROW(員工資料!$I$2)+1
      ),
      COUNTIF($A$2:$A117,$A117)
    )
  ),
"")</f>
        <v/>
      </c>
      <c r="G117" s="59" t="str">
        <f>IFERROR(
  SMALL(員工資料!$L$2:$L$999, ROW(G116)),
"")</f>
        <v/>
      </c>
      <c r="H117" s="60" t="str">
        <f t="array" ref="H117">IFERROR(
  INDEX(員工資料!$C$2:$C$999,
    SMALL(
      IF(員工資料!$L$2:$L$999=$G117,
         ROW(員工資料!$L$2:$L$999)-ROW(員工資料!$L$2)+1
      ),
      COUNTIF($G$2:$G117,$G117)
    )
  ),
"")</f>
        <v/>
      </c>
      <c r="I117" s="59" t="str">
        <f t="array" ref="I117">IFERROR(
  INDEX(員工資料!$D$2:$D$999,
    SMALL(
      IF(員工資料!$L$2:$L$999=$G117,
         ROW(員工資料!$L$2:$L$999)-ROW(員工資料!$L$2)+1
      ),
      COUNTIF($G$2:$G117,$G117)
    )
  ),
"")</f>
        <v/>
      </c>
    </row>
    <row r="118" spans="1:9">
      <c r="A118" s="45" t="str">
        <f t="array" ref="A118">IFERROR(
  SMALL(員工資料!$I$2:$I$999, ROW(A117)),
"")</f>
        <v/>
      </c>
      <c r="B118" s="45" t="str">
        <f t="array" ref="B118">IFERROR(
  INDEX(員工資料!$C$2:$C$999,
    SMALL(
      IF(員工資料!$I$2:$I$999=$A118,
         ROW(員工資料!$I$2:$I$999)-ROW(員工資料!$I$2)+1
      ),
      COUNTIF($A$2:$A118,$A118)
    )
  ),
"")</f>
        <v/>
      </c>
      <c r="C118" s="45" t="str">
        <f t="array" ref="C118">IFERROR(
  INDEX(員工資料!$D$2:$D$999,
    SMALL(
      IF(員工資料!$I$2:$I$999=$A118,
         ROW(員工資料!$I$2:$I$999)-ROW(員工資料!$I$2)+1
      ),
      COUNTIF($A$2:$A118,$A118)
    )
  ),
"")</f>
        <v/>
      </c>
      <c r="G118" s="59" t="str">
        <f>IFERROR(
  SMALL(員工資料!$L$2:$L$999, ROW(G117)),
"")</f>
        <v/>
      </c>
      <c r="H118" s="60" t="str">
        <f t="array" ref="H118">IFERROR(
  INDEX(員工資料!$C$2:$C$999,
    SMALL(
      IF(員工資料!$L$2:$L$999=$G118,
         ROW(員工資料!$L$2:$L$999)-ROW(員工資料!$L$2)+1
      ),
      COUNTIF($G$2:$G118,$G118)
    )
  ),
"")</f>
        <v/>
      </c>
      <c r="I118" s="59" t="str">
        <f t="array" ref="I118">IFERROR(
  INDEX(員工資料!$D$2:$D$999,
    SMALL(
      IF(員工資料!$L$2:$L$999=$G118,
         ROW(員工資料!$L$2:$L$999)-ROW(員工資料!$L$2)+1
      ),
      COUNTIF($G$2:$G118,$G118)
    )
  ),
"")</f>
        <v/>
      </c>
    </row>
    <row r="119" spans="1:9">
      <c r="A119" s="45" t="str">
        <f t="array" ref="A119">IFERROR(
  SMALL(員工資料!$I$2:$I$999, ROW(A118)),
"")</f>
        <v/>
      </c>
      <c r="B119" s="45" t="str">
        <f t="array" ref="B119">IFERROR(
  INDEX(員工資料!$C$2:$C$999,
    SMALL(
      IF(員工資料!$I$2:$I$999=$A119,
         ROW(員工資料!$I$2:$I$999)-ROW(員工資料!$I$2)+1
      ),
      COUNTIF($A$2:$A119,$A119)
    )
  ),
"")</f>
        <v/>
      </c>
      <c r="C119" s="45" t="str">
        <f t="array" ref="C119">IFERROR(
  INDEX(員工資料!$D$2:$D$999,
    SMALL(
      IF(員工資料!$I$2:$I$999=$A119,
         ROW(員工資料!$I$2:$I$999)-ROW(員工資料!$I$2)+1
      ),
      COUNTIF($A$2:$A119,$A119)
    )
  ),
"")</f>
        <v/>
      </c>
      <c r="G119" s="59" t="str">
        <f>IFERROR(
  SMALL(員工資料!$L$2:$L$999, ROW(G118)),
"")</f>
        <v/>
      </c>
      <c r="H119" s="60" t="str">
        <f t="array" ref="H119">IFERROR(
  INDEX(員工資料!$C$2:$C$999,
    SMALL(
      IF(員工資料!$L$2:$L$999=$G119,
         ROW(員工資料!$L$2:$L$999)-ROW(員工資料!$L$2)+1
      ),
      COUNTIF($G$2:$G119,$G119)
    )
  ),
"")</f>
        <v/>
      </c>
      <c r="I119" s="59" t="str">
        <f t="array" ref="I119">IFERROR(
  INDEX(員工資料!$D$2:$D$999,
    SMALL(
      IF(員工資料!$L$2:$L$999=$G119,
         ROW(員工資料!$L$2:$L$999)-ROW(員工資料!$L$2)+1
      ),
      COUNTIF($G$2:$G119,$G119)
    )
  ),
"")</f>
        <v/>
      </c>
    </row>
    <row r="120" spans="1:9">
      <c r="A120" s="45" t="str">
        <f t="array" ref="A120">IFERROR(
  SMALL(員工資料!$I$2:$I$999, ROW(A119)),
"")</f>
        <v/>
      </c>
      <c r="B120" s="45" t="str">
        <f t="array" ref="B120">IFERROR(
  INDEX(員工資料!$C$2:$C$999,
    SMALL(
      IF(員工資料!$I$2:$I$999=$A120,
         ROW(員工資料!$I$2:$I$999)-ROW(員工資料!$I$2)+1
      ),
      COUNTIF($A$2:$A120,$A120)
    )
  ),
"")</f>
        <v/>
      </c>
      <c r="C120" s="45" t="str">
        <f t="array" ref="C120">IFERROR(
  INDEX(員工資料!$D$2:$D$999,
    SMALL(
      IF(員工資料!$I$2:$I$999=$A120,
         ROW(員工資料!$I$2:$I$999)-ROW(員工資料!$I$2)+1
      ),
      COUNTIF($A$2:$A120,$A120)
    )
  ),
"")</f>
        <v/>
      </c>
      <c r="G120" s="59" t="str">
        <f>IFERROR(
  SMALL(員工資料!$L$2:$L$999, ROW(G119)),
"")</f>
        <v/>
      </c>
      <c r="H120" s="60" t="str">
        <f t="array" ref="H120">IFERROR(
  INDEX(員工資料!$C$2:$C$999,
    SMALL(
      IF(員工資料!$L$2:$L$999=$G120,
         ROW(員工資料!$L$2:$L$999)-ROW(員工資料!$L$2)+1
      ),
      COUNTIF($G$2:$G120,$G120)
    )
  ),
"")</f>
        <v/>
      </c>
      <c r="I120" s="59" t="str">
        <f t="array" ref="I120">IFERROR(
  INDEX(員工資料!$D$2:$D$999,
    SMALL(
      IF(員工資料!$L$2:$L$999=$G120,
         ROW(員工資料!$L$2:$L$999)-ROW(員工資料!$L$2)+1
      ),
      COUNTIF($G$2:$G120,$G120)
    )
  ),
"")</f>
        <v/>
      </c>
    </row>
    <row r="121" spans="1:9">
      <c r="A121" s="45" t="str">
        <f t="array" ref="A121">IFERROR(
  SMALL(員工資料!$I$2:$I$999, ROW(A120)),
"")</f>
        <v/>
      </c>
      <c r="B121" s="45" t="str">
        <f t="array" ref="B121">IFERROR(
  INDEX(員工資料!$C$2:$C$999,
    SMALL(
      IF(員工資料!$I$2:$I$999=$A121,
         ROW(員工資料!$I$2:$I$999)-ROW(員工資料!$I$2)+1
      ),
      COUNTIF($A$2:$A121,$A121)
    )
  ),
"")</f>
        <v/>
      </c>
      <c r="C121" s="45" t="str">
        <f t="array" ref="C121">IFERROR(
  INDEX(員工資料!$D$2:$D$999,
    SMALL(
      IF(員工資料!$I$2:$I$999=$A121,
         ROW(員工資料!$I$2:$I$999)-ROW(員工資料!$I$2)+1
      ),
      COUNTIF($A$2:$A121,$A121)
    )
  ),
"")</f>
        <v/>
      </c>
      <c r="G121" s="59" t="str">
        <f>IFERROR(
  SMALL(員工資料!$L$2:$L$999, ROW(G120)),
"")</f>
        <v/>
      </c>
      <c r="H121" s="60" t="str">
        <f t="array" ref="H121">IFERROR(
  INDEX(員工資料!$C$2:$C$999,
    SMALL(
      IF(員工資料!$L$2:$L$999=$G121,
         ROW(員工資料!$L$2:$L$999)-ROW(員工資料!$L$2)+1
      ),
      COUNTIF($G$2:$G121,$G121)
    )
  ),
"")</f>
        <v/>
      </c>
      <c r="I121" s="59" t="str">
        <f t="array" ref="I121">IFERROR(
  INDEX(員工資料!$D$2:$D$999,
    SMALL(
      IF(員工資料!$L$2:$L$999=$G121,
         ROW(員工資料!$L$2:$L$999)-ROW(員工資料!$L$2)+1
      ),
      COUNTIF($G$2:$G121,$G121)
    )
  ),
"")</f>
        <v/>
      </c>
    </row>
    <row r="122" spans="1:9">
      <c r="A122" s="45" t="str">
        <f t="array" ref="A122">IFERROR(
  SMALL(員工資料!$I$2:$I$999, ROW(A121)),
"")</f>
        <v/>
      </c>
      <c r="B122" s="45" t="str">
        <f t="array" ref="B122">IFERROR(
  INDEX(員工資料!$C$2:$C$999,
    SMALL(
      IF(員工資料!$I$2:$I$999=$A122,
         ROW(員工資料!$I$2:$I$999)-ROW(員工資料!$I$2)+1
      ),
      COUNTIF($A$2:$A122,$A122)
    )
  ),
"")</f>
        <v/>
      </c>
      <c r="C122" s="45" t="str">
        <f t="array" ref="C122">IFERROR(
  INDEX(員工資料!$D$2:$D$999,
    SMALL(
      IF(員工資料!$I$2:$I$999=$A122,
         ROW(員工資料!$I$2:$I$999)-ROW(員工資料!$I$2)+1
      ),
      COUNTIF($A$2:$A122,$A122)
    )
  ),
"")</f>
        <v/>
      </c>
      <c r="G122" s="59" t="str">
        <f>IFERROR(
  SMALL(員工資料!$L$2:$L$999, ROW(G121)),
"")</f>
        <v/>
      </c>
      <c r="H122" s="60" t="str">
        <f t="array" ref="H122">IFERROR(
  INDEX(員工資料!$C$2:$C$999,
    SMALL(
      IF(員工資料!$L$2:$L$999=$G122,
         ROW(員工資料!$L$2:$L$999)-ROW(員工資料!$L$2)+1
      ),
      COUNTIF($G$2:$G122,$G122)
    )
  ),
"")</f>
        <v/>
      </c>
      <c r="I122" s="59" t="str">
        <f t="array" ref="I122">IFERROR(
  INDEX(員工資料!$D$2:$D$999,
    SMALL(
      IF(員工資料!$L$2:$L$999=$G122,
         ROW(員工資料!$L$2:$L$999)-ROW(員工資料!$L$2)+1
      ),
      COUNTIF($G$2:$G122,$G122)
    )
  ),
"")</f>
        <v/>
      </c>
    </row>
    <row r="123" spans="1:9">
      <c r="A123" s="45" t="str">
        <f t="array" ref="A123">IFERROR(
  SMALL(員工資料!$I$2:$I$999, ROW(A122)),
"")</f>
        <v/>
      </c>
      <c r="B123" s="45" t="str">
        <f t="array" ref="B123">IFERROR(
  INDEX(員工資料!$C$2:$C$999,
    SMALL(
      IF(員工資料!$I$2:$I$999=$A123,
         ROW(員工資料!$I$2:$I$999)-ROW(員工資料!$I$2)+1
      ),
      COUNTIF($A$2:$A123,$A123)
    )
  ),
"")</f>
        <v/>
      </c>
      <c r="C123" s="45" t="str">
        <f t="array" ref="C123">IFERROR(
  INDEX(員工資料!$D$2:$D$999,
    SMALL(
      IF(員工資料!$I$2:$I$999=$A123,
         ROW(員工資料!$I$2:$I$999)-ROW(員工資料!$I$2)+1
      ),
      COUNTIF($A$2:$A123,$A123)
    )
  ),
"")</f>
        <v/>
      </c>
      <c r="G123" s="59" t="str">
        <f>IFERROR(
  SMALL(員工資料!$L$2:$L$999, ROW(G122)),
"")</f>
        <v/>
      </c>
      <c r="H123" s="60" t="str">
        <f t="array" ref="H123">IFERROR(
  INDEX(員工資料!$C$2:$C$999,
    SMALL(
      IF(員工資料!$L$2:$L$999=$G123,
         ROW(員工資料!$L$2:$L$999)-ROW(員工資料!$L$2)+1
      ),
      COUNTIF($G$2:$G123,$G123)
    )
  ),
"")</f>
        <v/>
      </c>
      <c r="I123" s="59" t="str">
        <f t="array" ref="I123">IFERROR(
  INDEX(員工資料!$D$2:$D$999,
    SMALL(
      IF(員工資料!$L$2:$L$999=$G123,
         ROW(員工資料!$L$2:$L$999)-ROW(員工資料!$L$2)+1
      ),
      COUNTIF($G$2:$G123,$G123)
    )
  ),
"")</f>
        <v/>
      </c>
    </row>
    <row r="124" spans="1:9">
      <c r="A124" s="45" t="str">
        <f t="array" ref="A124">IFERROR(
  SMALL(員工資料!$I$2:$I$999, ROW(A123)),
"")</f>
        <v/>
      </c>
      <c r="B124" s="45" t="str">
        <f t="array" ref="B124">IFERROR(
  INDEX(員工資料!$C$2:$C$999,
    SMALL(
      IF(員工資料!$I$2:$I$999=$A124,
         ROW(員工資料!$I$2:$I$999)-ROW(員工資料!$I$2)+1
      ),
      COUNTIF($A$2:$A124,$A124)
    )
  ),
"")</f>
        <v/>
      </c>
      <c r="C124" s="45" t="str">
        <f t="array" ref="C124">IFERROR(
  INDEX(員工資料!$D$2:$D$999,
    SMALL(
      IF(員工資料!$I$2:$I$999=$A124,
         ROW(員工資料!$I$2:$I$999)-ROW(員工資料!$I$2)+1
      ),
      COUNTIF($A$2:$A124,$A124)
    )
  ),
"")</f>
        <v/>
      </c>
      <c r="G124" s="59" t="str">
        <f>IFERROR(
  SMALL(員工資料!$L$2:$L$999, ROW(G123)),
"")</f>
        <v/>
      </c>
      <c r="H124" s="60" t="str">
        <f t="array" ref="H124">IFERROR(
  INDEX(員工資料!$C$2:$C$999,
    SMALL(
      IF(員工資料!$L$2:$L$999=$G124,
         ROW(員工資料!$L$2:$L$999)-ROW(員工資料!$L$2)+1
      ),
      COUNTIF($G$2:$G124,$G124)
    )
  ),
"")</f>
        <v/>
      </c>
      <c r="I124" s="59" t="str">
        <f t="array" ref="I124">IFERROR(
  INDEX(員工資料!$D$2:$D$999,
    SMALL(
      IF(員工資料!$L$2:$L$999=$G124,
         ROW(員工資料!$L$2:$L$999)-ROW(員工資料!$L$2)+1
      ),
      COUNTIF($G$2:$G124,$G124)
    )
  ),
"")</f>
        <v/>
      </c>
    </row>
    <row r="125" spans="1:9">
      <c r="A125" s="45" t="str">
        <f t="array" ref="A125">IFERROR(
  SMALL(員工資料!$I$2:$I$999, ROW(A124)),
"")</f>
        <v/>
      </c>
      <c r="B125" s="45" t="str">
        <f t="array" ref="B125">IFERROR(
  INDEX(員工資料!$C$2:$C$999,
    SMALL(
      IF(員工資料!$I$2:$I$999=$A125,
         ROW(員工資料!$I$2:$I$999)-ROW(員工資料!$I$2)+1
      ),
      COUNTIF($A$2:$A125,$A125)
    )
  ),
"")</f>
        <v/>
      </c>
      <c r="C125" s="45" t="str">
        <f t="array" ref="C125">IFERROR(
  INDEX(員工資料!$D$2:$D$999,
    SMALL(
      IF(員工資料!$I$2:$I$999=$A125,
         ROW(員工資料!$I$2:$I$999)-ROW(員工資料!$I$2)+1
      ),
      COUNTIF($A$2:$A125,$A125)
    )
  ),
"")</f>
        <v/>
      </c>
      <c r="G125" s="59" t="str">
        <f>IFERROR(
  SMALL(員工資料!$L$2:$L$999, ROW(G124)),
"")</f>
        <v/>
      </c>
      <c r="H125" s="60" t="str">
        <f t="array" ref="H125">IFERROR(
  INDEX(員工資料!$C$2:$C$999,
    SMALL(
      IF(員工資料!$L$2:$L$999=$G125,
         ROW(員工資料!$L$2:$L$999)-ROW(員工資料!$L$2)+1
      ),
      COUNTIF($G$2:$G125,$G125)
    )
  ),
"")</f>
        <v/>
      </c>
      <c r="I125" s="59" t="str">
        <f t="array" ref="I125">IFERROR(
  INDEX(員工資料!$D$2:$D$999,
    SMALL(
      IF(員工資料!$L$2:$L$999=$G125,
         ROW(員工資料!$L$2:$L$999)-ROW(員工資料!$L$2)+1
      ),
      COUNTIF($G$2:$G125,$G125)
    )
  ),
"")</f>
        <v/>
      </c>
    </row>
    <row r="126" spans="1:9">
      <c r="A126" s="45" t="str">
        <f t="array" ref="A126">IFERROR(
  SMALL(員工資料!$I$2:$I$999, ROW(A125)),
"")</f>
        <v/>
      </c>
      <c r="B126" s="45" t="str">
        <f t="array" ref="B126">IFERROR(
  INDEX(員工資料!$C$2:$C$999,
    SMALL(
      IF(員工資料!$I$2:$I$999=$A126,
         ROW(員工資料!$I$2:$I$999)-ROW(員工資料!$I$2)+1
      ),
      COUNTIF($A$2:$A126,$A126)
    )
  ),
"")</f>
        <v/>
      </c>
      <c r="C126" s="45" t="str">
        <f t="array" ref="C126">IFERROR(
  INDEX(員工資料!$D$2:$D$999,
    SMALL(
      IF(員工資料!$I$2:$I$999=$A126,
         ROW(員工資料!$I$2:$I$999)-ROW(員工資料!$I$2)+1
      ),
      COUNTIF($A$2:$A126,$A126)
    )
  ),
"")</f>
        <v/>
      </c>
      <c r="G126" s="59" t="str">
        <f>IFERROR(
  SMALL(員工資料!$L$2:$L$999, ROW(G125)),
"")</f>
        <v/>
      </c>
      <c r="H126" s="60" t="str">
        <f t="array" ref="H126">IFERROR(
  INDEX(員工資料!$C$2:$C$999,
    SMALL(
      IF(員工資料!$L$2:$L$999=$G126,
         ROW(員工資料!$L$2:$L$999)-ROW(員工資料!$L$2)+1
      ),
      COUNTIF($G$2:$G126,$G126)
    )
  ),
"")</f>
        <v/>
      </c>
      <c r="I126" s="59" t="str">
        <f t="array" ref="I126">IFERROR(
  INDEX(員工資料!$D$2:$D$999,
    SMALL(
      IF(員工資料!$L$2:$L$999=$G126,
         ROW(員工資料!$L$2:$L$999)-ROW(員工資料!$L$2)+1
      ),
      COUNTIF($G$2:$G126,$G126)
    )
  ),
"")</f>
        <v/>
      </c>
    </row>
    <row r="127" spans="1:9">
      <c r="A127" s="45" t="str">
        <f t="array" ref="A127">IFERROR(
  SMALL(員工資料!$I$2:$I$999, ROW(A126)),
"")</f>
        <v/>
      </c>
      <c r="B127" s="45" t="str">
        <f t="array" ref="B127">IFERROR(
  INDEX(員工資料!$C$2:$C$999,
    SMALL(
      IF(員工資料!$I$2:$I$999=$A127,
         ROW(員工資料!$I$2:$I$999)-ROW(員工資料!$I$2)+1
      ),
      COUNTIF($A$2:$A127,$A127)
    )
  ),
"")</f>
        <v/>
      </c>
      <c r="C127" s="45" t="str">
        <f t="array" ref="C127">IFERROR(
  INDEX(員工資料!$D$2:$D$999,
    SMALL(
      IF(員工資料!$I$2:$I$999=$A127,
         ROW(員工資料!$I$2:$I$999)-ROW(員工資料!$I$2)+1
      ),
      COUNTIF($A$2:$A127,$A127)
    )
  ),
"")</f>
        <v/>
      </c>
      <c r="G127" s="59" t="str">
        <f>IFERROR(
  SMALL(員工資料!$L$2:$L$999, ROW(G126)),
"")</f>
        <v/>
      </c>
      <c r="H127" s="60" t="str">
        <f t="array" ref="H127">IFERROR(
  INDEX(員工資料!$C$2:$C$999,
    SMALL(
      IF(員工資料!$L$2:$L$999=$G127,
         ROW(員工資料!$L$2:$L$999)-ROW(員工資料!$L$2)+1
      ),
      COUNTIF($G$2:$G127,$G127)
    )
  ),
"")</f>
        <v/>
      </c>
      <c r="I127" s="59" t="str">
        <f t="array" ref="I127">IFERROR(
  INDEX(員工資料!$D$2:$D$999,
    SMALL(
      IF(員工資料!$L$2:$L$999=$G127,
         ROW(員工資料!$L$2:$L$999)-ROW(員工資料!$L$2)+1
      ),
      COUNTIF($G$2:$G127,$G127)
    )
  ),
"")</f>
        <v/>
      </c>
    </row>
    <row r="128" spans="1:9">
      <c r="A128" s="45" t="str">
        <f t="array" ref="A128">IFERROR(
  SMALL(員工資料!$I$2:$I$999, ROW(A127)),
"")</f>
        <v/>
      </c>
      <c r="B128" s="45" t="str">
        <f t="array" ref="B128">IFERROR(
  INDEX(員工資料!$C$2:$C$999,
    SMALL(
      IF(員工資料!$I$2:$I$999=$A128,
         ROW(員工資料!$I$2:$I$999)-ROW(員工資料!$I$2)+1
      ),
      COUNTIF($A$2:$A128,$A128)
    )
  ),
"")</f>
        <v/>
      </c>
      <c r="C128" s="45" t="str">
        <f t="array" ref="C128">IFERROR(
  INDEX(員工資料!$D$2:$D$999,
    SMALL(
      IF(員工資料!$I$2:$I$999=$A128,
         ROW(員工資料!$I$2:$I$999)-ROW(員工資料!$I$2)+1
      ),
      COUNTIF($A$2:$A128,$A128)
    )
  ),
"")</f>
        <v/>
      </c>
      <c r="G128" s="59" t="str">
        <f>IFERROR(
  SMALL(員工資料!$L$2:$L$999, ROW(G127)),
"")</f>
        <v/>
      </c>
      <c r="H128" s="60" t="str">
        <f t="array" ref="H128">IFERROR(
  INDEX(員工資料!$C$2:$C$999,
    SMALL(
      IF(員工資料!$L$2:$L$999=$G128,
         ROW(員工資料!$L$2:$L$999)-ROW(員工資料!$L$2)+1
      ),
      COUNTIF($G$2:$G128,$G128)
    )
  ),
"")</f>
        <v/>
      </c>
      <c r="I128" s="59" t="str">
        <f t="array" ref="I128">IFERROR(
  INDEX(員工資料!$D$2:$D$999,
    SMALL(
      IF(員工資料!$L$2:$L$999=$G128,
         ROW(員工資料!$L$2:$L$999)-ROW(員工資料!$L$2)+1
      ),
      COUNTIF($G$2:$G128,$G128)
    )
  ),
"")</f>
        <v/>
      </c>
    </row>
    <row r="129" spans="1:9">
      <c r="A129" s="45" t="str">
        <f t="array" ref="A129">IFERROR(
  SMALL(員工資料!$I$2:$I$999, ROW(A128)),
"")</f>
        <v/>
      </c>
      <c r="B129" s="45" t="str">
        <f t="array" ref="B129">IFERROR(
  INDEX(員工資料!$C$2:$C$999,
    SMALL(
      IF(員工資料!$I$2:$I$999=$A129,
         ROW(員工資料!$I$2:$I$999)-ROW(員工資料!$I$2)+1
      ),
      COUNTIF($A$2:$A129,$A129)
    )
  ),
"")</f>
        <v/>
      </c>
      <c r="C129" s="45" t="str">
        <f t="array" ref="C129">IFERROR(
  INDEX(員工資料!$D$2:$D$999,
    SMALL(
      IF(員工資料!$I$2:$I$999=$A129,
         ROW(員工資料!$I$2:$I$999)-ROW(員工資料!$I$2)+1
      ),
      COUNTIF($A$2:$A129,$A129)
    )
  ),
"")</f>
        <v/>
      </c>
      <c r="G129" s="59" t="str">
        <f>IFERROR(
  SMALL(員工資料!$L$2:$L$999, ROW(G128)),
"")</f>
        <v/>
      </c>
      <c r="H129" s="60" t="str">
        <f t="array" ref="H129">IFERROR(
  INDEX(員工資料!$C$2:$C$999,
    SMALL(
      IF(員工資料!$L$2:$L$999=$G129,
         ROW(員工資料!$L$2:$L$999)-ROW(員工資料!$L$2)+1
      ),
      COUNTIF($G$2:$G129,$G129)
    )
  ),
"")</f>
        <v/>
      </c>
      <c r="I129" s="59" t="str">
        <f t="array" ref="I129">IFERROR(
  INDEX(員工資料!$D$2:$D$999,
    SMALL(
      IF(員工資料!$L$2:$L$999=$G129,
         ROW(員工資料!$L$2:$L$999)-ROW(員工資料!$L$2)+1
      ),
      COUNTIF($G$2:$G129,$G129)
    )
  ),
"")</f>
        <v/>
      </c>
    </row>
    <row r="130" spans="1:9">
      <c r="A130" s="45" t="str">
        <f t="array" ref="A130">IFERROR(
  SMALL(員工資料!$I$2:$I$999, ROW(A129)),
"")</f>
        <v/>
      </c>
      <c r="B130" s="45" t="str">
        <f t="array" ref="B130">IFERROR(
  INDEX(員工資料!$C$2:$C$999,
    SMALL(
      IF(員工資料!$I$2:$I$999=$A130,
         ROW(員工資料!$I$2:$I$999)-ROW(員工資料!$I$2)+1
      ),
      COUNTIF($A$2:$A130,$A130)
    )
  ),
"")</f>
        <v/>
      </c>
      <c r="C130" s="45" t="str">
        <f t="array" ref="C130">IFERROR(
  INDEX(員工資料!$D$2:$D$999,
    SMALL(
      IF(員工資料!$I$2:$I$999=$A130,
         ROW(員工資料!$I$2:$I$999)-ROW(員工資料!$I$2)+1
      ),
      COUNTIF($A$2:$A130,$A130)
    )
  ),
"")</f>
        <v/>
      </c>
      <c r="G130" s="59" t="str">
        <f>IFERROR(
  SMALL(員工資料!$L$2:$L$999, ROW(G129)),
"")</f>
        <v/>
      </c>
      <c r="H130" s="60" t="str">
        <f t="array" ref="H130">IFERROR(
  INDEX(員工資料!$C$2:$C$999,
    SMALL(
      IF(員工資料!$L$2:$L$999=$G130,
         ROW(員工資料!$L$2:$L$999)-ROW(員工資料!$L$2)+1
      ),
      COUNTIF($G$2:$G130,$G130)
    )
  ),
"")</f>
        <v/>
      </c>
      <c r="I130" s="59" t="str">
        <f t="array" ref="I130">IFERROR(
  INDEX(員工資料!$D$2:$D$999,
    SMALL(
      IF(員工資料!$L$2:$L$999=$G130,
         ROW(員工資料!$L$2:$L$999)-ROW(員工資料!$L$2)+1
      ),
      COUNTIF($G$2:$G130,$G130)
    )
  ),
"")</f>
        <v/>
      </c>
    </row>
    <row r="131" spans="1:9">
      <c r="A131" s="45" t="str">
        <f t="array" ref="A131">IFERROR(
  SMALL(員工資料!$I$2:$I$999, ROW(A130)),
"")</f>
        <v/>
      </c>
      <c r="B131" s="45" t="str">
        <f t="array" ref="B131">IFERROR(
  INDEX(員工資料!$C$2:$C$999,
    SMALL(
      IF(員工資料!$I$2:$I$999=$A131,
         ROW(員工資料!$I$2:$I$999)-ROW(員工資料!$I$2)+1
      ),
      COUNTIF($A$2:$A131,$A131)
    )
  ),
"")</f>
        <v/>
      </c>
      <c r="C131" s="45" t="str">
        <f t="array" ref="C131">IFERROR(
  INDEX(員工資料!$D$2:$D$999,
    SMALL(
      IF(員工資料!$I$2:$I$999=$A131,
         ROW(員工資料!$I$2:$I$999)-ROW(員工資料!$I$2)+1
      ),
      COUNTIF($A$2:$A131,$A131)
    )
  ),
"")</f>
        <v/>
      </c>
      <c r="G131" s="59" t="str">
        <f>IFERROR(
  SMALL(員工資料!$L$2:$L$999, ROW(G130)),
"")</f>
        <v/>
      </c>
      <c r="H131" s="60" t="str">
        <f t="array" ref="H131">IFERROR(
  INDEX(員工資料!$C$2:$C$999,
    SMALL(
      IF(員工資料!$L$2:$L$999=$G131,
         ROW(員工資料!$L$2:$L$999)-ROW(員工資料!$L$2)+1
      ),
      COUNTIF($G$2:$G131,$G131)
    )
  ),
"")</f>
        <v/>
      </c>
      <c r="I131" s="59" t="str">
        <f t="array" ref="I131">IFERROR(
  INDEX(員工資料!$D$2:$D$999,
    SMALL(
      IF(員工資料!$L$2:$L$999=$G131,
         ROW(員工資料!$L$2:$L$999)-ROW(員工資料!$L$2)+1
      ),
      COUNTIF($G$2:$G131,$G131)
    )
  ),
"")</f>
        <v/>
      </c>
    </row>
    <row r="132" spans="1:9">
      <c r="A132" s="45" t="str">
        <f t="array" ref="A132">IFERROR(
  SMALL(員工資料!$I$2:$I$999, ROW(A131)),
"")</f>
        <v/>
      </c>
      <c r="B132" s="45" t="str">
        <f t="array" ref="B132">IFERROR(
  INDEX(員工資料!$C$2:$C$999,
    SMALL(
      IF(員工資料!$I$2:$I$999=$A132,
         ROW(員工資料!$I$2:$I$999)-ROW(員工資料!$I$2)+1
      ),
      COUNTIF($A$2:$A132,$A132)
    )
  ),
"")</f>
        <v/>
      </c>
      <c r="C132" s="45" t="str">
        <f t="array" ref="C132">IFERROR(
  INDEX(員工資料!$D$2:$D$999,
    SMALL(
      IF(員工資料!$I$2:$I$999=$A132,
         ROW(員工資料!$I$2:$I$999)-ROW(員工資料!$I$2)+1
      ),
      COUNTIF($A$2:$A132,$A132)
    )
  ),
"")</f>
        <v/>
      </c>
      <c r="G132" s="59" t="str">
        <f>IFERROR(
  SMALL(員工資料!$L$2:$L$999, ROW(G131)),
"")</f>
        <v/>
      </c>
      <c r="H132" s="60" t="str">
        <f t="array" ref="H132">IFERROR(
  INDEX(員工資料!$C$2:$C$999,
    SMALL(
      IF(員工資料!$L$2:$L$999=$G132,
         ROW(員工資料!$L$2:$L$999)-ROW(員工資料!$L$2)+1
      ),
      COUNTIF($G$2:$G132,$G132)
    )
  ),
"")</f>
        <v/>
      </c>
      <c r="I132" s="59" t="str">
        <f t="array" ref="I132">IFERROR(
  INDEX(員工資料!$D$2:$D$999,
    SMALL(
      IF(員工資料!$L$2:$L$999=$G132,
         ROW(員工資料!$L$2:$L$999)-ROW(員工資料!$L$2)+1
      ),
      COUNTIF($G$2:$G132,$G132)
    )
  ),
"")</f>
        <v/>
      </c>
    </row>
    <row r="133" spans="1:9">
      <c r="A133" s="45" t="str">
        <f t="array" ref="A133">IFERROR(
  SMALL(員工資料!$I$2:$I$999, ROW(A132)),
"")</f>
        <v/>
      </c>
      <c r="B133" s="45" t="str">
        <f t="array" ref="B133">IFERROR(
  INDEX(員工資料!$C$2:$C$999,
    SMALL(
      IF(員工資料!$I$2:$I$999=$A133,
         ROW(員工資料!$I$2:$I$999)-ROW(員工資料!$I$2)+1
      ),
      COUNTIF($A$2:$A133,$A133)
    )
  ),
"")</f>
        <v/>
      </c>
      <c r="C133" s="45" t="str">
        <f t="array" ref="C133">IFERROR(
  INDEX(員工資料!$D$2:$D$999,
    SMALL(
      IF(員工資料!$I$2:$I$999=$A133,
         ROW(員工資料!$I$2:$I$999)-ROW(員工資料!$I$2)+1
      ),
      COUNTIF($A$2:$A133,$A133)
    )
  ),
"")</f>
        <v/>
      </c>
      <c r="G133" s="59" t="str">
        <f>IFERROR(
  SMALL(員工資料!$L$2:$L$999, ROW(G132)),
"")</f>
        <v/>
      </c>
      <c r="H133" s="60" t="str">
        <f t="array" ref="H133">IFERROR(
  INDEX(員工資料!$C$2:$C$999,
    SMALL(
      IF(員工資料!$L$2:$L$999=$G133,
         ROW(員工資料!$L$2:$L$999)-ROW(員工資料!$L$2)+1
      ),
      COUNTIF($G$2:$G133,$G133)
    )
  ),
"")</f>
        <v/>
      </c>
      <c r="I133" s="59" t="str">
        <f t="array" ref="I133">IFERROR(
  INDEX(員工資料!$D$2:$D$999,
    SMALL(
      IF(員工資料!$L$2:$L$999=$G133,
         ROW(員工資料!$L$2:$L$999)-ROW(員工資料!$L$2)+1
      ),
      COUNTIF($G$2:$G133,$G133)
    )
  ),
"")</f>
        <v/>
      </c>
    </row>
    <row r="134" spans="1:9">
      <c r="A134" s="45" t="str">
        <f t="array" ref="A134">IFERROR(
  SMALL(員工資料!$I$2:$I$999, ROW(A133)),
"")</f>
        <v/>
      </c>
      <c r="B134" s="45" t="str">
        <f t="array" ref="B134">IFERROR(
  INDEX(員工資料!$C$2:$C$999,
    SMALL(
      IF(員工資料!$I$2:$I$999=$A134,
         ROW(員工資料!$I$2:$I$999)-ROW(員工資料!$I$2)+1
      ),
      COUNTIF($A$2:$A134,$A134)
    )
  ),
"")</f>
        <v/>
      </c>
      <c r="C134" s="45" t="str">
        <f t="array" ref="C134">IFERROR(
  INDEX(員工資料!$D$2:$D$999,
    SMALL(
      IF(員工資料!$I$2:$I$999=$A134,
         ROW(員工資料!$I$2:$I$999)-ROW(員工資料!$I$2)+1
      ),
      COUNTIF($A$2:$A134,$A134)
    )
  ),
"")</f>
        <v/>
      </c>
      <c r="G134" s="59" t="str">
        <f>IFERROR(
  SMALL(員工資料!$L$2:$L$999, ROW(G133)),
"")</f>
        <v/>
      </c>
      <c r="H134" s="60" t="str">
        <f t="array" ref="H134">IFERROR(
  INDEX(員工資料!$C$2:$C$999,
    SMALL(
      IF(員工資料!$L$2:$L$999=$G134,
         ROW(員工資料!$L$2:$L$999)-ROW(員工資料!$L$2)+1
      ),
      COUNTIF($G$2:$G134,$G134)
    )
  ),
"")</f>
        <v/>
      </c>
      <c r="I134" s="59" t="str">
        <f t="array" ref="I134">IFERROR(
  INDEX(員工資料!$D$2:$D$999,
    SMALL(
      IF(員工資料!$L$2:$L$999=$G134,
         ROW(員工資料!$L$2:$L$999)-ROW(員工資料!$L$2)+1
      ),
      COUNTIF($G$2:$G134,$G134)
    )
  ),
"")</f>
        <v/>
      </c>
    </row>
    <row r="135" spans="1:9">
      <c r="A135" s="45" t="str">
        <f t="array" ref="A135">IFERROR(
  SMALL(員工資料!$I$2:$I$999, ROW(A134)),
"")</f>
        <v/>
      </c>
      <c r="B135" s="45" t="str">
        <f t="array" ref="B135">IFERROR(
  INDEX(員工資料!$C$2:$C$999,
    SMALL(
      IF(員工資料!$I$2:$I$999=$A135,
         ROW(員工資料!$I$2:$I$999)-ROW(員工資料!$I$2)+1
      ),
      COUNTIF($A$2:$A135,$A135)
    )
  ),
"")</f>
        <v/>
      </c>
      <c r="C135" s="45" t="str">
        <f t="array" ref="C135">IFERROR(
  INDEX(員工資料!$D$2:$D$999,
    SMALL(
      IF(員工資料!$I$2:$I$999=$A135,
         ROW(員工資料!$I$2:$I$999)-ROW(員工資料!$I$2)+1
      ),
      COUNTIF($A$2:$A135,$A135)
    )
  ),
"")</f>
        <v/>
      </c>
      <c r="G135" s="59" t="str">
        <f>IFERROR(
  SMALL(員工資料!$L$2:$L$999, ROW(G134)),
"")</f>
        <v/>
      </c>
      <c r="H135" s="60" t="str">
        <f t="array" ref="H135">IFERROR(
  INDEX(員工資料!$C$2:$C$999,
    SMALL(
      IF(員工資料!$L$2:$L$999=$G135,
         ROW(員工資料!$L$2:$L$999)-ROW(員工資料!$L$2)+1
      ),
      COUNTIF($G$2:$G135,$G135)
    )
  ),
"")</f>
        <v/>
      </c>
      <c r="I135" s="59" t="str">
        <f t="array" ref="I135">IFERROR(
  INDEX(員工資料!$D$2:$D$999,
    SMALL(
      IF(員工資料!$L$2:$L$999=$G135,
         ROW(員工資料!$L$2:$L$999)-ROW(員工資料!$L$2)+1
      ),
      COUNTIF($G$2:$G135,$G135)
    )
  ),
"")</f>
        <v/>
      </c>
    </row>
    <row r="136" spans="1:9">
      <c r="A136" s="45" t="str">
        <f t="array" ref="A136">IFERROR(
  SMALL(員工資料!$I$2:$I$999, ROW(A135)),
"")</f>
        <v/>
      </c>
      <c r="B136" s="45" t="str">
        <f t="array" ref="B136">IFERROR(
  INDEX(員工資料!$C$2:$C$999,
    SMALL(
      IF(員工資料!$I$2:$I$999=$A136,
         ROW(員工資料!$I$2:$I$999)-ROW(員工資料!$I$2)+1
      ),
      COUNTIF($A$2:$A136,$A136)
    )
  ),
"")</f>
        <v/>
      </c>
      <c r="C136" s="45" t="str">
        <f t="array" ref="C136">IFERROR(
  INDEX(員工資料!$D$2:$D$999,
    SMALL(
      IF(員工資料!$I$2:$I$999=$A136,
         ROW(員工資料!$I$2:$I$999)-ROW(員工資料!$I$2)+1
      ),
      COUNTIF($A$2:$A136,$A136)
    )
  ),
"")</f>
        <v/>
      </c>
      <c r="G136" s="59" t="str">
        <f>IFERROR(
  SMALL(員工資料!$L$2:$L$999, ROW(G135)),
"")</f>
        <v/>
      </c>
      <c r="H136" s="60" t="str">
        <f t="array" ref="H136">IFERROR(
  INDEX(員工資料!$C$2:$C$999,
    SMALL(
      IF(員工資料!$L$2:$L$999=$G136,
         ROW(員工資料!$L$2:$L$999)-ROW(員工資料!$L$2)+1
      ),
      COUNTIF($G$2:$G136,$G136)
    )
  ),
"")</f>
        <v/>
      </c>
      <c r="I136" s="59" t="str">
        <f t="array" ref="I136">IFERROR(
  INDEX(員工資料!$D$2:$D$999,
    SMALL(
      IF(員工資料!$L$2:$L$999=$G136,
         ROW(員工資料!$L$2:$L$999)-ROW(員工資料!$L$2)+1
      ),
      COUNTIF($G$2:$G136,$G136)
    )
  ),
"")</f>
        <v/>
      </c>
    </row>
    <row r="137" spans="1:9">
      <c r="A137" s="49" t="str">
        <f t="array" ref="A137">IFERROR(
  SMALL(員工資料!$I$2:$I$999, ROW(A136)),
"")</f>
        <v/>
      </c>
      <c r="B137" s="49" t="str">
        <f t="array" ref="B137">IFERROR(
  INDEX(員工資料!$C$2:$C$999,
    SMALL(
      IF(員工資料!$I$2:$I$999=$A137,
         ROW(員工資料!$I$2:$I$999)-ROW(員工資料!$I$2)+1
      ),
      COUNTIF($A$2:$A137,$A137)
    )
  ),
"")</f>
        <v/>
      </c>
      <c r="C137" s="49" t="str">
        <f t="array" ref="C137">IFERROR(
  INDEX(員工資料!$D$2:$D$999,
    SMALL(
      IF(員工資料!$I$2:$I$999=$A137,
         ROW(員工資料!$I$2:$I$999)-ROW(員工資料!$I$2)+1
      ),
      COUNTIF($A$2:$A137,$A137)
    )
  ),
"")</f>
        <v/>
      </c>
      <c r="D137" s="49"/>
      <c r="G137" s="59" t="str">
        <f>IFERROR(
  SMALL(員工資料!$L$2:$L$999, ROW(G136)),
"")</f>
        <v/>
      </c>
    </row>
    <row r="138" spans="1:9">
      <c r="A138" s="49" t="str">
        <f t="array" ref="A138">IFERROR(
  SMALL(員工資料!$I$2:$I$999, ROW(A137)),
"")</f>
        <v/>
      </c>
      <c r="B138" s="49" t="str">
        <f t="array" ref="B138">IFERROR(
  INDEX(員工資料!$C$2:$C$999,
    SMALL(
      IF(員工資料!$I$2:$I$999=$A138,
         ROW(員工資料!$I$2:$I$999)-ROW(員工資料!$I$2)+1
      ),
      COUNTIF($A$2:$A138,$A138)
    )
  ),
"")</f>
        <v/>
      </c>
      <c r="C138" s="49" t="str">
        <f t="array" ref="C138">IFERROR(
  INDEX(員工資料!$D$2:$D$999,
    SMALL(
      IF(員工資料!$I$2:$I$999=$A138,
         ROW(員工資料!$I$2:$I$999)-ROW(員工資料!$I$2)+1
      ),
      COUNTIF($A$2:$A138,$A138)
    )
  ),
"")</f>
        <v/>
      </c>
      <c r="D138" s="49"/>
      <c r="G138" s="59" t="str">
        <f>IFERROR(
  SMALL(員工資料!$L$2:$L$999, ROW(G137)),
"")</f>
        <v/>
      </c>
    </row>
    <row r="139" spans="1:9">
      <c r="A139" s="49" t="str">
        <f t="array" ref="A139">IFERROR(
  SMALL(員工資料!$I$2:$I$999, ROW(A138)),
"")</f>
        <v/>
      </c>
      <c r="B139" s="49" t="str">
        <f t="array" ref="B139">IFERROR(
  INDEX(員工資料!$C$2:$C$999,
    SMALL(
      IF(員工資料!$I$2:$I$999=$A139,
         ROW(員工資料!$I$2:$I$999)-ROW(員工資料!$I$2)+1
      ),
      COUNTIF($A$2:$A139,$A139)
    )
  ),
"")</f>
        <v/>
      </c>
      <c r="C139" s="49" t="str">
        <f t="array" ref="C139">IFERROR(
  INDEX(員工資料!$D$2:$D$999,
    SMALL(
      IF(員工資料!$I$2:$I$999=$A139,
         ROW(員工資料!$I$2:$I$999)-ROW(員工資料!$I$2)+1
      ),
      COUNTIF($A$2:$A139,$A139)
    )
  ),
"")</f>
        <v/>
      </c>
      <c r="D139" s="49"/>
      <c r="G139" s="59" t="str">
        <f>IFERROR(
  SMALL(員工資料!$L$2:$L$999, ROW(G138)),
"")</f>
        <v/>
      </c>
    </row>
    <row r="140" spans="1:9">
      <c r="A140" s="49" t="str">
        <f t="array" ref="A140">IFERROR(
  SMALL(員工資料!$I$2:$I$999, ROW(A139)),
"")</f>
        <v/>
      </c>
      <c r="B140" s="49" t="str">
        <f t="array" ref="B140">IFERROR(
  INDEX(員工資料!$C$2:$C$999,
    SMALL(
      IF(員工資料!$I$2:$I$999=$A140,
         ROW(員工資料!$I$2:$I$999)-ROW(員工資料!$I$2)+1
      ),
      COUNTIF($A$2:$A140,$A140)
    )
  ),
"")</f>
        <v/>
      </c>
      <c r="C140" s="49" t="str">
        <f t="array" ref="C140">IFERROR(
  INDEX(員工資料!$D$2:$D$999,
    SMALL(
      IF(員工資料!$I$2:$I$999=$A140,
         ROW(員工資料!$I$2:$I$999)-ROW(員工資料!$I$2)+1
      ),
      COUNTIF($A$2:$A140,$A140)
    )
  ),
"")</f>
        <v/>
      </c>
      <c r="D140" s="49"/>
      <c r="G140" s="59" t="str">
        <f>IFERROR(
  SMALL(員工資料!$L$2:$L$999, ROW(G139)),
"")</f>
        <v/>
      </c>
    </row>
    <row r="141" spans="1:9">
      <c r="A141" s="49" t="str">
        <f t="array" ref="A141">IFERROR(
  SMALL(員工資料!$I$2:$I$999, ROW(A140)),
"")</f>
        <v/>
      </c>
      <c r="B141" s="49" t="str">
        <f t="array" ref="B141">IFERROR(
  INDEX(員工資料!$C$2:$C$999,
    SMALL(
      IF(員工資料!$I$2:$I$999=$A141,
         ROW(員工資料!$I$2:$I$999)-ROW(員工資料!$I$2)+1
      ),
      COUNTIF($A$2:$A141,$A141)
    )
  ),
"")</f>
        <v/>
      </c>
      <c r="C141" s="49" t="str">
        <f t="array" ref="C141">IFERROR(
  INDEX(員工資料!$D$2:$D$999,
    SMALL(
      IF(員工資料!$I$2:$I$999=$A141,
         ROW(員工資料!$I$2:$I$999)-ROW(員工資料!$I$2)+1
      ),
      COUNTIF($A$2:$A141,$A141)
    )
  ),
"")</f>
        <v/>
      </c>
      <c r="D141" s="49"/>
      <c r="G141" s="59" t="str">
        <f>IFERROR(
  SMALL(員工資料!$L$2:$L$999, ROW(G140)),
"")</f>
        <v/>
      </c>
    </row>
    <row r="142" spans="1:9">
      <c r="A142" s="49" t="str">
        <f t="array" ref="A142">IFERROR(
  SMALL(員工資料!$I$2:$I$999, ROW(A141)),
"")</f>
        <v/>
      </c>
      <c r="B142" s="49" t="str">
        <f t="array" ref="B142">IFERROR(
  INDEX(員工資料!$C$2:$C$999,
    SMALL(
      IF(員工資料!$I$2:$I$999=$A142,
         ROW(員工資料!$I$2:$I$999)-ROW(員工資料!$I$2)+1
      ),
      COUNTIF($A$2:$A142,$A142)
    )
  ),
"")</f>
        <v/>
      </c>
      <c r="C142" s="49" t="str">
        <f t="array" ref="C142">IFERROR(
  INDEX(員工資料!$D$2:$D$999,
    SMALL(
      IF(員工資料!$I$2:$I$999=$A142,
         ROW(員工資料!$I$2:$I$999)-ROW(員工資料!$I$2)+1
      ),
      COUNTIF($A$2:$A142,$A142)
    )
  ),
"")</f>
        <v/>
      </c>
      <c r="D142" s="49"/>
      <c r="G142" s="59" t="str">
        <f>IFERROR(
  SMALL(員工資料!$L$2:$L$999, ROW(G141)),
"")</f>
        <v/>
      </c>
    </row>
    <row r="143" spans="1:9">
      <c r="A143" s="49" t="str">
        <f t="array" ref="A143">IFERROR(
  SMALL(員工資料!$I$2:$I$999, ROW(A142)),
"")</f>
        <v/>
      </c>
      <c r="B143" s="49" t="str">
        <f t="array" ref="B143">IFERROR(
  INDEX(員工資料!$C$2:$C$999,
    SMALL(
      IF(員工資料!$I$2:$I$999=$A143,
         ROW(員工資料!$I$2:$I$999)-ROW(員工資料!$I$2)+1
      ),
      COUNTIF($A$2:$A143,$A143)
    )
  ),
"")</f>
        <v/>
      </c>
      <c r="C143" s="49" t="str">
        <f t="array" ref="C143">IFERROR(
  INDEX(員工資料!$D$2:$D$999,
    SMALL(
      IF(員工資料!$I$2:$I$999=$A143,
         ROW(員工資料!$I$2:$I$999)-ROW(員工資料!$I$2)+1
      ),
      COUNTIF($A$2:$A143,$A143)
    )
  ),
"")</f>
        <v/>
      </c>
      <c r="D143" s="49"/>
      <c r="G143" s="59" t="str">
        <f>IFERROR(
  SMALL(員工資料!$L$2:$L$999, ROW(G142)),
"")</f>
        <v/>
      </c>
    </row>
    <row r="144" spans="1:9">
      <c r="A144" s="49" t="str">
        <f t="array" ref="A144">IFERROR(
  SMALL(員工資料!$I$2:$I$999, ROW(A143)),
"")</f>
        <v/>
      </c>
      <c r="B144" s="49" t="str">
        <f t="array" ref="B144">IFERROR(
  INDEX(員工資料!$C$2:$C$999,
    SMALL(
      IF(員工資料!$I$2:$I$999=$A144,
         ROW(員工資料!$I$2:$I$999)-ROW(員工資料!$I$2)+1
      ),
      COUNTIF($A$2:$A144,$A144)
    )
  ),
"")</f>
        <v/>
      </c>
      <c r="C144" s="49" t="str">
        <f t="array" ref="C144">IFERROR(
  INDEX(員工資料!$D$2:$D$999,
    SMALL(
      IF(員工資料!$I$2:$I$999=$A144,
         ROW(員工資料!$I$2:$I$999)-ROW(員工資料!$I$2)+1
      ),
      COUNTIF($A$2:$A144,$A144)
    )
  ),
"")</f>
        <v/>
      </c>
      <c r="D144" s="49"/>
      <c r="G144" s="59" t="str">
        <f>IFERROR(
  SMALL(員工資料!$L$2:$L$999, ROW(G143)),
"")</f>
        <v/>
      </c>
    </row>
    <row r="145" spans="1:7">
      <c r="A145" s="49" t="str">
        <f t="array" ref="A145">IFERROR(
  SMALL(員工資料!$I$2:$I$999, ROW(A144)),
"")</f>
        <v/>
      </c>
      <c r="B145" s="49" t="str">
        <f t="array" ref="B145">IFERROR(
  INDEX(員工資料!$C$2:$C$999,
    SMALL(
      IF(員工資料!$I$2:$I$999=$A145,
         ROW(員工資料!$I$2:$I$999)-ROW(員工資料!$I$2)+1
      ),
      COUNTIF($A$2:$A145,$A145)
    )
  ),
"")</f>
        <v/>
      </c>
      <c r="C145" s="49" t="str">
        <f t="array" ref="C145">IFERROR(
  INDEX(員工資料!$D$2:$D$999,
    SMALL(
      IF(員工資料!$I$2:$I$999=$A145,
         ROW(員工資料!$I$2:$I$999)-ROW(員工資料!$I$2)+1
      ),
      COUNTIF($A$2:$A145,$A145)
    )
  ),
"")</f>
        <v/>
      </c>
      <c r="D145" s="49"/>
      <c r="G145" s="59" t="str">
        <f>IFERROR(
  SMALL(員工資料!$L$2:$L$999, ROW(G144)),
"")</f>
        <v/>
      </c>
    </row>
    <row r="146" spans="1:7">
      <c r="A146" s="49" t="str">
        <f t="array" ref="A146">IFERROR(
  SMALL(員工資料!$I$2:$I$999, ROW(A145)),
"")</f>
        <v/>
      </c>
      <c r="B146" s="49" t="str">
        <f t="array" ref="B146">IFERROR(
  INDEX(員工資料!$C$2:$C$999,
    SMALL(
      IF(員工資料!$I$2:$I$999=$A146,
         ROW(員工資料!$I$2:$I$999)-ROW(員工資料!$I$2)+1
      ),
      COUNTIF($A$2:$A146,$A146)
    )
  ),
"")</f>
        <v/>
      </c>
      <c r="C146" s="49" t="str">
        <f t="array" ref="C146">IFERROR(
  INDEX(員工資料!$D$2:$D$999,
    SMALL(
      IF(員工資料!$I$2:$I$999=$A146,
         ROW(員工資料!$I$2:$I$999)-ROW(員工資料!$I$2)+1
      ),
      COUNTIF($A$2:$A146,$A146)
    )
  ),
"")</f>
        <v/>
      </c>
      <c r="D146" s="49"/>
      <c r="G146" s="59" t="str">
        <f>IFERROR(
  SMALL(員工資料!$L$2:$L$999, ROW(G145)),
"")</f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3"/>
  <sheetViews>
    <sheetView zoomScale="70" zoomScaleNormal="70" workbookViewId="0">
      <selection activeCell="P19" sqref="P19"/>
    </sheetView>
  </sheetViews>
  <sheetFormatPr defaultRowHeight="17"/>
  <cols>
    <col min="1" max="1" width="13.81640625" bestFit="1" customWidth="1"/>
    <col min="2" max="2" width="10.36328125" bestFit="1" customWidth="1"/>
    <col min="3" max="5" width="3.453125" bestFit="1" customWidth="1"/>
    <col min="6" max="6" width="2.6328125" bestFit="1" customWidth="1"/>
    <col min="7" max="7" width="7.453125" bestFit="1" customWidth="1"/>
    <col min="8" max="8" width="5.81640625" bestFit="1" customWidth="1"/>
    <col min="9" max="18" width="10.36328125" bestFit="1" customWidth="1"/>
    <col min="19" max="19" width="5.81640625" customWidth="1"/>
  </cols>
  <sheetData>
    <row r="3" spans="1:8">
      <c r="A3" s="15" t="s">
        <v>510</v>
      </c>
      <c r="B3" s="15" t="s">
        <v>450</v>
      </c>
    </row>
    <row r="4" spans="1:8">
      <c r="A4" s="15" t="s">
        <v>443</v>
      </c>
      <c r="B4" t="s">
        <v>449</v>
      </c>
      <c r="C4" t="s">
        <v>445</v>
      </c>
      <c r="D4" t="s">
        <v>446</v>
      </c>
      <c r="E4" t="s">
        <v>447</v>
      </c>
      <c r="F4" t="s">
        <v>448</v>
      </c>
      <c r="G4" t="s">
        <v>509</v>
      </c>
      <c r="H4" t="s">
        <v>444</v>
      </c>
    </row>
    <row r="5" spans="1:8">
      <c r="A5" s="16" t="s">
        <v>277</v>
      </c>
      <c r="B5" s="17"/>
      <c r="C5" s="17">
        <v>6</v>
      </c>
      <c r="D5" s="17">
        <v>9</v>
      </c>
      <c r="E5" s="17">
        <v>7</v>
      </c>
      <c r="F5" s="17">
        <v>2</v>
      </c>
      <c r="G5" s="17"/>
      <c r="H5" s="17">
        <v>24</v>
      </c>
    </row>
    <row r="6" spans="1:8">
      <c r="A6" s="16" t="s">
        <v>267</v>
      </c>
      <c r="B6" s="17"/>
      <c r="C6" s="17"/>
      <c r="D6" s="17">
        <v>5</v>
      </c>
      <c r="E6" s="17">
        <v>1</v>
      </c>
      <c r="F6" s="17"/>
      <c r="G6" s="17"/>
      <c r="H6" s="17">
        <v>6</v>
      </c>
    </row>
    <row r="7" spans="1:8">
      <c r="A7" s="16" t="s">
        <v>271</v>
      </c>
      <c r="B7" s="17"/>
      <c r="C7" s="17">
        <v>1</v>
      </c>
      <c r="D7" s="17">
        <v>2</v>
      </c>
      <c r="E7" s="17">
        <v>1</v>
      </c>
      <c r="F7" s="17"/>
      <c r="G7" s="17"/>
      <c r="H7" s="17">
        <v>4</v>
      </c>
    </row>
    <row r="8" spans="1:8">
      <c r="A8" s="16" t="s">
        <v>276</v>
      </c>
      <c r="B8" s="17"/>
      <c r="C8" s="17">
        <v>2</v>
      </c>
      <c r="D8" s="17">
        <v>2</v>
      </c>
      <c r="E8" s="17"/>
      <c r="F8" s="17"/>
      <c r="G8" s="17"/>
      <c r="H8" s="17">
        <v>4</v>
      </c>
    </row>
    <row r="9" spans="1:8">
      <c r="A9" s="16" t="s">
        <v>268</v>
      </c>
      <c r="B9" s="17"/>
      <c r="C9" s="17">
        <v>2</v>
      </c>
      <c r="D9" s="17">
        <v>2</v>
      </c>
      <c r="E9" s="17"/>
      <c r="F9" s="17"/>
      <c r="G9" s="17"/>
      <c r="H9" s="17">
        <v>4</v>
      </c>
    </row>
    <row r="10" spans="1:8">
      <c r="A10" s="16" t="s">
        <v>266</v>
      </c>
      <c r="B10" s="17"/>
      <c r="C10" s="17">
        <v>1</v>
      </c>
      <c r="D10" s="17">
        <v>8</v>
      </c>
      <c r="E10" s="17">
        <v>3</v>
      </c>
      <c r="F10" s="17">
        <v>1</v>
      </c>
      <c r="G10" s="17"/>
      <c r="H10" s="17">
        <v>13</v>
      </c>
    </row>
    <row r="11" spans="1:8">
      <c r="A11" s="16" t="s">
        <v>270</v>
      </c>
      <c r="B11" s="17"/>
      <c r="C11" s="17">
        <v>2</v>
      </c>
      <c r="D11" s="17">
        <v>3</v>
      </c>
      <c r="E11" s="17">
        <v>4</v>
      </c>
      <c r="F11" s="17"/>
      <c r="G11" s="17"/>
      <c r="H11" s="17">
        <v>9</v>
      </c>
    </row>
    <row r="12" spans="1:8">
      <c r="A12" s="16" t="s">
        <v>275</v>
      </c>
      <c r="B12" s="17"/>
      <c r="C12" s="17">
        <v>3</v>
      </c>
      <c r="D12" s="17">
        <v>4</v>
      </c>
      <c r="E12" s="17">
        <v>1</v>
      </c>
      <c r="F12" s="17">
        <v>3</v>
      </c>
      <c r="G12" s="17"/>
      <c r="H12" s="17">
        <v>11</v>
      </c>
    </row>
    <row r="13" spans="1:8">
      <c r="A13" s="16" t="s">
        <v>265</v>
      </c>
      <c r="B13" s="17"/>
      <c r="C13" s="17">
        <v>2</v>
      </c>
      <c r="D13" s="17">
        <v>8</v>
      </c>
      <c r="E13" s="17">
        <v>7</v>
      </c>
      <c r="F13" s="17">
        <v>3</v>
      </c>
      <c r="G13" s="17"/>
      <c r="H13" s="17">
        <v>20</v>
      </c>
    </row>
    <row r="14" spans="1:8">
      <c r="A14" s="16" t="s">
        <v>264</v>
      </c>
      <c r="B14" s="17"/>
      <c r="C14" s="17">
        <v>1</v>
      </c>
      <c r="D14" s="17">
        <v>2</v>
      </c>
      <c r="E14" s="17"/>
      <c r="F14" s="17"/>
      <c r="G14" s="17"/>
      <c r="H14" s="17">
        <v>3</v>
      </c>
    </row>
    <row r="15" spans="1:8">
      <c r="A15" s="16" t="s">
        <v>278</v>
      </c>
      <c r="B15" s="17"/>
      <c r="C15" s="17"/>
      <c r="D15" s="17"/>
      <c r="E15" s="17"/>
      <c r="F15" s="17"/>
      <c r="G15" s="17"/>
      <c r="H15" s="17"/>
    </row>
    <row r="16" spans="1:8">
      <c r="A16" s="16" t="s">
        <v>269</v>
      </c>
      <c r="B16" s="17"/>
      <c r="C16" s="17">
        <v>4</v>
      </c>
      <c r="D16" s="17">
        <v>5</v>
      </c>
      <c r="E16" s="17">
        <v>6</v>
      </c>
      <c r="F16" s="17"/>
      <c r="G16" s="17"/>
      <c r="H16" s="17">
        <v>15</v>
      </c>
    </row>
    <row r="17" spans="1:8">
      <c r="A17" s="16" t="s">
        <v>272</v>
      </c>
      <c r="B17" s="17"/>
      <c r="C17" s="17">
        <v>2</v>
      </c>
      <c r="D17" s="17">
        <v>1</v>
      </c>
      <c r="E17" s="17"/>
      <c r="F17" s="17"/>
      <c r="G17" s="17"/>
      <c r="H17" s="17">
        <v>3</v>
      </c>
    </row>
    <row r="18" spans="1:8">
      <c r="A18" s="16" t="s">
        <v>274</v>
      </c>
      <c r="B18" s="17"/>
      <c r="C18" s="17">
        <v>1</v>
      </c>
      <c r="D18" s="17">
        <v>1</v>
      </c>
      <c r="E18" s="17"/>
      <c r="F18" s="17"/>
      <c r="G18" s="17"/>
      <c r="H18" s="17">
        <v>2</v>
      </c>
    </row>
    <row r="19" spans="1:8">
      <c r="A19" s="16" t="s">
        <v>273</v>
      </c>
      <c r="B19" s="17"/>
      <c r="C19" s="17"/>
      <c r="D19" s="17">
        <v>1</v>
      </c>
      <c r="E19" s="17"/>
      <c r="F19" s="17"/>
      <c r="G19" s="17"/>
      <c r="H19" s="17">
        <v>1</v>
      </c>
    </row>
    <row r="20" spans="1:8">
      <c r="A20" s="16" t="s">
        <v>280</v>
      </c>
      <c r="B20" s="17"/>
      <c r="C20" s="17"/>
      <c r="D20" s="17">
        <v>2</v>
      </c>
      <c r="E20" s="17">
        <v>3</v>
      </c>
      <c r="F20" s="17"/>
      <c r="G20" s="17"/>
      <c r="H20" s="17">
        <v>5</v>
      </c>
    </row>
    <row r="21" spans="1:8">
      <c r="A21" s="16" t="s">
        <v>279</v>
      </c>
      <c r="B21" s="17">
        <v>1</v>
      </c>
      <c r="C21" s="17"/>
      <c r="D21" s="17"/>
      <c r="E21" s="17"/>
      <c r="F21" s="17"/>
      <c r="G21" s="17"/>
      <c r="H21" s="17">
        <v>1</v>
      </c>
    </row>
    <row r="22" spans="1:8">
      <c r="A22" s="16" t="s">
        <v>509</v>
      </c>
      <c r="B22" s="17"/>
      <c r="C22" s="17"/>
      <c r="D22" s="17"/>
      <c r="E22" s="17"/>
      <c r="F22" s="17"/>
      <c r="G22" s="17"/>
      <c r="H22" s="17"/>
    </row>
    <row r="23" spans="1:8">
      <c r="A23" s="16" t="s">
        <v>444</v>
      </c>
      <c r="B23" s="17">
        <v>1</v>
      </c>
      <c r="C23" s="17">
        <v>27</v>
      </c>
      <c r="D23" s="17">
        <v>55</v>
      </c>
      <c r="E23" s="17">
        <v>33</v>
      </c>
      <c r="F23" s="17">
        <v>9</v>
      </c>
      <c r="G23" s="17"/>
      <c r="H23" s="17">
        <v>125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X146"/>
  <sheetViews>
    <sheetView showGridLines="0" tabSelected="1" topLeftCell="A100" zoomScale="80" zoomScaleNormal="80" workbookViewId="0">
      <selection activeCell="L120" sqref="L120"/>
    </sheetView>
  </sheetViews>
  <sheetFormatPr defaultRowHeight="14"/>
  <cols>
    <col min="1" max="1" width="11" style="10" customWidth="1"/>
    <col min="2" max="2" width="9.1796875" style="2" customWidth="1"/>
    <col min="3" max="5" width="8.7265625" style="2"/>
    <col min="6" max="6" width="10.453125" style="2" customWidth="1"/>
    <col min="7" max="7" width="15.7265625" style="38" customWidth="1"/>
    <col min="8" max="8" width="10.453125" style="43" customWidth="1"/>
    <col min="9" max="9" width="12.54296875" style="43" customWidth="1"/>
    <col min="10" max="10" width="20.90625" style="37" customWidth="1"/>
    <col min="11" max="11" width="14.1796875" style="10" customWidth="1"/>
    <col min="12" max="12" width="15.36328125" style="10" customWidth="1"/>
    <col min="13" max="13" width="17.36328125" style="2" customWidth="1"/>
    <col min="14" max="14" width="13.6328125" style="10" customWidth="1"/>
    <col min="15" max="15" width="27" style="10" customWidth="1"/>
    <col min="16" max="16" width="14" style="10" customWidth="1"/>
    <col min="17" max="22" width="14" style="2" customWidth="1"/>
    <col min="23" max="23" width="12.54296875" style="38" customWidth="1"/>
    <col min="24" max="24" width="8.7265625" style="2" customWidth="1"/>
    <col min="25" max="16384" width="8.7265625" style="2"/>
  </cols>
  <sheetData>
    <row r="1" spans="1:24">
      <c r="A1" s="10" t="s">
        <v>333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328</v>
      </c>
      <c r="G1" s="40" t="s">
        <v>489</v>
      </c>
      <c r="H1" s="42" t="s">
        <v>485</v>
      </c>
      <c r="I1" s="42" t="s">
        <v>487</v>
      </c>
      <c r="J1" s="35" t="s">
        <v>304</v>
      </c>
      <c r="K1" s="11" t="s">
        <v>486</v>
      </c>
      <c r="L1" s="11" t="s">
        <v>488</v>
      </c>
      <c r="M1" s="11" t="s">
        <v>307</v>
      </c>
      <c r="N1" s="11" t="s">
        <v>305</v>
      </c>
      <c r="O1" s="11" t="s">
        <v>306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414</v>
      </c>
      <c r="V1" s="1" t="s">
        <v>308</v>
      </c>
      <c r="W1" s="38" t="s">
        <v>484</v>
      </c>
    </row>
    <row r="2" spans="1:24" ht="30" customHeight="1">
      <c r="B2" s="44"/>
      <c r="C2" s="4" t="s">
        <v>6</v>
      </c>
      <c r="D2" s="6" t="s">
        <v>264</v>
      </c>
      <c r="E2" s="4" t="s">
        <v>281</v>
      </c>
      <c r="F2" s="4" t="s">
        <v>310</v>
      </c>
      <c r="G2" s="41" t="e">
        <f>表格1[[#This Row],[加權後總分]]-表格1[[#This Row],[獎懲分數]]</f>
        <v>#DIV/0!</v>
      </c>
      <c r="H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" s="39" t="e">
        <f>_xlfn.RANK.EQ(G2,$G$2:$G$146,0)</f>
        <v>#DIV/0!</v>
      </c>
      <c r="J2" s="36" t="e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>#DIV/0!</v>
      </c>
      <c r="K2" s="8" t="e">
        <f>IF(J2&gt;=90,"A",
 IF(J2&gt;=77,"B",
 IF(J2&gt;=70,"C",
 IF(J2&gt;=60,"D","E"))))</f>
        <v>#DIV/0!</v>
      </c>
      <c r="L2" s="8" t="e">
        <f>_xlfn.RANK.EQ(J2,$J$2:$J$146,0)</f>
        <v>#DIV/0!</v>
      </c>
      <c r="M2" s="8" t="e">
        <f>表格1_3[[#This Row],[部內平均]]</f>
        <v>#DIV/0!</v>
      </c>
      <c r="N2" s="8" t="e">
        <f>表格1_3[[#This Row],[共評平均]]</f>
        <v>#DIV/0!</v>
      </c>
      <c r="O2" s="8" t="e">
        <f>表格1_3[[#This Row],[複評平均]]</f>
        <v>#DIV/0!</v>
      </c>
      <c r="P2" s="3"/>
      <c r="Q2" s="3"/>
      <c r="R2" s="3"/>
      <c r="S2" s="3"/>
      <c r="T2" s="3"/>
      <c r="U2" s="3"/>
      <c r="V2" s="3"/>
      <c r="W2" s="38" t="e">
        <v>#DIV/0!</v>
      </c>
    </row>
    <row r="3" spans="1:24">
      <c r="B3" s="5" t="s">
        <v>130</v>
      </c>
      <c r="C3" s="4" t="s">
        <v>309</v>
      </c>
      <c r="D3" s="6" t="s">
        <v>264</v>
      </c>
      <c r="E3" s="4" t="s">
        <v>282</v>
      </c>
      <c r="F3" s="4" t="s">
        <v>310</v>
      </c>
      <c r="G3" s="41" t="e">
        <f>表格1[[#This Row],[加權後總分]]-表格1[[#This Row],[獎懲分數]]</f>
        <v>#DIV/0!</v>
      </c>
      <c r="H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" s="39" t="e">
        <f t="shared" ref="I3:I66" si="0">_xlfn.RANK.EQ(G3,$G$2:$G$146,0)</f>
        <v>#DIV/0!</v>
      </c>
      <c r="J3" s="36" t="e">
        <f t="shared" ref="J3:J47" si="1"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>#DIV/0!</v>
      </c>
      <c r="K3" s="8" t="e">
        <f t="shared" ref="K3:K47" si="2">IF(J3&gt;=90,"A",
 IF(J3&gt;=77,"B",
 IF(J3&gt;=70,"C",
 IF(J3&gt;=60,"D","E"))))</f>
        <v>#DIV/0!</v>
      </c>
      <c r="L3" s="8" t="e">
        <f t="shared" ref="L3:L66" si="3">_xlfn.RANK.EQ(J3,$J$2:$J$146,0)</f>
        <v>#DIV/0!</v>
      </c>
      <c r="M3" s="8" t="e">
        <f>表格1_3[[#This Row],[部內平均]]</f>
        <v>#DIV/0!</v>
      </c>
      <c r="N3" s="8" t="e">
        <f>表格1_3[[#This Row],[共評平均]]</f>
        <v>#DIV/0!</v>
      </c>
      <c r="O3" s="8" t="e">
        <f>表格1_3[[#This Row],[複評平均]]</f>
        <v>#DIV/0!</v>
      </c>
      <c r="P3" s="3"/>
      <c r="Q3" s="3"/>
      <c r="R3" s="3"/>
      <c r="S3" s="3"/>
      <c r="T3" s="3"/>
      <c r="U3" s="3"/>
      <c r="V3" s="3"/>
      <c r="W3" s="38">
        <v>109.61904761904762</v>
      </c>
      <c r="X3" s="2">
        <v>1</v>
      </c>
    </row>
    <row r="4" spans="1:24">
      <c r="B4" s="5" t="s">
        <v>131</v>
      </c>
      <c r="C4" s="4" t="s">
        <v>310</v>
      </c>
      <c r="D4" s="6" t="s">
        <v>264</v>
      </c>
      <c r="E4" s="4" t="s">
        <v>5</v>
      </c>
      <c r="F4" s="4" t="s">
        <v>119</v>
      </c>
      <c r="G4" s="41" t="e">
        <f>表格1[[#This Row],[加權後總分]]-表格1[[#This Row],[獎懲分數]]</f>
        <v>#DIV/0!</v>
      </c>
      <c r="H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" s="39" t="e">
        <f t="shared" si="0"/>
        <v>#DIV/0!</v>
      </c>
      <c r="J4" s="36" t="e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
)</f>
        <v>#DIV/0!</v>
      </c>
      <c r="K4" s="8" t="e">
        <f t="shared" si="2"/>
        <v>#DIV/0!</v>
      </c>
      <c r="L4" s="8" t="e">
        <f t="shared" si="3"/>
        <v>#DIV/0!</v>
      </c>
      <c r="M4" s="8" t="e">
        <f>表格1_3[[#This Row],[部內平均]]</f>
        <v>#DIV/0!</v>
      </c>
      <c r="N4" s="8" t="e">
        <f>表格1_3[[#This Row],[共評平均]]</f>
        <v>#DIV/0!</v>
      </c>
      <c r="O4" s="8"/>
      <c r="P4" s="3"/>
      <c r="Q4" s="3"/>
      <c r="R4" s="3"/>
      <c r="S4" s="3"/>
      <c r="T4" s="3"/>
      <c r="U4" s="3"/>
      <c r="V4" s="3"/>
      <c r="W4" s="38">
        <v>87.6</v>
      </c>
      <c r="X4" s="2">
        <v>2</v>
      </c>
    </row>
    <row r="5" spans="1:24" ht="26">
      <c r="B5" s="5" t="s">
        <v>133</v>
      </c>
      <c r="C5" s="4" t="s">
        <v>7</v>
      </c>
      <c r="D5" s="6" t="s">
        <v>265</v>
      </c>
      <c r="E5" s="4" t="s">
        <v>284</v>
      </c>
      <c r="F5" s="4" t="s">
        <v>313</v>
      </c>
      <c r="G5" s="41" t="e">
        <f>表格1[[#This Row],[加權後總分]]-表格1[[#This Row],[獎懲分數]]</f>
        <v>#DIV/0!</v>
      </c>
      <c r="H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" s="39" t="e">
        <f t="shared" si="0"/>
        <v>#DIV/0!</v>
      </c>
      <c r="J5" s="36" t="e">
        <f t="shared" si="1"/>
        <v>#DIV/0!</v>
      </c>
      <c r="K5" s="8" t="e">
        <f t="shared" si="2"/>
        <v>#DIV/0!</v>
      </c>
      <c r="L5" s="8" t="e">
        <f t="shared" si="3"/>
        <v>#DIV/0!</v>
      </c>
      <c r="M5" s="8" t="e">
        <f>表格1_3[[#This Row],[部內平均]]</f>
        <v>#DIV/0!</v>
      </c>
      <c r="N5" s="8"/>
      <c r="O5" s="8" t="e">
        <f>表格1_3[[#This Row],[複評平均]]</f>
        <v>#DIV/0!</v>
      </c>
      <c r="P5" s="3"/>
      <c r="Q5" s="3"/>
      <c r="R5" s="3"/>
      <c r="S5" s="3"/>
      <c r="T5" s="3"/>
      <c r="U5" s="3"/>
      <c r="V5" s="3"/>
      <c r="W5" s="38">
        <v>87.2</v>
      </c>
      <c r="X5" s="2">
        <v>3</v>
      </c>
    </row>
    <row r="6" spans="1:24">
      <c r="A6" s="10" t="s">
        <v>396</v>
      </c>
      <c r="B6" s="5" t="s">
        <v>311</v>
      </c>
      <c r="C6" s="4" t="s">
        <v>434</v>
      </c>
      <c r="D6" s="6" t="s">
        <v>265</v>
      </c>
      <c r="E6" s="4" t="s">
        <v>283</v>
      </c>
      <c r="F6" s="4" t="s">
        <v>313</v>
      </c>
      <c r="G6" s="41" t="e">
        <f>表格1[[#This Row],[加權後總分]]-表格1[[#This Row],[獎懲分數]]</f>
        <v>#DIV/0!</v>
      </c>
      <c r="H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" s="39" t="e">
        <f t="shared" si="0"/>
        <v>#DIV/0!</v>
      </c>
      <c r="J6" s="36" t="e">
        <f t="shared" si="1"/>
        <v>#DIV/0!</v>
      </c>
      <c r="K6" s="8" t="e">
        <f t="shared" si="2"/>
        <v>#DIV/0!</v>
      </c>
      <c r="L6" s="8" t="e">
        <f t="shared" si="3"/>
        <v>#DIV/0!</v>
      </c>
      <c r="M6" s="8" t="e">
        <f>表格1_3[[#This Row],[部內平均]]</f>
        <v>#DIV/0!</v>
      </c>
      <c r="N6" s="8"/>
      <c r="O6" s="8" t="e">
        <f>表格1_3[[#This Row],[複評平均]]</f>
        <v>#DIV/0!</v>
      </c>
      <c r="P6" s="3"/>
      <c r="Q6" s="3"/>
      <c r="R6" s="3"/>
      <c r="S6" s="3"/>
      <c r="T6" s="3"/>
      <c r="U6" s="3"/>
      <c r="V6" s="3"/>
      <c r="W6" s="38">
        <v>86</v>
      </c>
      <c r="X6" s="2">
        <v>4</v>
      </c>
    </row>
    <row r="7" spans="1:24">
      <c r="A7" s="10" t="s">
        <v>396</v>
      </c>
      <c r="B7" s="5" t="s">
        <v>136</v>
      </c>
      <c r="C7" s="4" t="s">
        <v>10</v>
      </c>
      <c r="D7" s="6" t="s">
        <v>265</v>
      </c>
      <c r="E7" s="4" t="s">
        <v>283</v>
      </c>
      <c r="F7" s="4" t="s">
        <v>313</v>
      </c>
      <c r="G7" s="41" t="e">
        <f>表格1[[#This Row],[加權後總分]]-表格1[[#This Row],[獎懲分數]]</f>
        <v>#DIV/0!</v>
      </c>
      <c r="H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" s="39" t="e">
        <f t="shared" si="0"/>
        <v>#DIV/0!</v>
      </c>
      <c r="J7" s="36" t="e">
        <f t="shared" si="1"/>
        <v>#DIV/0!</v>
      </c>
      <c r="K7" s="8" t="e">
        <f t="shared" si="2"/>
        <v>#DIV/0!</v>
      </c>
      <c r="L7" s="8" t="e">
        <f t="shared" si="3"/>
        <v>#DIV/0!</v>
      </c>
      <c r="M7" s="8" t="e">
        <f>表格1_3[[#This Row],[部內平均]]</f>
        <v>#DIV/0!</v>
      </c>
      <c r="N7" s="8"/>
      <c r="O7" s="8" t="e">
        <f>表格1_3[[#This Row],[複評平均]]</f>
        <v>#DIV/0!</v>
      </c>
      <c r="P7" s="3"/>
      <c r="Q7" s="3"/>
      <c r="R7" s="3"/>
      <c r="S7" s="3"/>
      <c r="T7" s="3"/>
      <c r="U7" s="3"/>
      <c r="V7" s="3"/>
      <c r="W7" s="38">
        <v>85.8</v>
      </c>
      <c r="X7" s="2">
        <v>5</v>
      </c>
    </row>
    <row r="8" spans="1:24">
      <c r="A8" s="10" t="s">
        <v>396</v>
      </c>
      <c r="B8" s="5" t="s">
        <v>137</v>
      </c>
      <c r="C8" s="4" t="s">
        <v>11</v>
      </c>
      <c r="D8" s="6" t="s">
        <v>265</v>
      </c>
      <c r="E8" s="4" t="s">
        <v>283</v>
      </c>
      <c r="F8" s="4" t="s">
        <v>313</v>
      </c>
      <c r="G8" s="41" t="e">
        <f>表格1[[#This Row],[加權後總分]]-表格1[[#This Row],[獎懲分數]]</f>
        <v>#DIV/0!</v>
      </c>
      <c r="H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" s="39" t="e">
        <f t="shared" si="0"/>
        <v>#DIV/0!</v>
      </c>
      <c r="J8" s="36" t="e">
        <f t="shared" si="1"/>
        <v>#DIV/0!</v>
      </c>
      <c r="K8" s="8" t="e">
        <f t="shared" si="2"/>
        <v>#DIV/0!</v>
      </c>
      <c r="L8" s="8" t="e">
        <f t="shared" si="3"/>
        <v>#DIV/0!</v>
      </c>
      <c r="M8" s="8" t="e">
        <f>表格1_3[[#This Row],[部內平均]]</f>
        <v>#DIV/0!</v>
      </c>
      <c r="N8" s="8"/>
      <c r="O8" s="8" t="e">
        <f>表格1_3[[#This Row],[複評平均]]</f>
        <v>#DIV/0!</v>
      </c>
      <c r="P8" s="3"/>
      <c r="Q8" s="3"/>
      <c r="R8" s="3"/>
      <c r="S8" s="3"/>
      <c r="T8" s="3"/>
      <c r="U8" s="3"/>
      <c r="V8" s="3"/>
      <c r="W8" s="38">
        <v>84.86666666666666</v>
      </c>
      <c r="X8" s="2">
        <v>6</v>
      </c>
    </row>
    <row r="9" spans="1:24">
      <c r="A9" s="10" t="s">
        <v>396</v>
      </c>
      <c r="B9" s="5" t="s">
        <v>138</v>
      </c>
      <c r="C9" s="4" t="s">
        <v>12</v>
      </c>
      <c r="D9" s="6" t="s">
        <v>265</v>
      </c>
      <c r="E9" s="4" t="s">
        <v>283</v>
      </c>
      <c r="F9" s="4" t="s">
        <v>93</v>
      </c>
      <c r="G9" s="41" t="e">
        <f>表格1[[#This Row],[加權後總分]]-表格1[[#This Row],[獎懲分數]]</f>
        <v>#DIV/0!</v>
      </c>
      <c r="H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" s="39" t="e">
        <f t="shared" si="0"/>
        <v>#DIV/0!</v>
      </c>
      <c r="J9" s="36" t="e">
        <f t="shared" si="1"/>
        <v>#DIV/0!</v>
      </c>
      <c r="K9" s="8" t="e">
        <f t="shared" si="2"/>
        <v>#DIV/0!</v>
      </c>
      <c r="L9" s="8" t="e">
        <f t="shared" si="3"/>
        <v>#DIV/0!</v>
      </c>
      <c r="M9" s="8" t="e">
        <f>表格1_3[[#This Row],[部內平均]]</f>
        <v>#DIV/0!</v>
      </c>
      <c r="N9" s="8"/>
      <c r="O9" s="8" t="e">
        <f>表格1_3[[#This Row],[複評平均]]</f>
        <v>#DIV/0!</v>
      </c>
      <c r="P9" s="3"/>
      <c r="Q9" s="3"/>
      <c r="R9" s="3"/>
      <c r="S9" s="3"/>
      <c r="T9" s="3"/>
      <c r="U9" s="3"/>
      <c r="V9" s="3"/>
      <c r="W9" s="38">
        <v>84.8</v>
      </c>
      <c r="X9" s="2">
        <v>7</v>
      </c>
    </row>
    <row r="10" spans="1:24">
      <c r="A10" s="10" t="s">
        <v>396</v>
      </c>
      <c r="B10" s="5" t="s">
        <v>139</v>
      </c>
      <c r="C10" s="4" t="s">
        <v>13</v>
      </c>
      <c r="D10" s="6" t="s">
        <v>265</v>
      </c>
      <c r="E10" s="4" t="s">
        <v>283</v>
      </c>
      <c r="F10" s="4" t="s">
        <v>93</v>
      </c>
      <c r="G10" s="41" t="e">
        <f>表格1[[#This Row],[加權後總分]]-表格1[[#This Row],[獎懲分數]]</f>
        <v>#DIV/0!</v>
      </c>
      <c r="H1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" s="39" t="e">
        <f t="shared" si="0"/>
        <v>#DIV/0!</v>
      </c>
      <c r="J10" s="36" t="e">
        <f t="shared" si="1"/>
        <v>#DIV/0!</v>
      </c>
      <c r="K10" s="8" t="e">
        <f t="shared" si="2"/>
        <v>#DIV/0!</v>
      </c>
      <c r="L10" s="8" t="e">
        <f t="shared" si="3"/>
        <v>#DIV/0!</v>
      </c>
      <c r="M10" s="8" t="e">
        <f>表格1_3[[#This Row],[部內平均]]</f>
        <v>#DIV/0!</v>
      </c>
      <c r="N10" s="8"/>
      <c r="O10" s="8" t="e">
        <f>表格1_3[[#This Row],[複評平均]]</f>
        <v>#DIV/0!</v>
      </c>
      <c r="P10" s="3"/>
      <c r="Q10" s="3"/>
      <c r="R10" s="3"/>
      <c r="S10" s="3"/>
      <c r="T10" s="3"/>
      <c r="U10" s="3"/>
      <c r="V10" s="3"/>
      <c r="W10" s="38">
        <v>83.8</v>
      </c>
      <c r="X10" s="2">
        <v>8</v>
      </c>
    </row>
    <row r="11" spans="1:24">
      <c r="A11" s="10" t="s">
        <v>396</v>
      </c>
      <c r="B11" s="5" t="s">
        <v>132</v>
      </c>
      <c r="C11" s="4" t="s">
        <v>312</v>
      </c>
      <c r="D11" s="6" t="s">
        <v>265</v>
      </c>
      <c r="E11" s="4" t="s">
        <v>283</v>
      </c>
      <c r="F11" s="4" t="s">
        <v>313</v>
      </c>
      <c r="G11" s="41" t="e">
        <f>表格1[[#This Row],[加權後總分]]-表格1[[#This Row],[獎懲分數]]</f>
        <v>#DIV/0!</v>
      </c>
      <c r="H1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" s="39" t="e">
        <f t="shared" si="0"/>
        <v>#DIV/0!</v>
      </c>
      <c r="J11" s="36" t="e">
        <f t="shared" si="1"/>
        <v>#DIV/0!</v>
      </c>
      <c r="K11" s="8" t="e">
        <f t="shared" si="2"/>
        <v>#DIV/0!</v>
      </c>
      <c r="L11" s="8" t="e">
        <f t="shared" si="3"/>
        <v>#DIV/0!</v>
      </c>
      <c r="M11" s="8" t="e">
        <f>表格1_3[[#This Row],[部內平均]]</f>
        <v>#DIV/0!</v>
      </c>
      <c r="N11" s="8"/>
      <c r="O11" s="8" t="e">
        <f>表格1_3[[#This Row],[複評平均]]</f>
        <v>#DIV/0!</v>
      </c>
      <c r="P11" s="3"/>
      <c r="Q11" s="3"/>
      <c r="R11" s="3"/>
      <c r="S11" s="3"/>
      <c r="T11" s="3"/>
      <c r="U11" s="3"/>
      <c r="V11" s="3"/>
      <c r="W11" s="38">
        <v>83.8</v>
      </c>
      <c r="X11" s="2">
        <v>9</v>
      </c>
    </row>
    <row r="12" spans="1:24">
      <c r="A12" s="10" t="s">
        <v>396</v>
      </c>
      <c r="B12" s="5" t="s">
        <v>144</v>
      </c>
      <c r="C12" s="4" t="s">
        <v>18</v>
      </c>
      <c r="D12" s="6" t="s">
        <v>265</v>
      </c>
      <c r="E12" s="4" t="s">
        <v>283</v>
      </c>
      <c r="F12" s="4" t="s">
        <v>313</v>
      </c>
      <c r="G12" s="41" t="e">
        <f>表格1[[#This Row],[加權後總分]]-表格1[[#This Row],[獎懲分數]]</f>
        <v>#DIV/0!</v>
      </c>
      <c r="H1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2" s="39" t="e">
        <f t="shared" si="0"/>
        <v>#DIV/0!</v>
      </c>
      <c r="J12" s="36" t="e">
        <f t="shared" si="1"/>
        <v>#DIV/0!</v>
      </c>
      <c r="K12" s="8" t="e">
        <f t="shared" si="2"/>
        <v>#DIV/0!</v>
      </c>
      <c r="L12" s="8" t="e">
        <f t="shared" si="3"/>
        <v>#DIV/0!</v>
      </c>
      <c r="M12" s="8" t="e">
        <f>表格1_3[[#This Row],[部內平均]]</f>
        <v>#DIV/0!</v>
      </c>
      <c r="N12" s="8"/>
      <c r="O12" s="8" t="e">
        <f>表格1_3[[#This Row],[複評平均]]</f>
        <v>#DIV/0!</v>
      </c>
      <c r="P12" s="3"/>
      <c r="Q12" s="3"/>
      <c r="R12" s="3"/>
      <c r="S12" s="3"/>
      <c r="T12" s="3"/>
      <c r="U12" s="3"/>
      <c r="V12" s="3"/>
      <c r="W12" s="38">
        <v>83.6</v>
      </c>
      <c r="X12" s="2">
        <v>10</v>
      </c>
    </row>
    <row r="13" spans="1:24">
      <c r="A13" s="10" t="s">
        <v>396</v>
      </c>
      <c r="B13" s="5" t="s">
        <v>143</v>
      </c>
      <c r="C13" s="4" t="s">
        <v>17</v>
      </c>
      <c r="D13" s="6" t="s">
        <v>265</v>
      </c>
      <c r="E13" s="4" t="s">
        <v>283</v>
      </c>
      <c r="F13" s="4" t="s">
        <v>74</v>
      </c>
      <c r="G13" s="41" t="e">
        <f>表格1[[#This Row],[加權後總分]]-表格1[[#This Row],[獎懲分數]]</f>
        <v>#DIV/0!</v>
      </c>
      <c r="H1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3" s="39" t="e">
        <f t="shared" si="0"/>
        <v>#DIV/0!</v>
      </c>
      <c r="J13" s="36" t="e">
        <f t="shared" si="1"/>
        <v>#DIV/0!</v>
      </c>
      <c r="K13" s="8" t="e">
        <f t="shared" si="2"/>
        <v>#DIV/0!</v>
      </c>
      <c r="L13" s="8" t="e">
        <f t="shared" si="3"/>
        <v>#DIV/0!</v>
      </c>
      <c r="M13" s="8" t="e">
        <f>表格1_3[[#This Row],[部內平均]]</f>
        <v>#DIV/0!</v>
      </c>
      <c r="N13" s="8"/>
      <c r="O13" s="8" t="e">
        <f>表格1_3[[#This Row],[複評平均]]</f>
        <v>#DIV/0!</v>
      </c>
      <c r="P13" s="3"/>
      <c r="Q13" s="3"/>
      <c r="R13" s="3"/>
      <c r="S13" s="3"/>
      <c r="T13" s="3"/>
      <c r="U13" s="3"/>
      <c r="V13" s="3"/>
      <c r="W13" s="38">
        <v>83.6</v>
      </c>
      <c r="X13" s="2">
        <v>11</v>
      </c>
    </row>
    <row r="14" spans="1:24">
      <c r="A14" s="10" t="s">
        <v>396</v>
      </c>
      <c r="B14" s="5" t="s">
        <v>134</v>
      </c>
      <c r="C14" s="4" t="s">
        <v>8</v>
      </c>
      <c r="D14" s="6" t="s">
        <v>265</v>
      </c>
      <c r="E14" s="4" t="s">
        <v>283</v>
      </c>
      <c r="F14" s="4" t="s">
        <v>313</v>
      </c>
      <c r="G14" s="41" t="e">
        <f>表格1[[#This Row],[加權後總分]]-表格1[[#This Row],[獎懲分數]]</f>
        <v>#DIV/0!</v>
      </c>
      <c r="H1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4" s="39" t="e">
        <f t="shared" si="0"/>
        <v>#DIV/0!</v>
      </c>
      <c r="J14" s="36" t="e">
        <f t="shared" si="1"/>
        <v>#DIV/0!</v>
      </c>
      <c r="K14" s="8" t="e">
        <f t="shared" si="2"/>
        <v>#DIV/0!</v>
      </c>
      <c r="L14" s="8" t="e">
        <f t="shared" si="3"/>
        <v>#DIV/0!</v>
      </c>
      <c r="M14" s="8" t="e">
        <f>表格1_3[[#This Row],[部內平均]]</f>
        <v>#DIV/0!</v>
      </c>
      <c r="N14" s="8"/>
      <c r="O14" s="8" t="e">
        <f>表格1_3[[#This Row],[複評平均]]</f>
        <v>#DIV/0!</v>
      </c>
      <c r="P14" s="3"/>
      <c r="Q14" s="3"/>
      <c r="R14" s="3"/>
      <c r="S14" s="3"/>
      <c r="T14" s="3"/>
      <c r="U14" s="3"/>
      <c r="V14" s="3"/>
      <c r="W14" s="38">
        <v>82.8</v>
      </c>
      <c r="X14" s="2">
        <v>12</v>
      </c>
    </row>
    <row r="15" spans="1:24">
      <c r="A15" s="10" t="s">
        <v>396</v>
      </c>
      <c r="B15" s="5" t="s">
        <v>135</v>
      </c>
      <c r="C15" s="4" t="s">
        <v>9</v>
      </c>
      <c r="D15" s="6" t="s">
        <v>265</v>
      </c>
      <c r="E15" s="4" t="s">
        <v>283</v>
      </c>
      <c r="F15" s="4" t="s">
        <v>74</v>
      </c>
      <c r="G15" s="41" t="e">
        <f>表格1[[#This Row],[加權後總分]]-表格1[[#This Row],[獎懲分數]]</f>
        <v>#DIV/0!</v>
      </c>
      <c r="H1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5" s="39" t="e">
        <f t="shared" si="0"/>
        <v>#DIV/0!</v>
      </c>
      <c r="J15" s="36" t="e">
        <f t="shared" si="1"/>
        <v>#DIV/0!</v>
      </c>
      <c r="K15" s="8" t="e">
        <f t="shared" si="2"/>
        <v>#DIV/0!</v>
      </c>
      <c r="L15" s="8" t="e">
        <f t="shared" si="3"/>
        <v>#DIV/0!</v>
      </c>
      <c r="M15" s="8" t="e">
        <f>表格1_3[[#This Row],[部內平均]]</f>
        <v>#DIV/0!</v>
      </c>
      <c r="N15" s="8"/>
      <c r="O15" s="8" t="e">
        <f>表格1_3[[#This Row],[複評平均]]</f>
        <v>#DIV/0!</v>
      </c>
      <c r="P15" s="3"/>
      <c r="Q15" s="3"/>
      <c r="R15" s="3"/>
      <c r="S15" s="3"/>
      <c r="T15" s="3"/>
      <c r="U15" s="3"/>
      <c r="V15" s="3"/>
      <c r="W15" s="38">
        <v>82.2</v>
      </c>
      <c r="X15" s="2">
        <v>13</v>
      </c>
    </row>
    <row r="16" spans="1:24">
      <c r="A16" s="10" t="s">
        <v>396</v>
      </c>
      <c r="B16" s="5" t="s">
        <v>146</v>
      </c>
      <c r="C16" s="4" t="s">
        <v>20</v>
      </c>
      <c r="D16" s="6" t="s">
        <v>265</v>
      </c>
      <c r="E16" s="4" t="s">
        <v>283</v>
      </c>
      <c r="F16" s="4" t="s">
        <v>313</v>
      </c>
      <c r="G16" s="41" t="e">
        <f>表格1[[#This Row],[加權後總分]]-表格1[[#This Row],[獎懲分數]]</f>
        <v>#DIV/0!</v>
      </c>
      <c r="H1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6" s="39" t="e">
        <f t="shared" si="0"/>
        <v>#DIV/0!</v>
      </c>
      <c r="J16" s="36" t="e">
        <f t="shared" si="1"/>
        <v>#DIV/0!</v>
      </c>
      <c r="K16" s="8" t="e">
        <f t="shared" si="2"/>
        <v>#DIV/0!</v>
      </c>
      <c r="L16" s="8" t="e">
        <f t="shared" si="3"/>
        <v>#DIV/0!</v>
      </c>
      <c r="M16" s="8" t="e">
        <f>表格1_3[[#This Row],[部內平均]]</f>
        <v>#DIV/0!</v>
      </c>
      <c r="N16" s="8"/>
      <c r="O16" s="8" t="e">
        <f>表格1_3[[#This Row],[複評平均]]</f>
        <v>#DIV/0!</v>
      </c>
      <c r="P16" s="3"/>
      <c r="Q16" s="3"/>
      <c r="R16" s="3"/>
      <c r="S16" s="3"/>
      <c r="T16" s="3"/>
      <c r="U16" s="3"/>
      <c r="V16" s="3"/>
      <c r="W16" s="38">
        <v>81.400000000000006</v>
      </c>
      <c r="X16" s="2">
        <v>14</v>
      </c>
    </row>
    <row r="17" spans="1:24">
      <c r="A17" s="10" t="s">
        <v>396</v>
      </c>
      <c r="B17" s="5" t="s">
        <v>140</v>
      </c>
      <c r="C17" s="4" t="s">
        <v>14</v>
      </c>
      <c r="D17" s="6" t="s">
        <v>265</v>
      </c>
      <c r="E17" s="4" t="s">
        <v>283</v>
      </c>
      <c r="F17" s="4" t="s">
        <v>329</v>
      </c>
      <c r="G17" s="41" t="e">
        <f>表格1[[#This Row],[加權後總分]]-表格1[[#This Row],[獎懲分數]]</f>
        <v>#DIV/0!</v>
      </c>
      <c r="H1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7" s="39" t="e">
        <f t="shared" si="0"/>
        <v>#DIV/0!</v>
      </c>
      <c r="J17" s="36" t="e">
        <f t="shared" si="1"/>
        <v>#DIV/0!</v>
      </c>
      <c r="K17" s="8" t="e">
        <f t="shared" si="2"/>
        <v>#DIV/0!</v>
      </c>
      <c r="L17" s="8" t="e">
        <f t="shared" si="3"/>
        <v>#DIV/0!</v>
      </c>
      <c r="M17" s="8" t="e">
        <f>表格1_3[[#This Row],[部內平均]]</f>
        <v>#DIV/0!</v>
      </c>
      <c r="N17" s="8"/>
      <c r="O17" s="8" t="e">
        <f>表格1_3[[#This Row],[複評平均]]</f>
        <v>#DIV/0!</v>
      </c>
      <c r="P17" s="3"/>
      <c r="Q17" s="3"/>
      <c r="R17" s="3"/>
      <c r="S17" s="3"/>
      <c r="T17" s="3"/>
      <c r="U17" s="3"/>
      <c r="V17" s="3"/>
      <c r="W17" s="38">
        <v>81.349999999999994</v>
      </c>
      <c r="X17" s="2">
        <v>15</v>
      </c>
    </row>
    <row r="18" spans="1:24">
      <c r="A18" s="10" t="s">
        <v>396</v>
      </c>
      <c r="B18" s="5" t="s">
        <v>141</v>
      </c>
      <c r="C18" s="4" t="s">
        <v>15</v>
      </c>
      <c r="D18" s="6" t="s">
        <v>265</v>
      </c>
      <c r="E18" s="4" t="s">
        <v>283</v>
      </c>
      <c r="F18" s="4" t="s">
        <v>313</v>
      </c>
      <c r="G18" s="41" t="e">
        <f>表格1[[#This Row],[加權後總分]]-表格1[[#This Row],[獎懲分數]]</f>
        <v>#DIV/0!</v>
      </c>
      <c r="H1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8" s="39" t="e">
        <f t="shared" si="0"/>
        <v>#DIV/0!</v>
      </c>
      <c r="J18" s="36" t="e">
        <f t="shared" si="1"/>
        <v>#DIV/0!</v>
      </c>
      <c r="K18" s="8" t="e">
        <f t="shared" si="2"/>
        <v>#DIV/0!</v>
      </c>
      <c r="L18" s="8" t="e">
        <f t="shared" si="3"/>
        <v>#DIV/0!</v>
      </c>
      <c r="M18" s="8" t="e">
        <f>表格1_3[[#This Row],[部內平均]]</f>
        <v>#DIV/0!</v>
      </c>
      <c r="N18" s="8"/>
      <c r="O18" s="8" t="e">
        <f>表格1_3[[#This Row],[複評平均]]</f>
        <v>#DIV/0!</v>
      </c>
      <c r="P18" s="3"/>
      <c r="Q18" s="3"/>
      <c r="R18" s="3"/>
      <c r="S18" s="3"/>
      <c r="T18" s="3"/>
      <c r="U18" s="3"/>
      <c r="V18" s="3"/>
      <c r="W18" s="38">
        <v>81.058333333333337</v>
      </c>
      <c r="X18" s="2">
        <v>16</v>
      </c>
    </row>
    <row r="19" spans="1:24">
      <c r="B19" s="5"/>
      <c r="C19" s="4"/>
      <c r="D19" s="6"/>
      <c r="E19" s="4"/>
      <c r="F19" s="4"/>
      <c r="G19" s="41" t="e">
        <f>表格1[[#This Row],[加權後總分]]-表格1[[#This Row],[獎懲分數]]</f>
        <v>#DIV/0!</v>
      </c>
      <c r="H1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9" s="39" t="e">
        <f t="shared" si="0"/>
        <v>#DIV/0!</v>
      </c>
      <c r="J19" s="36" t="e">
        <f t="shared" si="1"/>
        <v>#DIV/0!</v>
      </c>
      <c r="K19" s="8" t="e">
        <f t="shared" si="2"/>
        <v>#DIV/0!</v>
      </c>
      <c r="L19" s="8" t="e">
        <f t="shared" si="3"/>
        <v>#DIV/0!</v>
      </c>
      <c r="M19" s="8" t="e">
        <f>表格1_3[[#This Row],[部內平均]]</f>
        <v>#DIV/0!</v>
      </c>
      <c r="N19" s="8"/>
      <c r="O19" s="8" t="e">
        <f>表格1_3[[#This Row],[複評平均]]</f>
        <v>#DIV/0!</v>
      </c>
      <c r="P19" s="3"/>
      <c r="Q19" s="3"/>
      <c r="R19" s="3"/>
      <c r="S19" s="3"/>
      <c r="T19" s="3"/>
      <c r="U19" s="3"/>
      <c r="V19" s="3"/>
      <c r="W19" s="38">
        <v>80.693877551020421</v>
      </c>
      <c r="X19" s="2">
        <v>17</v>
      </c>
    </row>
    <row r="20" spans="1:24">
      <c r="B20" s="5" t="s">
        <v>150</v>
      </c>
      <c r="C20" s="4" t="s">
        <v>23</v>
      </c>
      <c r="D20" s="6" t="s">
        <v>265</v>
      </c>
      <c r="E20" s="4" t="s">
        <v>285</v>
      </c>
      <c r="F20" s="4" t="s">
        <v>313</v>
      </c>
      <c r="G20" s="41" t="e">
        <f>表格1[[#This Row],[加權後總分]]-表格1[[#This Row],[獎懲分數]]</f>
        <v>#DIV/0!</v>
      </c>
      <c r="H2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0" s="39" t="e">
        <f t="shared" si="0"/>
        <v>#DIV/0!</v>
      </c>
      <c r="J20" s="36" t="e">
        <f t="shared" si="1"/>
        <v>#DIV/0!</v>
      </c>
      <c r="K20" s="8" t="e">
        <f t="shared" si="2"/>
        <v>#DIV/0!</v>
      </c>
      <c r="L20" s="8" t="e">
        <f t="shared" si="3"/>
        <v>#DIV/0!</v>
      </c>
      <c r="M20" s="8" t="e">
        <f>表格1_3[[#This Row],[部內平均]]</f>
        <v>#DIV/0!</v>
      </c>
      <c r="N20" s="8" t="e">
        <f>表格1_3[[#This Row],[共評平均]]</f>
        <v>#DIV/0!</v>
      </c>
      <c r="O20" s="8" t="e">
        <f>表格1_3[[#This Row],[複評平均]]</f>
        <v>#DIV/0!</v>
      </c>
      <c r="P20" s="3"/>
      <c r="Q20" s="3"/>
      <c r="R20" s="3"/>
      <c r="S20" s="3"/>
      <c r="T20" s="3"/>
      <c r="U20" s="3"/>
      <c r="V20" s="3"/>
      <c r="W20" s="38">
        <v>80.599999999999994</v>
      </c>
      <c r="X20" s="2">
        <v>18</v>
      </c>
    </row>
    <row r="21" spans="1:24">
      <c r="A21" s="10" t="s">
        <v>390</v>
      </c>
      <c r="B21" s="5" t="s">
        <v>147</v>
      </c>
      <c r="C21" s="4" t="s">
        <v>21</v>
      </c>
      <c r="D21" s="6" t="s">
        <v>265</v>
      </c>
      <c r="E21" s="4" t="s">
        <v>283</v>
      </c>
      <c r="F21" s="4" t="s">
        <v>313</v>
      </c>
      <c r="G21" s="41" t="e">
        <f>表格1[[#This Row],[加權後總分]]-表格1[[#This Row],[獎懲分數]]</f>
        <v>#DIV/0!</v>
      </c>
      <c r="H2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1" s="39" t="e">
        <f t="shared" si="0"/>
        <v>#DIV/0!</v>
      </c>
      <c r="J21" s="36" t="e">
        <f t="shared" si="1"/>
        <v>#DIV/0!</v>
      </c>
      <c r="K21" s="8" t="e">
        <f t="shared" si="2"/>
        <v>#DIV/0!</v>
      </c>
      <c r="L21" s="8" t="e">
        <f t="shared" si="3"/>
        <v>#DIV/0!</v>
      </c>
      <c r="M21" s="8" t="e">
        <f>表格1_3[[#This Row],[部內平均]]</f>
        <v>#DIV/0!</v>
      </c>
      <c r="N21" s="8"/>
      <c r="O21" s="8" t="e">
        <f>表格1_3[[#This Row],[複評平均]]</f>
        <v>#DIV/0!</v>
      </c>
      <c r="P21" s="3"/>
      <c r="Q21" s="3"/>
      <c r="R21" s="3"/>
      <c r="S21" s="3"/>
      <c r="T21" s="3"/>
      <c r="U21" s="3"/>
      <c r="V21" s="3"/>
      <c r="W21" s="38">
        <v>80.5</v>
      </c>
      <c r="X21" s="2">
        <v>19</v>
      </c>
    </row>
    <row r="22" spans="1:24">
      <c r="A22" s="10" t="s">
        <v>389</v>
      </c>
      <c r="B22" s="5" t="s">
        <v>145</v>
      </c>
      <c r="C22" s="4" t="s">
        <v>19</v>
      </c>
      <c r="D22" s="6" t="s">
        <v>265</v>
      </c>
      <c r="E22" s="4" t="s">
        <v>285</v>
      </c>
      <c r="F22" s="4" t="s">
        <v>313</v>
      </c>
      <c r="G22" s="41" t="e">
        <f>表格1[[#This Row],[加權後總分]]-表格1[[#This Row],[獎懲分數]]</f>
        <v>#DIV/0!</v>
      </c>
      <c r="H2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2" s="39" t="e">
        <f t="shared" si="0"/>
        <v>#DIV/0!</v>
      </c>
      <c r="J22" s="36" t="e">
        <f t="shared" si="1"/>
        <v>#DIV/0!</v>
      </c>
      <c r="K22" s="8" t="e">
        <f t="shared" si="2"/>
        <v>#DIV/0!</v>
      </c>
      <c r="L22" s="8" t="e">
        <f t="shared" si="3"/>
        <v>#DIV/0!</v>
      </c>
      <c r="M22" s="8" t="e">
        <f>表格1_3[[#This Row],[部內平均]]</f>
        <v>#DIV/0!</v>
      </c>
      <c r="N22" s="8" t="e">
        <f>表格1_3[[#This Row],[共評平均]]</f>
        <v>#DIV/0!</v>
      </c>
      <c r="O22" s="8" t="e">
        <f>表格1_3[[#This Row],[複評平均]]</f>
        <v>#DIV/0!</v>
      </c>
      <c r="P22" s="3"/>
      <c r="Q22" s="3"/>
      <c r="R22" s="3"/>
      <c r="S22" s="3"/>
      <c r="T22" s="3"/>
      <c r="U22" s="3"/>
      <c r="V22" s="3"/>
      <c r="W22" s="38">
        <v>79.938775510204081</v>
      </c>
      <c r="X22" s="2">
        <v>20</v>
      </c>
    </row>
    <row r="23" spans="1:24">
      <c r="B23" s="5" t="s">
        <v>148</v>
      </c>
      <c r="C23" s="4" t="s">
        <v>313</v>
      </c>
      <c r="D23" s="6" t="s">
        <v>265</v>
      </c>
      <c r="E23" s="4" t="s">
        <v>5</v>
      </c>
      <c r="F23" s="4" t="s">
        <v>74</v>
      </c>
      <c r="G23" s="41" t="e">
        <f>表格1[[#This Row],[加權後總分]]-表格1[[#This Row],[獎懲分數]]</f>
        <v>#DIV/0!</v>
      </c>
      <c r="H2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3" s="39" t="e">
        <f t="shared" si="0"/>
        <v>#DIV/0!</v>
      </c>
      <c r="J23" s="36" t="e">
        <f t="shared" si="1"/>
        <v>#DIV/0!</v>
      </c>
      <c r="K23" s="8" t="e">
        <f t="shared" si="2"/>
        <v>#DIV/0!</v>
      </c>
      <c r="L23" s="8" t="e">
        <f t="shared" si="3"/>
        <v>#DIV/0!</v>
      </c>
      <c r="M23" s="8" t="e">
        <f>表格1_3[[#This Row],[部內平均]]</f>
        <v>#DIV/0!</v>
      </c>
      <c r="N23" s="8" t="e">
        <f>表格1_3[[#This Row],[共評平均]]</f>
        <v>#DIV/0!</v>
      </c>
      <c r="O23" s="8" t="e">
        <f>表格1_3[[#This Row],[複評平均]]</f>
        <v>#DIV/0!</v>
      </c>
      <c r="P23" s="3"/>
      <c r="Q23" s="3"/>
      <c r="R23" s="3"/>
      <c r="S23" s="3"/>
      <c r="T23" s="3"/>
      <c r="U23" s="3"/>
      <c r="V23" s="3"/>
      <c r="W23" s="38">
        <v>79.416666666666657</v>
      </c>
      <c r="X23" s="2">
        <v>21</v>
      </c>
    </row>
    <row r="24" spans="1:24">
      <c r="A24" s="10" t="s">
        <v>397</v>
      </c>
      <c r="B24" s="5" t="s">
        <v>149</v>
      </c>
      <c r="C24" s="4" t="s">
        <v>22</v>
      </c>
      <c r="D24" s="6" t="s">
        <v>265</v>
      </c>
      <c r="E24" s="4" t="s">
        <v>283</v>
      </c>
      <c r="F24" s="4" t="s">
        <v>313</v>
      </c>
      <c r="G24" s="41" t="e">
        <f>表格1[[#This Row],[加權後總分]]-表格1[[#This Row],[獎懲分數]]</f>
        <v>#DIV/0!</v>
      </c>
      <c r="H2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4" s="39" t="e">
        <f t="shared" si="0"/>
        <v>#DIV/0!</v>
      </c>
      <c r="J24" s="36" t="e">
        <f t="shared" si="1"/>
        <v>#DIV/0!</v>
      </c>
      <c r="K24" s="8" t="e">
        <f t="shared" si="2"/>
        <v>#DIV/0!</v>
      </c>
      <c r="L24" s="8" t="e">
        <f t="shared" si="3"/>
        <v>#DIV/0!</v>
      </c>
      <c r="M24" s="8" t="e">
        <f>表格1_3[[#This Row],[部內平均]]</f>
        <v>#DIV/0!</v>
      </c>
      <c r="N24" s="8"/>
      <c r="O24" s="8" t="e">
        <f>表格1_3[[#This Row],[複評平均]]</f>
        <v>#DIV/0!</v>
      </c>
      <c r="P24" s="3"/>
      <c r="Q24" s="3"/>
      <c r="R24" s="3"/>
      <c r="S24" s="3"/>
      <c r="T24" s="3"/>
      <c r="U24" s="3"/>
      <c r="V24" s="3"/>
      <c r="W24" s="38">
        <v>79.285714285714292</v>
      </c>
      <c r="X24" s="2">
        <v>22</v>
      </c>
    </row>
    <row r="25" spans="1:24">
      <c r="A25" s="10" t="s">
        <v>398</v>
      </c>
      <c r="B25" s="5" t="s">
        <v>151</v>
      </c>
      <c r="C25" s="4" t="s">
        <v>24</v>
      </c>
      <c r="D25" s="6" t="s">
        <v>266</v>
      </c>
      <c r="E25" s="4" t="s">
        <v>283</v>
      </c>
      <c r="F25" s="4" t="s">
        <v>329</v>
      </c>
      <c r="G25" s="41" t="e">
        <f>表格1[[#This Row],[加權後總分]]-表格1[[#This Row],[獎懲分數]]</f>
        <v>#DIV/0!</v>
      </c>
      <c r="H2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5" s="39" t="e">
        <f t="shared" si="0"/>
        <v>#DIV/0!</v>
      </c>
      <c r="J25" s="36" t="e">
        <f t="shared" si="1"/>
        <v>#DIV/0!</v>
      </c>
      <c r="K25" s="8" t="e">
        <f t="shared" si="2"/>
        <v>#DIV/0!</v>
      </c>
      <c r="L25" s="8" t="e">
        <f t="shared" si="3"/>
        <v>#DIV/0!</v>
      </c>
      <c r="M25" s="8" t="e">
        <f>表格1_3[[#This Row],[部內平均]]</f>
        <v>#DIV/0!</v>
      </c>
      <c r="N25" s="8"/>
      <c r="O25" s="8" t="e">
        <f>表格1_3[[#This Row],[複評平均]]</f>
        <v>#DIV/0!</v>
      </c>
      <c r="P25" s="3"/>
      <c r="Q25" s="3"/>
      <c r="R25" s="3"/>
      <c r="S25" s="3"/>
      <c r="T25" s="3"/>
      <c r="U25" s="3"/>
      <c r="V25" s="3"/>
      <c r="W25" s="38">
        <v>79.109090909090895</v>
      </c>
      <c r="X25" s="2">
        <v>23</v>
      </c>
    </row>
    <row r="26" spans="1:24">
      <c r="A26" s="10" t="s">
        <v>397</v>
      </c>
      <c r="B26" s="5" t="s">
        <v>152</v>
      </c>
      <c r="C26" s="4" t="s">
        <v>25</v>
      </c>
      <c r="D26" s="6" t="s">
        <v>266</v>
      </c>
      <c r="E26" s="4" t="s">
        <v>283</v>
      </c>
      <c r="F26" s="4" t="s">
        <v>35</v>
      </c>
      <c r="G26" s="41" t="e">
        <f>表格1[[#This Row],[加權後總分]]-表格1[[#This Row],[獎懲分數]]</f>
        <v>#DIV/0!</v>
      </c>
      <c r="H2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6" s="39" t="e">
        <f t="shared" si="0"/>
        <v>#DIV/0!</v>
      </c>
      <c r="J26" s="36" t="e">
        <f t="shared" si="1"/>
        <v>#DIV/0!</v>
      </c>
      <c r="K26" s="8" t="e">
        <f t="shared" si="2"/>
        <v>#DIV/0!</v>
      </c>
      <c r="L26" s="8" t="e">
        <f t="shared" si="3"/>
        <v>#DIV/0!</v>
      </c>
      <c r="M26" s="8" t="e">
        <f>表格1_3[[#This Row],[部內平均]]</f>
        <v>#DIV/0!</v>
      </c>
      <c r="N26" s="8"/>
      <c r="O26" s="8" t="e">
        <f>表格1_3[[#This Row],[複評平均]]</f>
        <v>#DIV/0!</v>
      </c>
      <c r="P26" s="3"/>
      <c r="Q26" s="3"/>
      <c r="R26" s="3"/>
      <c r="S26" s="3"/>
      <c r="T26" s="3"/>
      <c r="U26" s="3"/>
      <c r="V26" s="3"/>
      <c r="W26" s="38">
        <v>79</v>
      </c>
      <c r="X26" s="2">
        <v>24</v>
      </c>
    </row>
    <row r="27" spans="1:24">
      <c r="A27" s="10" t="s">
        <v>399</v>
      </c>
      <c r="B27" s="5" t="s">
        <v>157</v>
      </c>
      <c r="C27" s="4" t="s">
        <v>30</v>
      </c>
      <c r="D27" s="6" t="s">
        <v>266</v>
      </c>
      <c r="E27" s="4" t="s">
        <v>283</v>
      </c>
      <c r="F27" s="4" t="s">
        <v>329</v>
      </c>
      <c r="G27" s="41" t="e">
        <f>表格1[[#This Row],[加權後總分]]-表格1[[#This Row],[獎懲分數]]</f>
        <v>#DIV/0!</v>
      </c>
      <c r="H2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7" s="39" t="e">
        <f t="shared" si="0"/>
        <v>#DIV/0!</v>
      </c>
      <c r="J27" s="36" t="e">
        <f t="shared" si="1"/>
        <v>#DIV/0!</v>
      </c>
      <c r="K27" s="8" t="e">
        <f t="shared" si="2"/>
        <v>#DIV/0!</v>
      </c>
      <c r="L27" s="8" t="e">
        <f t="shared" si="3"/>
        <v>#DIV/0!</v>
      </c>
      <c r="M27" s="8" t="e">
        <f>表格1_3[[#This Row],[部內平均]]</f>
        <v>#DIV/0!</v>
      </c>
      <c r="N27" s="8"/>
      <c r="O27" s="8" t="e">
        <f>表格1_3[[#This Row],[複評平均]]</f>
        <v>#DIV/0!</v>
      </c>
      <c r="P27" s="3"/>
      <c r="Q27" s="3"/>
      <c r="R27" s="3"/>
      <c r="S27" s="3"/>
      <c r="T27" s="3"/>
      <c r="U27" s="3"/>
      <c r="V27" s="3"/>
      <c r="W27" s="38">
        <v>78.957142857142856</v>
      </c>
      <c r="X27" s="2">
        <v>25</v>
      </c>
    </row>
    <row r="28" spans="1:24">
      <c r="A28" s="10" t="s">
        <v>389</v>
      </c>
      <c r="B28" s="5" t="s">
        <v>153</v>
      </c>
      <c r="C28" s="4" t="s">
        <v>26</v>
      </c>
      <c r="D28" s="6" t="s">
        <v>266</v>
      </c>
      <c r="E28" s="4" t="s">
        <v>283</v>
      </c>
      <c r="F28" s="4" t="s">
        <v>329</v>
      </c>
      <c r="G28" s="41" t="e">
        <f>表格1[[#This Row],[加權後總分]]-表格1[[#This Row],[獎懲分數]]</f>
        <v>#DIV/0!</v>
      </c>
      <c r="H2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8" s="39" t="e">
        <f t="shared" si="0"/>
        <v>#DIV/0!</v>
      </c>
      <c r="J28" s="36" t="e">
        <f t="shared" si="1"/>
        <v>#DIV/0!</v>
      </c>
      <c r="K28" s="8" t="e">
        <f t="shared" si="2"/>
        <v>#DIV/0!</v>
      </c>
      <c r="L28" s="8" t="e">
        <f t="shared" si="3"/>
        <v>#DIV/0!</v>
      </c>
      <c r="M28" s="8" t="e">
        <f>表格1_3[[#This Row],[部內平均]]</f>
        <v>#DIV/0!</v>
      </c>
      <c r="N28" s="8"/>
      <c r="O28" s="8" t="e">
        <f>表格1_3[[#This Row],[複評平均]]</f>
        <v>#DIV/0!</v>
      </c>
      <c r="P28" s="3"/>
      <c r="Q28" s="3"/>
      <c r="R28" s="3"/>
      <c r="S28" s="3"/>
      <c r="T28" s="3"/>
      <c r="U28" s="3"/>
      <c r="V28" s="3"/>
      <c r="W28" s="38">
        <v>78.732142857142861</v>
      </c>
      <c r="X28" s="2">
        <v>26</v>
      </c>
    </row>
    <row r="29" spans="1:24">
      <c r="A29" s="10" t="s">
        <v>399</v>
      </c>
      <c r="B29" s="5" t="s">
        <v>154</v>
      </c>
      <c r="C29" s="4" t="s">
        <v>27</v>
      </c>
      <c r="D29" s="6" t="s">
        <v>266</v>
      </c>
      <c r="E29" s="4" t="s">
        <v>283</v>
      </c>
      <c r="F29" s="4" t="s">
        <v>329</v>
      </c>
      <c r="G29" s="41" t="e">
        <f>表格1[[#This Row],[加權後總分]]-表格1[[#This Row],[獎懲分數]]</f>
        <v>#DIV/0!</v>
      </c>
      <c r="H2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29" s="39" t="e">
        <f t="shared" si="0"/>
        <v>#DIV/0!</v>
      </c>
      <c r="J29" s="36" t="e">
        <f t="shared" si="1"/>
        <v>#DIV/0!</v>
      </c>
      <c r="K29" s="8" t="e">
        <f t="shared" si="2"/>
        <v>#DIV/0!</v>
      </c>
      <c r="L29" s="8" t="e">
        <f t="shared" si="3"/>
        <v>#DIV/0!</v>
      </c>
      <c r="M29" s="8" t="e">
        <f>表格1_3[[#This Row],[部內平均]]</f>
        <v>#DIV/0!</v>
      </c>
      <c r="N29" s="8"/>
      <c r="O29" s="8" t="e">
        <f>表格1_3[[#This Row],[複評平均]]</f>
        <v>#DIV/0!</v>
      </c>
      <c r="P29" s="3"/>
      <c r="Q29" s="3"/>
      <c r="R29" s="3"/>
      <c r="S29" s="3"/>
      <c r="T29" s="3"/>
      <c r="U29" s="3"/>
      <c r="V29" s="3"/>
      <c r="W29" s="38">
        <v>78.199999999999989</v>
      </c>
      <c r="X29" s="2">
        <v>27</v>
      </c>
    </row>
    <row r="30" spans="1:24">
      <c r="A30" s="10" t="s">
        <v>400</v>
      </c>
      <c r="B30" s="5" t="s">
        <v>156</v>
      </c>
      <c r="C30" s="4" t="s">
        <v>29</v>
      </c>
      <c r="D30" s="6" t="s">
        <v>266</v>
      </c>
      <c r="E30" s="4" t="s">
        <v>283</v>
      </c>
      <c r="F30" s="4" t="s">
        <v>329</v>
      </c>
      <c r="G30" s="41" t="e">
        <f>表格1[[#This Row],[加權後總分]]-表格1[[#This Row],[獎懲分數]]</f>
        <v>#DIV/0!</v>
      </c>
      <c r="H3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0" s="39" t="e">
        <f t="shared" si="0"/>
        <v>#DIV/0!</v>
      </c>
      <c r="J30" s="36" t="e">
        <f t="shared" si="1"/>
        <v>#DIV/0!</v>
      </c>
      <c r="K30" s="8" t="e">
        <f t="shared" si="2"/>
        <v>#DIV/0!</v>
      </c>
      <c r="L30" s="8" t="e">
        <f t="shared" si="3"/>
        <v>#DIV/0!</v>
      </c>
      <c r="M30" s="8" t="e">
        <f>表格1_3[[#This Row],[部內平均]]</f>
        <v>#DIV/0!</v>
      </c>
      <c r="N30" s="8"/>
      <c r="O30" s="8" t="e">
        <f>表格1_3[[#This Row],[複評平均]]</f>
        <v>#DIV/0!</v>
      </c>
      <c r="P30" s="3"/>
      <c r="Q30" s="3"/>
      <c r="R30" s="3"/>
      <c r="S30" s="3"/>
      <c r="T30" s="3"/>
      <c r="U30" s="3"/>
      <c r="V30" s="3"/>
      <c r="W30" s="38">
        <v>77.8</v>
      </c>
      <c r="X30" s="2">
        <v>28</v>
      </c>
    </row>
    <row r="31" spans="1:24">
      <c r="A31" s="10" t="s">
        <v>397</v>
      </c>
      <c r="B31" s="5" t="s">
        <v>155</v>
      </c>
      <c r="C31" s="4" t="s">
        <v>28</v>
      </c>
      <c r="D31" s="6" t="s">
        <v>266</v>
      </c>
      <c r="E31" s="4" t="s">
        <v>283</v>
      </c>
      <c r="F31" s="4" t="s">
        <v>329</v>
      </c>
      <c r="G31" s="41" t="e">
        <f>表格1[[#This Row],[加權後總分]]-表格1[[#This Row],[獎懲分數]]</f>
        <v>#DIV/0!</v>
      </c>
      <c r="H3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1" s="39" t="e">
        <f t="shared" si="0"/>
        <v>#DIV/0!</v>
      </c>
      <c r="J31" s="36" t="e">
        <f t="shared" si="1"/>
        <v>#DIV/0!</v>
      </c>
      <c r="K31" s="8" t="e">
        <f t="shared" si="2"/>
        <v>#DIV/0!</v>
      </c>
      <c r="L31" s="8" t="e">
        <f t="shared" si="3"/>
        <v>#DIV/0!</v>
      </c>
      <c r="M31" s="8" t="e">
        <f>表格1_3[[#This Row],[部內平均]]</f>
        <v>#DIV/0!</v>
      </c>
      <c r="N31" s="8"/>
      <c r="O31" s="8" t="e">
        <f>表格1_3[[#This Row],[複評平均]]</f>
        <v>#DIV/0!</v>
      </c>
      <c r="P31" s="3"/>
      <c r="Q31" s="3"/>
      <c r="R31" s="3"/>
      <c r="S31" s="3"/>
      <c r="T31" s="3"/>
      <c r="U31" s="3"/>
      <c r="V31" s="3"/>
      <c r="W31" s="38">
        <v>77.599999999999994</v>
      </c>
      <c r="X31" s="2">
        <v>29</v>
      </c>
    </row>
    <row r="32" spans="1:24">
      <c r="A32" s="10" t="s">
        <v>389</v>
      </c>
      <c r="B32" s="5" t="s">
        <v>158</v>
      </c>
      <c r="C32" s="4" t="s">
        <v>31</v>
      </c>
      <c r="D32" s="6" t="s">
        <v>266</v>
      </c>
      <c r="E32" s="4" t="s">
        <v>283</v>
      </c>
      <c r="F32" s="4" t="s">
        <v>35</v>
      </c>
      <c r="G32" s="41" t="e">
        <f>表格1[[#This Row],[加權後總分]]-表格1[[#This Row],[獎懲分數]]</f>
        <v>#DIV/0!</v>
      </c>
      <c r="H3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2" s="39" t="e">
        <f t="shared" si="0"/>
        <v>#DIV/0!</v>
      </c>
      <c r="J32" s="36" t="e">
        <f t="shared" si="1"/>
        <v>#DIV/0!</v>
      </c>
      <c r="K32" s="8" t="e">
        <f t="shared" si="2"/>
        <v>#DIV/0!</v>
      </c>
      <c r="L32" s="8" t="e">
        <f t="shared" si="3"/>
        <v>#DIV/0!</v>
      </c>
      <c r="M32" s="8" t="e">
        <f>表格1_3[[#This Row],[部內平均]]</f>
        <v>#DIV/0!</v>
      </c>
      <c r="N32" s="8"/>
      <c r="O32" s="8" t="e">
        <f>表格1_3[[#This Row],[複評平均]]</f>
        <v>#DIV/0!</v>
      </c>
      <c r="P32" s="3"/>
      <c r="Q32" s="3"/>
      <c r="R32" s="3"/>
      <c r="S32" s="3"/>
      <c r="T32" s="3"/>
      <c r="U32" s="3"/>
      <c r="V32" s="3"/>
      <c r="W32" s="38">
        <v>77.400000000000006</v>
      </c>
      <c r="X32" s="2">
        <v>30</v>
      </c>
    </row>
    <row r="33" spans="1:24">
      <c r="B33" s="5"/>
      <c r="C33" s="4"/>
      <c r="D33" s="6"/>
      <c r="E33" s="4"/>
      <c r="F33" s="4"/>
      <c r="G33" s="41" t="e">
        <f>表格1[[#This Row],[加權後總分]]-表格1[[#This Row],[獎懲分數]]</f>
        <v>#DIV/0!</v>
      </c>
      <c r="H3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3" s="39" t="e">
        <f t="shared" ref="I33" si="4">_xlfn.RANK.EQ(G33,$G$2:$G$146,0)</f>
        <v>#DIV/0!</v>
      </c>
      <c r="J33" s="36" t="e">
        <f t="shared" ref="J33" si="5">IF(
AND(M33&lt;&gt;"",N33&lt;&gt;"",O33&lt;&gt;""),
M33*20% + N33*50% + O33*30%,
IF(
AND(M33&lt;&gt;"",N33="",O33=""),
M33,
IF(
AND(M33="",N33&lt;&gt;"",O33=""),
N33,
IF(
AND(M33="",N33="",O33&lt;&gt;""),
O33,
IF(
AND(M33&lt;&gt;"",N33&lt;&gt;"",O33=""),
M33/(20%+50%)*20% + N33/(20%+50%)*50%,
IF(
AND(M33&lt;&gt;"",N33="",O33&lt;&gt;""),
M33/(20%+30%)*20% + O33/(20%+30%)*30%,
IF(
AND(M33="",N33&lt;&gt;"",O33&lt;&gt;""),
N33/(50%+30%)*50% + O33/(50%+30%)*30%,
""
)
)
)
)
)
) + V33
)</f>
        <v>#DIV/0!</v>
      </c>
      <c r="K33" s="8" t="e">
        <f t="shared" ref="K33" si="6">IF(J33&gt;=90,"A",
 IF(J33&gt;=77,"B",
 IF(J33&gt;=70,"C",
 IF(J33&gt;=60,"D","E"))))</f>
        <v>#DIV/0!</v>
      </c>
      <c r="L33" s="8" t="e">
        <f t="shared" ref="L33" si="7">_xlfn.RANK.EQ(J33,$J$2:$J$146,0)</f>
        <v>#DIV/0!</v>
      </c>
      <c r="M33" s="8" t="e">
        <f>表格1_3[[#This Row],[部內平均]]</f>
        <v>#DIV/0!</v>
      </c>
      <c r="N33" s="8"/>
      <c r="O33" s="8" t="e">
        <f>表格1_3[[#This Row],[複評平均]]</f>
        <v>#DIV/0!</v>
      </c>
      <c r="P33" s="3"/>
      <c r="Q33" s="3"/>
      <c r="R33" s="3"/>
      <c r="S33" s="3"/>
      <c r="T33" s="3"/>
      <c r="U33" s="3"/>
      <c r="V33" s="3"/>
    </row>
    <row r="34" spans="1:24">
      <c r="A34" s="10" t="s">
        <v>401</v>
      </c>
      <c r="B34" s="5" t="s">
        <v>159</v>
      </c>
      <c r="C34" s="4" t="s">
        <v>32</v>
      </c>
      <c r="D34" s="6" t="s">
        <v>266</v>
      </c>
      <c r="E34" s="4" t="s">
        <v>283</v>
      </c>
      <c r="F34" s="4" t="s">
        <v>35</v>
      </c>
      <c r="G34" s="41" t="e">
        <f>表格1[[#This Row],[加權後總分]]-表格1[[#This Row],[獎懲分數]]</f>
        <v>#DIV/0!</v>
      </c>
      <c r="H3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4" s="39" t="e">
        <f t="shared" si="0"/>
        <v>#DIV/0!</v>
      </c>
      <c r="J34" s="36" t="e">
        <f t="shared" si="1"/>
        <v>#DIV/0!</v>
      </c>
      <c r="K34" s="8" t="e">
        <f t="shared" si="2"/>
        <v>#DIV/0!</v>
      </c>
      <c r="L34" s="8" t="e">
        <f t="shared" si="3"/>
        <v>#DIV/0!</v>
      </c>
      <c r="M34" s="8" t="e">
        <f>表格1_3[[#This Row],[部內平均]]</f>
        <v>#DIV/0!</v>
      </c>
      <c r="N34" s="8"/>
      <c r="O34" s="8" t="e">
        <f>表格1_3[[#This Row],[複評平均]]</f>
        <v>#DIV/0!</v>
      </c>
      <c r="P34" s="3"/>
      <c r="Q34" s="3"/>
      <c r="R34" s="3"/>
      <c r="S34" s="3"/>
      <c r="T34" s="3"/>
      <c r="U34" s="3"/>
      <c r="V34" s="3"/>
      <c r="W34" s="38">
        <v>77.125</v>
      </c>
      <c r="X34" s="2">
        <v>32</v>
      </c>
    </row>
    <row r="35" spans="1:24">
      <c r="A35" s="10" t="s">
        <v>389</v>
      </c>
      <c r="B35" s="5" t="s">
        <v>161</v>
      </c>
      <c r="C35" s="4" t="s">
        <v>34</v>
      </c>
      <c r="D35" s="6" t="s">
        <v>266</v>
      </c>
      <c r="E35" s="4" t="s">
        <v>283</v>
      </c>
      <c r="F35" s="4" t="s">
        <v>35</v>
      </c>
      <c r="G35" s="41" t="e">
        <f>表格1[[#This Row],[加權後總分]]-表格1[[#This Row],[獎懲分數]]</f>
        <v>#DIV/0!</v>
      </c>
      <c r="H3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5" s="39" t="e">
        <f t="shared" si="0"/>
        <v>#DIV/0!</v>
      </c>
      <c r="J35" s="36" t="e">
        <f t="shared" si="1"/>
        <v>#DIV/0!</v>
      </c>
      <c r="K35" s="8" t="e">
        <f t="shared" si="2"/>
        <v>#DIV/0!</v>
      </c>
      <c r="L35" s="8" t="e">
        <f t="shared" si="3"/>
        <v>#DIV/0!</v>
      </c>
      <c r="M35" s="8" t="e">
        <f>表格1_3[[#This Row],[部內平均]]</f>
        <v>#DIV/0!</v>
      </c>
      <c r="N35" s="8"/>
      <c r="O35" s="8" t="e">
        <f>表格1_3[[#This Row],[複評平均]]</f>
        <v>#DIV/0!</v>
      </c>
      <c r="P35" s="3"/>
      <c r="Q35" s="3"/>
      <c r="R35" s="3"/>
      <c r="S35" s="3"/>
      <c r="T35" s="3"/>
      <c r="U35" s="3"/>
      <c r="V35" s="3"/>
      <c r="W35" s="38">
        <v>77.061224489795933</v>
      </c>
      <c r="X35" s="2">
        <v>33</v>
      </c>
    </row>
    <row r="36" spans="1:24">
      <c r="A36" s="10" t="s">
        <v>396</v>
      </c>
      <c r="B36" s="5" t="s">
        <v>314</v>
      </c>
      <c r="C36" s="4" t="s">
        <v>315</v>
      </c>
      <c r="D36" s="6" t="s">
        <v>266</v>
      </c>
      <c r="E36" s="4" t="s">
        <v>283</v>
      </c>
      <c r="F36" s="4" t="s">
        <v>35</v>
      </c>
      <c r="G36" s="41" t="e">
        <f>表格1[[#This Row],[加權後總分]]-表格1[[#This Row],[獎懲分數]]</f>
        <v>#DIV/0!</v>
      </c>
      <c r="H3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6" s="39" t="e">
        <f t="shared" si="0"/>
        <v>#DIV/0!</v>
      </c>
      <c r="J36" s="36" t="e">
        <f t="shared" si="1"/>
        <v>#DIV/0!</v>
      </c>
      <c r="K36" s="8" t="e">
        <f t="shared" si="2"/>
        <v>#DIV/0!</v>
      </c>
      <c r="L36" s="8" t="e">
        <f t="shared" si="3"/>
        <v>#DIV/0!</v>
      </c>
      <c r="M36" s="8" t="e">
        <f>表格1_3[[#This Row],[部內平均]]</f>
        <v>#DIV/0!</v>
      </c>
      <c r="N36" s="8"/>
      <c r="O36" s="8" t="e">
        <f>表格1_3[[#This Row],[複評平均]]</f>
        <v>#DIV/0!</v>
      </c>
      <c r="P36" s="3"/>
      <c r="Q36" s="3"/>
      <c r="R36" s="3"/>
      <c r="S36" s="3"/>
      <c r="T36" s="3"/>
      <c r="U36" s="3"/>
      <c r="V36" s="3"/>
      <c r="W36" s="38">
        <v>77</v>
      </c>
      <c r="X36" s="2">
        <v>34</v>
      </c>
    </row>
    <row r="37" spans="1:24">
      <c r="B37" s="5" t="s">
        <v>162</v>
      </c>
      <c r="C37" s="4" t="s">
        <v>35</v>
      </c>
      <c r="D37" s="6" t="s">
        <v>266</v>
      </c>
      <c r="E37" s="4" t="s">
        <v>286</v>
      </c>
      <c r="F37" s="4" t="s">
        <v>77</v>
      </c>
      <c r="G37" s="41" t="e">
        <f>表格1[[#This Row],[加權後總分]]-表格1[[#This Row],[獎懲分數]]</f>
        <v>#DIV/0!</v>
      </c>
      <c r="H3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7" s="39" t="e">
        <f t="shared" si="0"/>
        <v>#DIV/0!</v>
      </c>
      <c r="J37" s="36" t="e">
        <f t="shared" si="1"/>
        <v>#DIV/0!</v>
      </c>
      <c r="K37" s="8" t="e">
        <f t="shared" si="2"/>
        <v>#DIV/0!</v>
      </c>
      <c r="L37" s="8" t="e">
        <f t="shared" si="3"/>
        <v>#DIV/0!</v>
      </c>
      <c r="M37" s="8" t="e">
        <f>表格1_3[[#This Row],[部內平均]]</f>
        <v>#DIV/0!</v>
      </c>
      <c r="N37" s="8" t="e">
        <f>表格1_3[[#This Row],[共評平均]]</f>
        <v>#DIV/0!</v>
      </c>
      <c r="O37" s="8" t="e">
        <f>表格1_3[[#This Row],[複評平均]]</f>
        <v>#DIV/0!</v>
      </c>
      <c r="P37" s="3"/>
      <c r="Q37" s="3"/>
      <c r="R37" s="3"/>
      <c r="S37" s="3"/>
      <c r="T37" s="3"/>
      <c r="U37" s="3"/>
      <c r="V37" s="3"/>
      <c r="W37" s="38">
        <v>77</v>
      </c>
      <c r="X37" s="2">
        <v>35</v>
      </c>
    </row>
    <row r="38" spans="1:24">
      <c r="A38" s="10" t="s">
        <v>402</v>
      </c>
      <c r="B38" s="5" t="s">
        <v>163</v>
      </c>
      <c r="C38" s="4" t="s">
        <v>36</v>
      </c>
      <c r="D38" s="6" t="s">
        <v>267</v>
      </c>
      <c r="E38" s="4" t="s">
        <v>283</v>
      </c>
      <c r="F38" s="4" t="s">
        <v>38</v>
      </c>
      <c r="G38" s="41" t="e">
        <f>表格1[[#This Row],[加權後總分]]-表格1[[#This Row],[獎懲分數]]</f>
        <v>#DIV/0!</v>
      </c>
      <c r="H3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8" s="39" t="e">
        <f t="shared" si="0"/>
        <v>#DIV/0!</v>
      </c>
      <c r="J38" s="36" t="e">
        <f t="shared" si="1"/>
        <v>#DIV/0!</v>
      </c>
      <c r="K38" s="8" t="e">
        <f t="shared" si="2"/>
        <v>#DIV/0!</v>
      </c>
      <c r="L38" s="8" t="e">
        <f t="shared" si="3"/>
        <v>#DIV/0!</v>
      </c>
      <c r="M38" s="8" t="e">
        <f>表格1_3[[#This Row],[部內平均]]</f>
        <v>#DIV/0!</v>
      </c>
      <c r="N38" s="8"/>
      <c r="O38" s="8" t="e">
        <f>表格1_3[[#This Row],[複評平均]]</f>
        <v>#DIV/0!</v>
      </c>
      <c r="P38" s="3"/>
      <c r="Q38" s="3"/>
      <c r="R38" s="3"/>
      <c r="S38" s="3"/>
      <c r="T38" s="3"/>
      <c r="U38" s="3"/>
      <c r="V38" s="3"/>
      <c r="W38" s="38">
        <v>76.959183673469383</v>
      </c>
      <c r="X38" s="2">
        <v>36</v>
      </c>
    </row>
    <row r="39" spans="1:24">
      <c r="B39" s="5" t="s">
        <v>165</v>
      </c>
      <c r="C39" s="4" t="s">
        <v>38</v>
      </c>
      <c r="D39" s="6" t="s">
        <v>267</v>
      </c>
      <c r="E39" s="4" t="s">
        <v>286</v>
      </c>
      <c r="F39" s="4" t="s">
        <v>74</v>
      </c>
      <c r="G39" s="41" t="e">
        <f>表格1[[#This Row],[加權後總分]]-表格1[[#This Row],[獎懲分數]]</f>
        <v>#DIV/0!</v>
      </c>
      <c r="H3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39" s="39" t="e">
        <f t="shared" si="0"/>
        <v>#DIV/0!</v>
      </c>
      <c r="J39" s="36" t="e">
        <f t="shared" si="1"/>
        <v>#DIV/0!</v>
      </c>
      <c r="K39" s="8" t="e">
        <f t="shared" si="2"/>
        <v>#DIV/0!</v>
      </c>
      <c r="L39" s="8" t="e">
        <f t="shared" si="3"/>
        <v>#DIV/0!</v>
      </c>
      <c r="M39" s="8" t="e">
        <f>表格1_3[[#This Row],[部內平均]]</f>
        <v>#DIV/0!</v>
      </c>
      <c r="N39" s="8" t="e">
        <f>表格1_3[[#This Row],[共評平均]]</f>
        <v>#DIV/0!</v>
      </c>
      <c r="O39" s="8" t="e">
        <f>表格1_3[[#This Row],[複評平均]]</f>
        <v>#DIV/0!</v>
      </c>
      <c r="P39" s="3"/>
      <c r="Q39" s="3"/>
      <c r="R39" s="3"/>
      <c r="S39" s="3"/>
      <c r="T39" s="3"/>
      <c r="U39" s="3"/>
      <c r="V39" s="3"/>
      <c r="W39" s="38">
        <v>76.816666666666663</v>
      </c>
      <c r="X39" s="2">
        <v>37</v>
      </c>
    </row>
    <row r="40" spans="1:24">
      <c r="B40" s="5" t="s">
        <v>164</v>
      </c>
      <c r="C40" s="4" t="s">
        <v>37</v>
      </c>
      <c r="D40" s="6" t="s">
        <v>267</v>
      </c>
      <c r="E40" s="4" t="s">
        <v>285</v>
      </c>
      <c r="F40" s="4" t="s">
        <v>38</v>
      </c>
      <c r="G40" s="41" t="e">
        <f>表格1[[#This Row],[加權後總分]]-表格1[[#This Row],[獎懲分數]]</f>
        <v>#DIV/0!</v>
      </c>
      <c r="H4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0" s="39" t="e">
        <f t="shared" si="0"/>
        <v>#DIV/0!</v>
      </c>
      <c r="J40" s="36" t="e">
        <f t="shared" si="1"/>
        <v>#DIV/0!</v>
      </c>
      <c r="K40" s="8" t="e">
        <f t="shared" si="2"/>
        <v>#DIV/0!</v>
      </c>
      <c r="L40" s="8" t="e">
        <f t="shared" si="3"/>
        <v>#DIV/0!</v>
      </c>
      <c r="M40" s="8" t="e">
        <f>表格1_3[[#This Row],[部內平均]]</f>
        <v>#DIV/0!</v>
      </c>
      <c r="N40" s="8" t="e">
        <f>表格1_3[[#This Row],[共評平均]]</f>
        <v>#DIV/0!</v>
      </c>
      <c r="O40" s="8" t="e">
        <f>表格1_3[[#This Row],[複評平均]]</f>
        <v>#DIV/0!</v>
      </c>
      <c r="P40" s="3"/>
      <c r="Q40" s="3"/>
      <c r="R40" s="3"/>
      <c r="S40" s="3"/>
      <c r="T40" s="3"/>
      <c r="U40" s="3"/>
      <c r="V40" s="3"/>
      <c r="W40" s="38">
        <v>76.800000000000011</v>
      </c>
      <c r="X40" s="2">
        <v>38</v>
      </c>
    </row>
    <row r="41" spans="1:24">
      <c r="A41" s="10" t="s">
        <v>403</v>
      </c>
      <c r="B41" s="5" t="s">
        <v>166</v>
      </c>
      <c r="C41" s="4" t="s">
        <v>39</v>
      </c>
      <c r="D41" s="6" t="s">
        <v>267</v>
      </c>
      <c r="E41" s="4" t="s">
        <v>283</v>
      </c>
      <c r="F41" s="4" t="s">
        <v>93</v>
      </c>
      <c r="G41" s="41" t="e">
        <f>表格1[[#This Row],[加權後總分]]-表格1[[#This Row],[獎懲分數]]</f>
        <v>#DIV/0!</v>
      </c>
      <c r="H4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1" s="39" t="e">
        <f t="shared" si="0"/>
        <v>#DIV/0!</v>
      </c>
      <c r="J41" s="36" t="e">
        <f t="shared" si="1"/>
        <v>#DIV/0!</v>
      </c>
      <c r="K41" s="8" t="e">
        <f t="shared" si="2"/>
        <v>#DIV/0!</v>
      </c>
      <c r="L41" s="8" t="e">
        <f t="shared" si="3"/>
        <v>#DIV/0!</v>
      </c>
      <c r="M41" s="8" t="e">
        <f>表格1_3[[#This Row],[部內平均]]</f>
        <v>#DIV/0!</v>
      </c>
      <c r="N41" s="8"/>
      <c r="O41" s="8" t="e">
        <f>表格1_3[[#This Row],[複評平均]]</f>
        <v>#DIV/0!</v>
      </c>
      <c r="P41" s="3"/>
      <c r="Q41" s="3"/>
      <c r="R41" s="3"/>
      <c r="S41" s="3"/>
      <c r="T41" s="3"/>
      <c r="U41" s="3"/>
      <c r="V41" s="3"/>
      <c r="W41" s="38">
        <v>76.8</v>
      </c>
      <c r="X41" s="2">
        <v>39</v>
      </c>
    </row>
    <row r="42" spans="1:24">
      <c r="A42" s="10" t="s">
        <v>396</v>
      </c>
      <c r="B42" s="5" t="s">
        <v>167</v>
      </c>
      <c r="C42" s="4" t="s">
        <v>40</v>
      </c>
      <c r="D42" s="6" t="s">
        <v>267</v>
      </c>
      <c r="E42" s="4" t="s">
        <v>283</v>
      </c>
      <c r="F42" s="4" t="s">
        <v>38</v>
      </c>
      <c r="G42" s="41" t="e">
        <f>表格1[[#This Row],[加權後總分]]-表格1[[#This Row],[獎懲分數]]</f>
        <v>#DIV/0!</v>
      </c>
      <c r="H4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2" s="39" t="e">
        <f t="shared" si="0"/>
        <v>#DIV/0!</v>
      </c>
      <c r="J42" s="36" t="e">
        <f t="shared" si="1"/>
        <v>#DIV/0!</v>
      </c>
      <c r="K42" s="8" t="e">
        <f t="shared" si="2"/>
        <v>#DIV/0!</v>
      </c>
      <c r="L42" s="8" t="e">
        <f t="shared" si="3"/>
        <v>#DIV/0!</v>
      </c>
      <c r="M42" s="8" t="e">
        <f>表格1_3[[#This Row],[部內平均]]</f>
        <v>#DIV/0!</v>
      </c>
      <c r="N42" s="8"/>
      <c r="O42" s="8" t="e">
        <f>表格1_3[[#This Row],[複評平均]]</f>
        <v>#DIV/0!</v>
      </c>
      <c r="P42" s="3"/>
      <c r="Q42" s="3"/>
      <c r="R42" s="3"/>
      <c r="S42" s="3"/>
      <c r="T42" s="3"/>
      <c r="U42" s="3"/>
      <c r="V42" s="3"/>
      <c r="W42" s="38">
        <v>76.400000000000006</v>
      </c>
      <c r="X42" s="2">
        <v>40</v>
      </c>
    </row>
    <row r="43" spans="1:24">
      <c r="A43" s="10" t="s">
        <v>404</v>
      </c>
      <c r="B43" s="5" t="s">
        <v>168</v>
      </c>
      <c r="C43" s="4" t="s">
        <v>41</v>
      </c>
      <c r="D43" s="6" t="s">
        <v>267</v>
      </c>
      <c r="E43" s="4" t="s">
        <v>283</v>
      </c>
      <c r="F43" s="4" t="s">
        <v>38</v>
      </c>
      <c r="G43" s="41" t="e">
        <f>表格1[[#This Row],[加權後總分]]-表格1[[#This Row],[獎懲分數]]</f>
        <v>#DIV/0!</v>
      </c>
      <c r="H4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3" s="39" t="e">
        <f t="shared" si="0"/>
        <v>#DIV/0!</v>
      </c>
      <c r="J43" s="36" t="e">
        <f t="shared" si="1"/>
        <v>#DIV/0!</v>
      </c>
      <c r="K43" s="8" t="e">
        <f t="shared" si="2"/>
        <v>#DIV/0!</v>
      </c>
      <c r="L43" s="8" t="e">
        <f t="shared" si="3"/>
        <v>#DIV/0!</v>
      </c>
      <c r="M43" s="8" t="e">
        <f>表格1_3[[#This Row],[部內平均]]</f>
        <v>#DIV/0!</v>
      </c>
      <c r="N43" s="8"/>
      <c r="O43" s="8" t="e">
        <f>表格1_3[[#This Row],[複評平均]]</f>
        <v>#DIV/0!</v>
      </c>
      <c r="P43" s="3"/>
      <c r="Q43" s="3"/>
      <c r="R43" s="3"/>
      <c r="S43" s="3"/>
      <c r="T43" s="3"/>
      <c r="U43" s="3"/>
      <c r="V43" s="3"/>
      <c r="W43" s="38">
        <v>76.400000000000006</v>
      </c>
      <c r="X43" s="2">
        <v>41</v>
      </c>
    </row>
    <row r="44" spans="1:24">
      <c r="B44" s="5" t="s">
        <v>169</v>
      </c>
      <c r="C44" s="4" t="s">
        <v>42</v>
      </c>
      <c r="D44" s="6" t="s">
        <v>268</v>
      </c>
      <c r="E44" s="4" t="s">
        <v>287</v>
      </c>
      <c r="F44" s="4" t="s">
        <v>120</v>
      </c>
      <c r="G44" s="41" t="e">
        <f>表格1[[#This Row],[加權後總分]]-表格1[[#This Row],[獎懲分數]]</f>
        <v>#DIV/0!</v>
      </c>
      <c r="H4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4" s="39" t="e">
        <f t="shared" si="0"/>
        <v>#DIV/0!</v>
      </c>
      <c r="J44" s="36" t="e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</f>
        <v>#DIV/0!</v>
      </c>
      <c r="K44" s="8" t="e">
        <f t="shared" si="2"/>
        <v>#DIV/0!</v>
      </c>
      <c r="L44" s="8" t="e">
        <f t="shared" si="3"/>
        <v>#DIV/0!</v>
      </c>
      <c r="M44" s="8" t="e">
        <f>表格1_3[[#This Row],[部內平均]]</f>
        <v>#DIV/0!</v>
      </c>
      <c r="N44" s="8" t="e">
        <f>表格1_3[[#This Row],[共評平均]]</f>
        <v>#DIV/0!</v>
      </c>
      <c r="O44" s="8" t="e">
        <f>表格1_3[[#This Row],[複評平均]]</f>
        <v>#DIV/0!</v>
      </c>
      <c r="P44" s="3"/>
      <c r="Q44" s="3"/>
      <c r="R44" s="3"/>
      <c r="S44" s="3"/>
      <c r="T44" s="3"/>
      <c r="U44" s="3"/>
      <c r="V44" s="3"/>
      <c r="W44" s="38">
        <v>76</v>
      </c>
      <c r="X44" s="2">
        <v>42</v>
      </c>
    </row>
    <row r="45" spans="1:24">
      <c r="B45" s="5" t="s">
        <v>171</v>
      </c>
      <c r="C45" s="4" t="s">
        <v>44</v>
      </c>
      <c r="D45" s="6" t="s">
        <v>268</v>
      </c>
      <c r="E45" s="4" t="s">
        <v>287</v>
      </c>
      <c r="F45" s="4" t="s">
        <v>120</v>
      </c>
      <c r="G45" s="41" t="e">
        <f>表格1[[#This Row],[加權後總分]]-表格1[[#This Row],[獎懲分數]]</f>
        <v>#DIV/0!</v>
      </c>
      <c r="H4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5" s="39" t="e">
        <f t="shared" si="0"/>
        <v>#DIV/0!</v>
      </c>
      <c r="J45" s="36" t="e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>#DIV/0!</v>
      </c>
      <c r="K45" s="8" t="e">
        <f t="shared" si="2"/>
        <v>#DIV/0!</v>
      </c>
      <c r="L45" s="8" t="e">
        <f t="shared" si="3"/>
        <v>#DIV/0!</v>
      </c>
      <c r="M45" s="8" t="e">
        <f>表格1_3[[#This Row],[部內平均]]</f>
        <v>#DIV/0!</v>
      </c>
      <c r="N45" s="8" t="e">
        <f>表格1_3[[#This Row],[共評平均]]</f>
        <v>#DIV/0!</v>
      </c>
      <c r="O45" s="8" t="e">
        <f>表格1_3[[#This Row],[複評平均]]</f>
        <v>#DIV/0!</v>
      </c>
      <c r="P45" s="3"/>
      <c r="Q45" s="3"/>
      <c r="R45" s="3"/>
      <c r="S45" s="3"/>
      <c r="T45" s="3"/>
      <c r="U45" s="3"/>
      <c r="V45" s="3"/>
      <c r="W45" s="38">
        <v>76</v>
      </c>
      <c r="X45" s="2">
        <v>43</v>
      </c>
    </row>
    <row r="46" spans="1:24">
      <c r="B46" s="5"/>
      <c r="C46" s="4"/>
      <c r="D46" s="6"/>
      <c r="E46" s="4"/>
      <c r="F46" s="4"/>
      <c r="G46" s="41" t="e">
        <f>表格1[[#This Row],[加權後總分]]-表格1[[#This Row],[獎懲分數]]</f>
        <v>#DIV/0!</v>
      </c>
      <c r="H4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6" s="39" t="e">
        <f t="shared" ref="I46" si="8">_xlfn.RANK.EQ(G46,$G$2:$G$146,0)</f>
        <v>#DIV/0!</v>
      </c>
      <c r="J46" s="36" t="e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 + V46
)</f>
        <v>#DIV/0!</v>
      </c>
      <c r="K46" s="8" t="e">
        <f t="shared" ref="K46" si="9">IF(J46&gt;=90,"A",
 IF(J46&gt;=77,"B",
 IF(J46&gt;=70,"C",
 IF(J46&gt;=60,"D","E"))))</f>
        <v>#DIV/0!</v>
      </c>
      <c r="L46" s="8" t="e">
        <f t="shared" ref="L46" si="10">_xlfn.RANK.EQ(J46,$J$2:$J$146,0)</f>
        <v>#DIV/0!</v>
      </c>
      <c r="M46" s="8" t="e">
        <f>表格1_3[[#This Row],[部內平均]]</f>
        <v>#DIV/0!</v>
      </c>
      <c r="N46" s="8" t="e">
        <f>表格1_3[[#This Row],[共評平均]]</f>
        <v>#DIV/0!</v>
      </c>
      <c r="O46" s="8" t="e">
        <f>表格1_3[[#This Row],[複評平均]]</f>
        <v>#DIV/0!</v>
      </c>
      <c r="P46" s="3"/>
      <c r="Q46" s="3"/>
      <c r="R46" s="3"/>
      <c r="S46" s="3"/>
      <c r="T46" s="3"/>
      <c r="U46" s="3"/>
      <c r="V46" s="3"/>
    </row>
    <row r="47" spans="1:24">
      <c r="B47" s="5" t="s">
        <v>173</v>
      </c>
      <c r="C47" s="4" t="s">
        <v>46</v>
      </c>
      <c r="D47" s="6" t="s">
        <v>268</v>
      </c>
      <c r="E47" s="4" t="s">
        <v>287</v>
      </c>
      <c r="F47" s="4" t="s">
        <v>120</v>
      </c>
      <c r="G47" s="41" t="e">
        <f>表格1[[#This Row],[加權後總分]]-表格1[[#This Row],[獎懲分數]]</f>
        <v>#DIV/0!</v>
      </c>
      <c r="H4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7" s="39" t="e">
        <f t="shared" si="0"/>
        <v>#DIV/0!</v>
      </c>
      <c r="J47" s="36" t="e">
        <f t="shared" si="1"/>
        <v>#DIV/0!</v>
      </c>
      <c r="K47" s="8" t="e">
        <f t="shared" si="2"/>
        <v>#DIV/0!</v>
      </c>
      <c r="L47" s="8" t="e">
        <f t="shared" si="3"/>
        <v>#DIV/0!</v>
      </c>
      <c r="M47" s="8" t="e">
        <f>表格1_3[[#This Row],[部內平均]]</f>
        <v>#DIV/0!</v>
      </c>
      <c r="N47" s="8" t="e">
        <f>表格1_3[[#This Row],[共評平均]]</f>
        <v>#DIV/0!</v>
      </c>
      <c r="O47" s="8" t="e">
        <f>表格1_3[[#This Row],[複評平均]]</f>
        <v>#DIV/0!</v>
      </c>
      <c r="P47" s="3"/>
      <c r="Q47" s="3"/>
      <c r="R47" s="3"/>
      <c r="S47" s="3"/>
      <c r="T47" s="3"/>
      <c r="U47" s="3"/>
      <c r="V47" s="3"/>
      <c r="W47" s="38">
        <v>75.849999999999994</v>
      </c>
      <c r="X47" s="2">
        <v>45</v>
      </c>
    </row>
    <row r="48" spans="1:24">
      <c r="B48" s="5"/>
      <c r="C48" s="4"/>
      <c r="D48" s="6"/>
      <c r="E48" s="4"/>
      <c r="F48" s="4"/>
      <c r="G48" s="41" t="e">
        <f>表格1[[#This Row],[加權後總分]]-表格1[[#This Row],[獎懲分數]]</f>
        <v>#DIV/0!</v>
      </c>
      <c r="H4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8" s="39" t="e">
        <f t="shared" ref="I48" si="11">_xlfn.RANK.EQ(G48,$G$2:$G$146,0)</f>
        <v>#DIV/0!</v>
      </c>
      <c r="J48" s="36" t="e">
        <f t="shared" ref="J48" si="12">IF(
AND(M48&lt;&gt;"",N48&lt;&gt;"",O48&lt;&gt;""),
M48*20% + N48*50% + O48*30%,
IF(
AND(M48&lt;&gt;"",N48="",O48=""),
M48,
IF(
AND(M48="",N48&lt;&gt;"",O48=""),
N48,
IF(
AND(M48="",N48="",O48&lt;&gt;""),
O48,
IF(
AND(M48&lt;&gt;"",N48&lt;&gt;"",O48=""),
M48/(20%+50%)*20% + N48/(20%+50%)*50%,
IF(
AND(M48&lt;&gt;"",N48="",O48&lt;&gt;""),
M48/(20%+30%)*20% + O48/(20%+30%)*30%,
IF(
AND(M48="",N48&lt;&gt;"",O48&lt;&gt;""),
N48/(50%+30%)*50% + O48/(50%+30%)*30%,
""
)
)
)
)
)
) + V48
)</f>
        <v>#DIV/0!</v>
      </c>
      <c r="K48" s="8" t="e">
        <f t="shared" ref="K48" si="13">IF(J48&gt;=90,"A",
 IF(J48&gt;=77,"B",
 IF(J48&gt;=70,"C",
 IF(J48&gt;=60,"D","E"))))</f>
        <v>#DIV/0!</v>
      </c>
      <c r="L48" s="8" t="e">
        <f t="shared" ref="L48" si="14">_xlfn.RANK.EQ(J48,$J$2:$J$146,0)</f>
        <v>#DIV/0!</v>
      </c>
      <c r="M48" s="8" t="e">
        <f>表格1_3[[#This Row],[部內平均]]</f>
        <v>#DIV/0!</v>
      </c>
      <c r="N48" s="8" t="e">
        <f>表格1_3[[#This Row],[共評平均]]</f>
        <v>#DIV/0!</v>
      </c>
      <c r="O48" s="8" t="e">
        <f>表格1_3[[#This Row],[複評平均]]</f>
        <v>#DIV/0!</v>
      </c>
      <c r="P48" s="3"/>
      <c r="Q48" s="3"/>
      <c r="R48" s="3"/>
      <c r="S48" s="3"/>
      <c r="T48" s="3"/>
      <c r="U48" s="3"/>
      <c r="V48" s="3"/>
    </row>
    <row r="49" spans="1:24" ht="26">
      <c r="B49" s="5" t="s">
        <v>175</v>
      </c>
      <c r="C49" s="4" t="s">
        <v>48</v>
      </c>
      <c r="D49" s="6" t="s">
        <v>269</v>
      </c>
      <c r="E49" s="4" t="s">
        <v>290</v>
      </c>
      <c r="F49" s="4" t="s">
        <v>53</v>
      </c>
      <c r="G49" s="41" t="e">
        <f>表格1[[#This Row],[加權後總分]]-表格1[[#This Row],[獎懲分數]]</f>
        <v>#DIV/0!</v>
      </c>
      <c r="H4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49" s="39" t="e">
        <f t="shared" si="0"/>
        <v>#DIV/0!</v>
      </c>
      <c r="J49" s="36" t="e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>#DIV/0!</v>
      </c>
      <c r="K49" s="8" t="e">
        <f>IF(J49&gt;=90,"A",
 IF(J49&gt;=77,"B",
 IF(J49&gt;=70,"C",
 IF(J49&gt;=60,"D","E"))))</f>
        <v>#DIV/0!</v>
      </c>
      <c r="L49" s="8" t="e">
        <f t="shared" si="3"/>
        <v>#DIV/0!</v>
      </c>
      <c r="M49" s="8" t="e">
        <f>表格1_3[[#This Row],[部內平均]]</f>
        <v>#DIV/0!</v>
      </c>
      <c r="N49" s="8" t="e">
        <f>表格1_3[[#This Row],[共評平均]]</f>
        <v>#DIV/0!</v>
      </c>
      <c r="O49" s="8" t="e">
        <f>表格1_3[[#This Row],[複評平均]]</f>
        <v>#DIV/0!</v>
      </c>
      <c r="P49" s="3"/>
      <c r="Q49" s="3"/>
      <c r="R49" s="3"/>
      <c r="S49" s="3"/>
      <c r="T49" s="3"/>
      <c r="U49" s="3"/>
      <c r="V49" s="3"/>
      <c r="W49" s="38">
        <v>75.8</v>
      </c>
      <c r="X49" s="2">
        <v>47</v>
      </c>
    </row>
    <row r="50" spans="1:24">
      <c r="A50" s="10" t="s">
        <v>390</v>
      </c>
      <c r="B50" s="5" t="s">
        <v>176</v>
      </c>
      <c r="C50" s="4" t="s">
        <v>49</v>
      </c>
      <c r="D50" s="6" t="s">
        <v>269</v>
      </c>
      <c r="E50" s="4" t="s">
        <v>283</v>
      </c>
      <c r="F50" s="4" t="s">
        <v>93</v>
      </c>
      <c r="G50" s="41" t="e">
        <f>表格1[[#This Row],[加權後總分]]-表格1[[#This Row],[獎懲分數]]</f>
        <v>#DIV/0!</v>
      </c>
      <c r="H5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0" s="39" t="e">
        <f t="shared" si="0"/>
        <v>#DIV/0!</v>
      </c>
      <c r="J50" s="36" t="e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>#DIV/0!</v>
      </c>
      <c r="K50" s="8" t="e">
        <f t="shared" ref="K50:K52" si="15">IF(J50&gt;=90,"A",
 IF(J50&gt;=77,"B",
 IF(J50&gt;=70,"C",
 IF(J50&gt;=60,"D","E"))))</f>
        <v>#DIV/0!</v>
      </c>
      <c r="L50" s="8" t="e">
        <f t="shared" si="3"/>
        <v>#DIV/0!</v>
      </c>
      <c r="M50" s="8" t="e">
        <f>表格1_3[[#This Row],[部內平均]]</f>
        <v>#DIV/0!</v>
      </c>
      <c r="N50" s="8" t="e">
        <f>表格1_3[[#This Row],[共評平均]]</f>
        <v>#DIV/0!</v>
      </c>
      <c r="O50" s="8" t="e">
        <f>表格1_3[[#This Row],[複評平均]]</f>
        <v>#DIV/0!</v>
      </c>
      <c r="P50" s="3"/>
      <c r="Q50" s="3"/>
      <c r="R50" s="3"/>
      <c r="S50" s="3"/>
      <c r="T50" s="3"/>
      <c r="U50" s="3"/>
      <c r="V50" s="3"/>
      <c r="W50" s="38">
        <v>75.7</v>
      </c>
      <c r="X50" s="2">
        <v>48</v>
      </c>
    </row>
    <row r="51" spans="1:24">
      <c r="B51" s="5" t="s">
        <v>177</v>
      </c>
      <c r="C51" s="4" t="s">
        <v>50</v>
      </c>
      <c r="D51" s="6" t="s">
        <v>269</v>
      </c>
      <c r="E51" s="4" t="s">
        <v>291</v>
      </c>
      <c r="F51" s="4" t="s">
        <v>53</v>
      </c>
      <c r="G51" s="41" t="e">
        <f>表格1[[#This Row],[加權後總分]]-表格1[[#This Row],[獎懲分數]]</f>
        <v>#DIV/0!</v>
      </c>
      <c r="H5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1" s="39" t="e">
        <f t="shared" si="0"/>
        <v>#DIV/0!</v>
      </c>
      <c r="J51" s="36" t="e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>#DIV/0!</v>
      </c>
      <c r="K51" s="8" t="e">
        <f t="shared" si="15"/>
        <v>#DIV/0!</v>
      </c>
      <c r="L51" s="8" t="e">
        <f t="shared" si="3"/>
        <v>#DIV/0!</v>
      </c>
      <c r="M51" s="8" t="e">
        <f>表格1_3[[#This Row],[部內平均]]</f>
        <v>#DIV/0!</v>
      </c>
      <c r="N51" s="8" t="e">
        <f>表格1_3[[#This Row],[共評平均]]</f>
        <v>#DIV/0!</v>
      </c>
      <c r="O51" s="8" t="e">
        <f>表格1_3[[#This Row],[複評平均]]</f>
        <v>#DIV/0!</v>
      </c>
      <c r="P51" s="3"/>
      <c r="Q51" s="3"/>
      <c r="R51" s="3"/>
      <c r="S51" s="3"/>
      <c r="T51" s="3"/>
      <c r="U51" s="3"/>
      <c r="V51" s="3"/>
      <c r="W51" s="38">
        <v>75.599999999999994</v>
      </c>
      <c r="X51" s="2">
        <v>49</v>
      </c>
    </row>
    <row r="52" spans="1:24">
      <c r="B52" s="5" t="s">
        <v>174</v>
      </c>
      <c r="C52" s="4" t="s">
        <v>47</v>
      </c>
      <c r="D52" s="6" t="s">
        <v>269</v>
      </c>
      <c r="E52" s="4" t="s">
        <v>289</v>
      </c>
      <c r="F52" s="4" t="s">
        <v>53</v>
      </c>
      <c r="G52" s="41" t="e">
        <f>表格1[[#This Row],[加權後總分]]-表格1[[#This Row],[獎懲分數]]</f>
        <v>#DIV/0!</v>
      </c>
      <c r="H5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2" s="39" t="e">
        <f t="shared" si="0"/>
        <v>#DIV/0!</v>
      </c>
      <c r="J52" s="36" t="e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>#DIV/0!</v>
      </c>
      <c r="K52" s="8" t="e">
        <f t="shared" si="15"/>
        <v>#DIV/0!</v>
      </c>
      <c r="L52" s="8" t="e">
        <f t="shared" si="3"/>
        <v>#DIV/0!</v>
      </c>
      <c r="M52" s="8" t="e">
        <f>表格1_3[[#This Row],[部內平均]]</f>
        <v>#DIV/0!</v>
      </c>
      <c r="N52" s="8" t="e">
        <f>表格1_3[[#This Row],[共評平均]]</f>
        <v>#DIV/0!</v>
      </c>
      <c r="O52" s="8" t="e">
        <f>表格1_3[[#This Row],[複評平均]]</f>
        <v>#DIV/0!</v>
      </c>
      <c r="P52" s="3"/>
      <c r="Q52" s="3"/>
      <c r="R52" s="3"/>
      <c r="S52" s="3"/>
      <c r="T52" s="3"/>
      <c r="U52" s="3"/>
      <c r="V52" s="3"/>
      <c r="W52" s="38">
        <v>75.199999999999989</v>
      </c>
      <c r="X52" s="2">
        <v>50</v>
      </c>
    </row>
    <row r="53" spans="1:24">
      <c r="B53" s="5"/>
      <c r="C53" s="4"/>
      <c r="D53" s="6"/>
      <c r="E53" s="4"/>
      <c r="F53" s="4"/>
      <c r="G53" s="41" t="e">
        <f>表格1[[#This Row],[加權後總分]]-表格1[[#This Row],[獎懲分數]]</f>
        <v>#DIV/0!</v>
      </c>
      <c r="H5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3" s="39" t="e">
        <f t="shared" ref="I53" si="16">_xlfn.RANK.EQ(G53,$G$2:$G$146,0)</f>
        <v>#DIV/0!</v>
      </c>
      <c r="J53" s="36" t="e">
        <f>IF(
AND(M53&lt;&gt;"",N53&lt;&gt;"",O53&lt;&gt;""),
M53*20% + N53*50% + O53*30%,
IF(
AND(M53&lt;&gt;"",N53="",O53=""),
M53,
IF(
AND(M53="",N53&lt;&gt;"",O53=""),
N53,
IF(
AND(M53="",N53="",O53&lt;&gt;""),
O53,
IF(
AND(M53&lt;&gt;"",N53&lt;&gt;"",O53=""),
M53/(20%+50%)*20% + N53/(20%+50%)*50%,
IF(
AND(M53&lt;&gt;"",N53="",O53&lt;&gt;""),
M53/(20%+30%)*20% + O53/(20%+30%)*30%,
IF(
AND(M53="",N53&lt;&gt;"",O53&lt;&gt;""),
N53/(50%+30%)*50% + O53/(50%+30%)*30%,
""
)
)
)
)
)
) + V53
)</f>
        <v>#DIV/0!</v>
      </c>
      <c r="K53" s="8" t="e">
        <f t="shared" ref="K53" si="17">IF(J53&gt;=90,"A",
 IF(J53&gt;=77,"B",
 IF(J53&gt;=70,"C",
 IF(J53&gt;=60,"D","E"))))</f>
        <v>#DIV/0!</v>
      </c>
      <c r="L53" s="8" t="e">
        <f t="shared" ref="L53" si="18">_xlfn.RANK.EQ(J53,$J$2:$J$146,0)</f>
        <v>#DIV/0!</v>
      </c>
      <c r="M53" s="8" t="e">
        <f>表格1_3[[#This Row],[部內平均]]</f>
        <v>#DIV/0!</v>
      </c>
      <c r="N53" s="8" t="e">
        <f>表格1_3[[#This Row],[共評平均]]</f>
        <v>#DIV/0!</v>
      </c>
      <c r="O53" s="8" t="e">
        <f>表格1_3[[#This Row],[複評平均]]</f>
        <v>#DIV/0!</v>
      </c>
      <c r="P53" s="3"/>
      <c r="Q53" s="3"/>
      <c r="R53" s="3"/>
      <c r="S53" s="3"/>
      <c r="T53" s="3"/>
      <c r="U53" s="3"/>
      <c r="V53" s="3"/>
    </row>
    <row r="54" spans="1:24">
      <c r="B54" s="5" t="s">
        <v>178</v>
      </c>
      <c r="C54" s="4" t="s">
        <v>51</v>
      </c>
      <c r="D54" s="6" t="s">
        <v>269</v>
      </c>
      <c r="E54" s="4" t="s">
        <v>5</v>
      </c>
      <c r="F54" s="4" t="s">
        <v>120</v>
      </c>
      <c r="G54" s="41" t="e">
        <f>表格1[[#This Row],[加權後總分]]-表格1[[#This Row],[獎懲分數]]</f>
        <v>#DIV/0!</v>
      </c>
      <c r="H5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4" s="39" t="e">
        <f t="shared" si="0"/>
        <v>#DIV/0!</v>
      </c>
      <c r="J54" s="36" t="e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>#DIV/0!</v>
      </c>
      <c r="K54" s="8" t="e">
        <f>IF(J54&gt;=90,"A",
 IF(J54&gt;=77,"B",
 IF(J54&gt;=70,"C",
 IF(J54&gt;=60,"D","E"))))</f>
        <v>#DIV/0!</v>
      </c>
      <c r="L54" s="8" t="e">
        <f t="shared" si="3"/>
        <v>#DIV/0!</v>
      </c>
      <c r="M54" s="8" t="e">
        <f>表格1_3[[#This Row],[部內平均]]</f>
        <v>#DIV/0!</v>
      </c>
      <c r="N54" s="8" t="e">
        <f>表格1_3[[#This Row],[共評平均]]</f>
        <v>#DIV/0!</v>
      </c>
      <c r="O54" s="8" t="e">
        <f>表格1_3[[#This Row],[複評平均]]</f>
        <v>#DIV/0!</v>
      </c>
      <c r="P54" s="3"/>
      <c r="Q54" s="3"/>
      <c r="R54" s="3"/>
      <c r="S54" s="3"/>
      <c r="T54" s="3"/>
      <c r="U54" s="3"/>
      <c r="V54" s="3"/>
      <c r="W54" s="38">
        <v>74.826666666666668</v>
      </c>
      <c r="X54" s="2">
        <v>52</v>
      </c>
    </row>
    <row r="55" spans="1:24">
      <c r="B55" s="5" t="s">
        <v>182</v>
      </c>
      <c r="C55" s="4" t="s">
        <v>55</v>
      </c>
      <c r="D55" s="6" t="s">
        <v>269</v>
      </c>
      <c r="E55" s="4" t="s">
        <v>5</v>
      </c>
      <c r="F55" s="4" t="s">
        <v>53</v>
      </c>
      <c r="G55" s="41" t="e">
        <f>表格1[[#This Row],[加權後總分]]-表格1[[#This Row],[獎懲分數]]</f>
        <v>#DIV/0!</v>
      </c>
      <c r="H5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5" s="39" t="e">
        <f t="shared" si="0"/>
        <v>#DIV/0!</v>
      </c>
      <c r="J55" s="36" t="e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>#DIV/0!</v>
      </c>
      <c r="K55" s="8" t="e">
        <f t="shared" ref="K55:K56" si="19">IF(J55&gt;=90,"A",
 IF(J55&gt;=77,"B",
 IF(J55&gt;=70,"C",
 IF(J55&gt;=60,"D","E"))))</f>
        <v>#DIV/0!</v>
      </c>
      <c r="L55" s="8" t="e">
        <f t="shared" si="3"/>
        <v>#DIV/0!</v>
      </c>
      <c r="M55" s="8" t="e">
        <f>表格1_3[[#This Row],[部內平均]]</f>
        <v>#DIV/0!</v>
      </c>
      <c r="N55" s="8" t="e">
        <f>表格1_3[[#This Row],[共評平均]]</f>
        <v>#DIV/0!</v>
      </c>
      <c r="O55" s="8" t="e">
        <f>表格1_3[[#This Row],[複評平均]]</f>
        <v>#DIV/0!</v>
      </c>
      <c r="P55" s="3"/>
      <c r="Q55" s="3"/>
      <c r="R55" s="3"/>
      <c r="S55" s="3"/>
      <c r="T55" s="3"/>
      <c r="U55" s="3"/>
      <c r="V55" s="3"/>
      <c r="W55" s="38">
        <v>74.8</v>
      </c>
      <c r="X55" s="2">
        <v>53</v>
      </c>
    </row>
    <row r="56" spans="1:24">
      <c r="B56" s="5" t="s">
        <v>181</v>
      </c>
      <c r="C56" s="4" t="s">
        <v>54</v>
      </c>
      <c r="D56" s="6" t="s">
        <v>269</v>
      </c>
      <c r="E56" s="4" t="s">
        <v>281</v>
      </c>
      <c r="F56" s="4" t="s">
        <v>53</v>
      </c>
      <c r="G56" s="41" t="e">
        <f>表格1[[#This Row],[加權後總分]]-表格1[[#This Row],[獎懲分數]]</f>
        <v>#DIV/0!</v>
      </c>
      <c r="H5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6" s="39" t="e">
        <f t="shared" si="0"/>
        <v>#DIV/0!</v>
      </c>
      <c r="J56" s="36" t="e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>#DIV/0!</v>
      </c>
      <c r="K56" s="8" t="e">
        <f t="shared" si="19"/>
        <v>#DIV/0!</v>
      </c>
      <c r="L56" s="8" t="e">
        <f t="shared" si="3"/>
        <v>#DIV/0!</v>
      </c>
      <c r="M56" s="8" t="e">
        <f>表格1_3[[#This Row],[部內平均]]</f>
        <v>#DIV/0!</v>
      </c>
      <c r="N56" s="8" t="e">
        <f>表格1_3[[#This Row],[共評平均]]</f>
        <v>#DIV/0!</v>
      </c>
      <c r="O56" s="8" t="e">
        <f>表格1_3[[#This Row],[複評平均]]</f>
        <v>#DIV/0!</v>
      </c>
      <c r="P56" s="3"/>
      <c r="Q56" s="3"/>
      <c r="R56" s="3"/>
      <c r="S56" s="3"/>
      <c r="T56" s="3"/>
      <c r="U56" s="3"/>
      <c r="V56" s="3"/>
      <c r="W56" s="38">
        <v>74.733333333333334</v>
      </c>
      <c r="X56" s="2">
        <v>54</v>
      </c>
    </row>
    <row r="57" spans="1:24">
      <c r="B57" s="5"/>
      <c r="C57" s="4"/>
      <c r="D57" s="6"/>
      <c r="E57" s="4"/>
      <c r="F57" s="4"/>
      <c r="G57" s="41" t="e">
        <f>表格1[[#This Row],[加權後總分]]-表格1[[#This Row],[獎懲分數]]</f>
        <v>#DIV/0!</v>
      </c>
      <c r="H5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7" s="39" t="e">
        <f t="shared" ref="I57" si="20">_xlfn.RANK.EQ(G57,$G$2:$G$146,0)</f>
        <v>#DIV/0!</v>
      </c>
      <c r="J57" s="36" t="e">
        <f>IF(
AND(M57&lt;&gt;"",N57&lt;&gt;"",O57&lt;&gt;""),
M57*20% + N57*50% + O57*30%,
IF(
AND(M57&lt;&gt;"",N57="",O57=""),
M57,
IF(
AND(M57="",N57&lt;&gt;"",O57=""),
N57,
IF(
AND(M57="",N57="",O57&lt;&gt;""),
O57,
IF(
AND(M57&lt;&gt;"",N57&lt;&gt;"",O57=""),
M57/(20%+50%)*20% + N57/(20%+50%)*50%,
IF(
AND(M57&lt;&gt;"",N57="",O57&lt;&gt;""),
M57/(20%+30%)*20% + O57/(20%+30%)*30%,
IF(
AND(M57="",N57&lt;&gt;"",O57&lt;&gt;""),
N57/(50%+30%)*50% + O57/(50%+30%)*30%,
""
)
)
)
)
)
) + V57
)</f>
        <v>#DIV/0!</v>
      </c>
      <c r="K57" s="8" t="e">
        <f t="shared" ref="K57" si="21">IF(J57&gt;=90,"A",
 IF(J57&gt;=77,"B",
 IF(J57&gt;=70,"C",
 IF(J57&gt;=60,"D","E"))))</f>
        <v>#DIV/0!</v>
      </c>
      <c r="L57" s="8" t="e">
        <f t="shared" ref="L57" si="22">_xlfn.RANK.EQ(J57,$J$2:$J$146,0)</f>
        <v>#DIV/0!</v>
      </c>
      <c r="M57" s="8" t="e">
        <f>表格1_3[[#This Row],[部內平均]]</f>
        <v>#DIV/0!</v>
      </c>
      <c r="N57" s="8" t="e">
        <f>表格1_3[[#This Row],[共評平均]]</f>
        <v>#DIV/0!</v>
      </c>
      <c r="O57" s="8" t="e">
        <f>表格1_3[[#This Row],[複評平均]]</f>
        <v>#DIV/0!</v>
      </c>
      <c r="P57" s="3"/>
      <c r="Q57" s="3"/>
      <c r="R57" s="3"/>
      <c r="S57" s="3"/>
      <c r="T57" s="3"/>
      <c r="U57" s="3"/>
      <c r="V57" s="3"/>
    </row>
    <row r="58" spans="1:24">
      <c r="B58" s="5" t="s">
        <v>180</v>
      </c>
      <c r="C58" s="4" t="s">
        <v>53</v>
      </c>
      <c r="D58" s="6" t="s">
        <v>269</v>
      </c>
      <c r="E58" s="4" t="s">
        <v>292</v>
      </c>
      <c r="F58" s="4" t="s">
        <v>119</v>
      </c>
      <c r="G58" s="41" t="e">
        <f>表格1[[#This Row],[加權後總分]]-表格1[[#This Row],[獎懲分數]]</f>
        <v>#DIV/0!</v>
      </c>
      <c r="H5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8" s="39" t="e">
        <f t="shared" si="0"/>
        <v>#DIV/0!</v>
      </c>
      <c r="J58" s="36" t="e">
        <f t="shared" ref="J58:J95" si="23"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>#DIV/0!</v>
      </c>
      <c r="K58" s="8" t="e">
        <f>IF(J58&gt;=90,"A",
 IF(J58&gt;=77,"B",
 IF(J58&gt;=70,"C",
 IF(J58&gt;=60,"D","E"))))</f>
        <v>#DIV/0!</v>
      </c>
      <c r="L58" s="8" t="e">
        <f t="shared" si="3"/>
        <v>#DIV/0!</v>
      </c>
      <c r="M58" s="8" t="e">
        <f>表格1_3[[#This Row],[部內平均]]</f>
        <v>#DIV/0!</v>
      </c>
      <c r="N58" s="8" t="e">
        <f>表格1_3[[#This Row],[共評平均]]</f>
        <v>#DIV/0!</v>
      </c>
      <c r="O58" s="8" t="e">
        <f>表格1_3[[#This Row],[複評平均]]</f>
        <v>#DIV/0!</v>
      </c>
      <c r="P58" s="3"/>
      <c r="Q58" s="3"/>
      <c r="R58" s="3"/>
      <c r="S58" s="3"/>
      <c r="T58" s="3"/>
      <c r="U58" s="3"/>
      <c r="V58" s="3"/>
      <c r="W58" s="38">
        <v>74.599999999999994</v>
      </c>
      <c r="X58" s="2">
        <v>56</v>
      </c>
    </row>
    <row r="59" spans="1:24">
      <c r="B59" s="5" t="s">
        <v>189</v>
      </c>
      <c r="C59" s="4" t="s">
        <v>62</v>
      </c>
      <c r="D59" s="6" t="s">
        <v>269</v>
      </c>
      <c r="E59" s="4" t="s">
        <v>293</v>
      </c>
      <c r="F59" s="4" t="s">
        <v>53</v>
      </c>
      <c r="G59" s="41" t="e">
        <f>表格1[[#This Row],[加權後總分]]-表格1[[#This Row],[獎懲分數]]</f>
        <v>#DIV/0!</v>
      </c>
      <c r="H5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59" s="39" t="e">
        <f t="shared" si="0"/>
        <v>#DIV/0!</v>
      </c>
      <c r="J59" s="36" t="e">
        <f t="shared" si="23"/>
        <v>#DIV/0!</v>
      </c>
      <c r="K59" s="8" t="e">
        <f t="shared" ref="K59:K74" si="24">IF(J59&gt;=90,"A",
 IF(J59&gt;=77,"B",
 IF(J59&gt;=70,"C",
 IF(J59&gt;=60,"D","E"))))</f>
        <v>#DIV/0!</v>
      </c>
      <c r="L59" s="8" t="e">
        <f t="shared" si="3"/>
        <v>#DIV/0!</v>
      </c>
      <c r="M59" s="8" t="e">
        <f>表格1_3[[#This Row],[部內平均]]</f>
        <v>#DIV/0!</v>
      </c>
      <c r="N59" s="8" t="e">
        <f>表格1_3[[#This Row],[共評平均]]</f>
        <v>#DIV/0!</v>
      </c>
      <c r="O59" s="8" t="e">
        <f>表格1_3[[#This Row],[複評平均]]</f>
        <v>#DIV/0!</v>
      </c>
      <c r="P59" s="3"/>
      <c r="Q59" s="3"/>
      <c r="R59" s="3"/>
      <c r="S59" s="3"/>
      <c r="T59" s="3"/>
      <c r="U59" s="3"/>
      <c r="V59" s="3"/>
      <c r="W59" s="38">
        <v>74.400000000000006</v>
      </c>
      <c r="X59" s="2">
        <v>57</v>
      </c>
    </row>
    <row r="60" spans="1:24">
      <c r="B60" s="5" t="s">
        <v>187</v>
      </c>
      <c r="C60" s="4" t="s">
        <v>60</v>
      </c>
      <c r="D60" s="6" t="s">
        <v>269</v>
      </c>
      <c r="E60" s="4" t="s">
        <v>283</v>
      </c>
      <c r="F60" s="4" t="s">
        <v>53</v>
      </c>
      <c r="G60" s="41" t="e">
        <f>表格1[[#This Row],[加權後總分]]-表格1[[#This Row],[獎懲分數]]</f>
        <v>#DIV/0!</v>
      </c>
      <c r="H6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0" s="39" t="e">
        <f t="shared" si="0"/>
        <v>#DIV/0!</v>
      </c>
      <c r="J60" s="36" t="e">
        <f t="shared" si="23"/>
        <v>#DIV/0!</v>
      </c>
      <c r="K60" s="8" t="e">
        <f t="shared" si="24"/>
        <v>#DIV/0!</v>
      </c>
      <c r="L60" s="8" t="e">
        <f t="shared" si="3"/>
        <v>#DIV/0!</v>
      </c>
      <c r="M60" s="8" t="e">
        <f>表格1_3[[#This Row],[部內平均]]</f>
        <v>#DIV/0!</v>
      </c>
      <c r="N60" s="8" t="e">
        <f>表格1_3[[#This Row],[共評平均]]</f>
        <v>#DIV/0!</v>
      </c>
      <c r="O60" s="8" t="e">
        <f>表格1_3[[#This Row],[複評平均]]</f>
        <v>#DIV/0!</v>
      </c>
      <c r="P60" s="3"/>
      <c r="Q60" s="3"/>
      <c r="R60" s="3"/>
      <c r="S60" s="3"/>
      <c r="T60" s="3"/>
      <c r="U60" s="3"/>
      <c r="V60" s="3"/>
      <c r="W60" s="38">
        <v>74.2</v>
      </c>
      <c r="X60" s="2">
        <v>58</v>
      </c>
    </row>
    <row r="61" spans="1:24">
      <c r="B61" s="5" t="s">
        <v>188</v>
      </c>
      <c r="C61" s="4" t="s">
        <v>61</v>
      </c>
      <c r="D61" s="6" t="s">
        <v>269</v>
      </c>
      <c r="E61" s="4" t="s">
        <v>283</v>
      </c>
      <c r="F61" s="4" t="s">
        <v>53</v>
      </c>
      <c r="G61" s="41" t="e">
        <f>表格1[[#This Row],[加權後總分]]-表格1[[#This Row],[獎懲分數]]</f>
        <v>#DIV/0!</v>
      </c>
      <c r="H6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1" s="39" t="e">
        <f t="shared" si="0"/>
        <v>#DIV/0!</v>
      </c>
      <c r="J61" s="36" t="e">
        <f t="shared" si="23"/>
        <v>#DIV/0!</v>
      </c>
      <c r="K61" s="8" t="e">
        <f t="shared" si="24"/>
        <v>#DIV/0!</v>
      </c>
      <c r="L61" s="8" t="e">
        <f t="shared" si="3"/>
        <v>#DIV/0!</v>
      </c>
      <c r="M61" s="8" t="e">
        <f>表格1_3[[#This Row],[部內平均]]</f>
        <v>#DIV/0!</v>
      </c>
      <c r="N61" s="8" t="e">
        <f>表格1_3[[#This Row],[共評平均]]</f>
        <v>#DIV/0!</v>
      </c>
      <c r="O61" s="8" t="e">
        <f>表格1_3[[#This Row],[複評平均]]</f>
        <v>#DIV/0!</v>
      </c>
      <c r="P61" s="3"/>
      <c r="Q61" s="3"/>
      <c r="R61" s="3"/>
      <c r="S61" s="3"/>
      <c r="T61" s="3"/>
      <c r="U61" s="3"/>
      <c r="V61" s="3"/>
      <c r="W61" s="38">
        <v>74.199999999999989</v>
      </c>
      <c r="X61" s="2">
        <v>59</v>
      </c>
    </row>
    <row r="62" spans="1:24">
      <c r="B62" s="5" t="s">
        <v>183</v>
      </c>
      <c r="C62" s="4" t="s">
        <v>56</v>
      </c>
      <c r="D62" s="6" t="s">
        <v>269</v>
      </c>
      <c r="E62" s="4" t="s">
        <v>283</v>
      </c>
      <c r="F62" s="4" t="s">
        <v>53</v>
      </c>
      <c r="G62" s="41" t="e">
        <f>表格1[[#This Row],[加權後總分]]-表格1[[#This Row],[獎懲分數]]</f>
        <v>#DIV/0!</v>
      </c>
      <c r="H6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2" s="39" t="e">
        <f t="shared" si="0"/>
        <v>#DIV/0!</v>
      </c>
      <c r="J62" s="36" t="e">
        <f t="shared" si="23"/>
        <v>#DIV/0!</v>
      </c>
      <c r="K62" s="8" t="e">
        <f t="shared" si="24"/>
        <v>#DIV/0!</v>
      </c>
      <c r="L62" s="8" t="e">
        <f t="shared" si="3"/>
        <v>#DIV/0!</v>
      </c>
      <c r="M62" s="8" t="e">
        <f>表格1_3[[#This Row],[部內平均]]</f>
        <v>#DIV/0!</v>
      </c>
      <c r="N62" s="8" t="e">
        <f>表格1_3[[#This Row],[共評平均]]</f>
        <v>#DIV/0!</v>
      </c>
      <c r="O62" s="8" t="e">
        <f>表格1_3[[#This Row],[複評平均]]</f>
        <v>#DIV/0!</v>
      </c>
      <c r="P62" s="3"/>
      <c r="Q62" s="3"/>
      <c r="R62" s="3"/>
      <c r="S62" s="3"/>
      <c r="T62" s="3"/>
      <c r="U62" s="3"/>
      <c r="V62" s="3"/>
      <c r="W62" s="38">
        <v>74</v>
      </c>
      <c r="X62" s="2">
        <v>60</v>
      </c>
    </row>
    <row r="63" spans="1:24">
      <c r="A63" s="10" t="s">
        <v>389</v>
      </c>
      <c r="B63" s="5" t="s">
        <v>184</v>
      </c>
      <c r="C63" s="4" t="s">
        <v>57</v>
      </c>
      <c r="D63" s="6" t="s">
        <v>269</v>
      </c>
      <c r="E63" s="4" t="s">
        <v>283</v>
      </c>
      <c r="F63" s="4" t="s">
        <v>53</v>
      </c>
      <c r="G63" s="41" t="e">
        <f>表格1[[#This Row],[加權後總分]]-表格1[[#This Row],[獎懲分數]]</f>
        <v>#DIV/0!</v>
      </c>
      <c r="H6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3" s="39" t="e">
        <f t="shared" si="0"/>
        <v>#DIV/0!</v>
      </c>
      <c r="J63" s="36" t="e">
        <f t="shared" si="23"/>
        <v>#DIV/0!</v>
      </c>
      <c r="K63" s="8" t="e">
        <f t="shared" si="24"/>
        <v>#DIV/0!</v>
      </c>
      <c r="L63" s="8" t="e">
        <f t="shared" si="3"/>
        <v>#DIV/0!</v>
      </c>
      <c r="M63" s="8" t="e">
        <f>表格1_3[[#This Row],[部內平均]]</f>
        <v>#DIV/0!</v>
      </c>
      <c r="N63" s="8" t="e">
        <f>表格1_3[[#This Row],[共評平均]]</f>
        <v>#DIV/0!</v>
      </c>
      <c r="O63" s="8" t="e">
        <f>表格1_3[[#This Row],[複評平均]]</f>
        <v>#DIV/0!</v>
      </c>
      <c r="P63" s="3"/>
      <c r="Q63" s="3"/>
      <c r="R63" s="3"/>
      <c r="S63" s="3"/>
      <c r="T63" s="3"/>
      <c r="U63" s="3"/>
      <c r="V63" s="3"/>
      <c r="W63" s="38">
        <v>73.800000000000011</v>
      </c>
      <c r="X63" s="2">
        <v>61</v>
      </c>
    </row>
    <row r="64" spans="1:24">
      <c r="B64" s="5" t="s">
        <v>185</v>
      </c>
      <c r="C64" s="4" t="s">
        <v>58</v>
      </c>
      <c r="D64" s="6" t="s">
        <v>269</v>
      </c>
      <c r="E64" s="4" t="s">
        <v>285</v>
      </c>
      <c r="F64" s="4" t="s">
        <v>53</v>
      </c>
      <c r="G64" s="41" t="e">
        <f>表格1[[#This Row],[加權後總分]]-表格1[[#This Row],[獎懲分數]]</f>
        <v>#DIV/0!</v>
      </c>
      <c r="H6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4" s="39" t="e">
        <f t="shared" si="0"/>
        <v>#DIV/0!</v>
      </c>
      <c r="J64" s="36" t="e">
        <f t="shared" si="23"/>
        <v>#DIV/0!</v>
      </c>
      <c r="K64" s="8" t="e">
        <f t="shared" si="24"/>
        <v>#DIV/0!</v>
      </c>
      <c r="L64" s="8" t="e">
        <f t="shared" si="3"/>
        <v>#DIV/0!</v>
      </c>
      <c r="M64" s="8" t="e">
        <f>表格1_3[[#This Row],[部內平均]]</f>
        <v>#DIV/0!</v>
      </c>
      <c r="N64" s="8" t="e">
        <f>表格1_3[[#This Row],[共評平均]]</f>
        <v>#DIV/0!</v>
      </c>
      <c r="O64" s="8" t="e">
        <f>表格1_3[[#This Row],[複評平均]]</f>
        <v>#DIV/0!</v>
      </c>
      <c r="P64" s="3"/>
      <c r="Q64" s="3"/>
      <c r="R64" s="3"/>
      <c r="S64" s="3"/>
      <c r="T64" s="3"/>
      <c r="U64" s="3"/>
      <c r="V64" s="3"/>
      <c r="W64" s="38">
        <v>73.8</v>
      </c>
      <c r="X64" s="2">
        <v>62</v>
      </c>
    </row>
    <row r="65" spans="1:24">
      <c r="B65" s="5" t="s">
        <v>186</v>
      </c>
      <c r="C65" s="4" t="s">
        <v>59</v>
      </c>
      <c r="D65" s="6" t="s">
        <v>269</v>
      </c>
      <c r="E65" s="4" t="s">
        <v>293</v>
      </c>
      <c r="F65" s="4" t="s">
        <v>55</v>
      </c>
      <c r="G65" s="41" t="e">
        <f>表格1[[#This Row],[加權後總分]]-表格1[[#This Row],[獎懲分數]]</f>
        <v>#DIV/0!</v>
      </c>
      <c r="H6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5" s="39" t="e">
        <f t="shared" si="0"/>
        <v>#DIV/0!</v>
      </c>
      <c r="J65" s="36" t="e">
        <f t="shared" si="23"/>
        <v>#DIV/0!</v>
      </c>
      <c r="K65" s="8" t="e">
        <f t="shared" si="24"/>
        <v>#DIV/0!</v>
      </c>
      <c r="L65" s="8" t="e">
        <f t="shared" si="3"/>
        <v>#DIV/0!</v>
      </c>
      <c r="M65" s="8" t="e">
        <f>表格1_3[[#This Row],[部內平均]]</f>
        <v>#DIV/0!</v>
      </c>
      <c r="N65" s="8" t="e">
        <f>表格1_3[[#This Row],[共評平均]]</f>
        <v>#DIV/0!</v>
      </c>
      <c r="O65" s="8" t="e">
        <f>表格1_3[[#This Row],[複評平均]]</f>
        <v>#DIV/0!</v>
      </c>
      <c r="P65" s="3"/>
      <c r="Q65" s="3"/>
      <c r="R65" s="3"/>
      <c r="S65" s="3"/>
      <c r="T65" s="3"/>
      <c r="U65" s="3"/>
      <c r="V65" s="3"/>
      <c r="W65" s="38">
        <v>73.599999999999994</v>
      </c>
      <c r="X65" s="2">
        <v>63</v>
      </c>
    </row>
    <row r="66" spans="1:24">
      <c r="A66" s="10" t="s">
        <v>405</v>
      </c>
      <c r="B66" s="5" t="s">
        <v>196</v>
      </c>
      <c r="C66" s="4" t="s">
        <v>69</v>
      </c>
      <c r="D66" s="6" t="s">
        <v>270</v>
      </c>
      <c r="E66" s="4" t="s">
        <v>5</v>
      </c>
      <c r="F66" s="4" t="s">
        <v>77</v>
      </c>
      <c r="G66" s="41" t="e">
        <f>表格1[[#This Row],[加權後總分]]-表格1[[#This Row],[獎懲分數]]</f>
        <v>#DIV/0!</v>
      </c>
      <c r="H6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6" s="39" t="e">
        <f t="shared" ref="I66:I70" si="25">_xlfn.RANK.EQ(G66,$G$2:$G$146,0)</f>
        <v>#DIV/0!</v>
      </c>
      <c r="J66" s="36" t="e">
        <f t="shared" ref="J66:J70" si="26"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</f>
        <v>#DIV/0!</v>
      </c>
      <c r="K66" s="8" t="e">
        <f t="shared" ref="K66:K70" si="27">IF(J66&gt;=90,"A",
 IF(J66&gt;=77,"B",
 IF(J66&gt;=70,"C",
 IF(J66&gt;=60,"D","E"))))</f>
        <v>#DIV/0!</v>
      </c>
      <c r="L66" s="8" t="e">
        <f t="shared" ref="L66:L70" si="28">_xlfn.RANK.EQ(J66,$J$2:$J$146,0)</f>
        <v>#DIV/0!</v>
      </c>
      <c r="M66" s="8" t="e">
        <f>表格1_3[[#This Row],[部內平均]]</f>
        <v>#DIV/0!</v>
      </c>
      <c r="N66" s="8" t="e">
        <f>表格1_3[[#This Row],[共評平均]]</f>
        <v>#DIV/0!</v>
      </c>
      <c r="O66" s="8" t="e">
        <f>表格1_3[[#This Row],[複評平均]]</f>
        <v>#DIV/0!</v>
      </c>
      <c r="P66" s="3"/>
      <c r="Q66" s="3"/>
      <c r="R66" s="3"/>
      <c r="S66" s="3"/>
      <c r="T66" s="3"/>
      <c r="U66" s="3"/>
      <c r="V66" s="3"/>
      <c r="W66" s="38">
        <v>73.5</v>
      </c>
      <c r="X66" s="2">
        <v>64</v>
      </c>
    </row>
    <row r="67" spans="1:24">
      <c r="A67" s="10" t="s">
        <v>406</v>
      </c>
      <c r="B67" s="5" t="s">
        <v>197</v>
      </c>
      <c r="C67" s="4" t="s">
        <v>70</v>
      </c>
      <c r="D67" s="6" t="s">
        <v>270</v>
      </c>
      <c r="E67" s="4" t="s">
        <v>283</v>
      </c>
      <c r="F67" s="4" t="s">
        <v>77</v>
      </c>
      <c r="G67" s="41" t="e">
        <f>表格1[[#This Row],[加權後總分]]-表格1[[#This Row],[獎懲分數]]</f>
        <v>#DIV/0!</v>
      </c>
      <c r="H6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7" s="39" t="e">
        <f t="shared" si="25"/>
        <v>#DIV/0!</v>
      </c>
      <c r="J67" s="36" t="e">
        <f t="shared" si="26"/>
        <v>#DIV/0!</v>
      </c>
      <c r="K67" s="8" t="e">
        <f t="shared" si="27"/>
        <v>#DIV/0!</v>
      </c>
      <c r="L67" s="8" t="e">
        <f t="shared" si="28"/>
        <v>#DIV/0!</v>
      </c>
      <c r="M67" s="8" t="e">
        <f>表格1_3[[#This Row],[部內平均]]</f>
        <v>#DIV/0!</v>
      </c>
      <c r="N67" s="8" t="e">
        <f>表格1_3[[#This Row],[共評平均]]</f>
        <v>#DIV/0!</v>
      </c>
      <c r="O67" s="8" t="e">
        <f>表格1_3[[#This Row],[複評平均]]</f>
        <v>#DIV/0!</v>
      </c>
      <c r="P67" s="3"/>
      <c r="Q67" s="3"/>
      <c r="R67" s="3"/>
      <c r="S67" s="3"/>
      <c r="T67" s="3"/>
      <c r="U67" s="3"/>
      <c r="V67" s="3"/>
      <c r="W67" s="38">
        <v>73.275000000000006</v>
      </c>
      <c r="X67" s="2">
        <v>65</v>
      </c>
    </row>
    <row r="68" spans="1:24">
      <c r="B68" s="5" t="s">
        <v>190</v>
      </c>
      <c r="C68" s="4" t="s">
        <v>63</v>
      </c>
      <c r="D68" s="6" t="s">
        <v>270</v>
      </c>
      <c r="E68" s="4" t="s">
        <v>286</v>
      </c>
      <c r="F68" s="4" t="s">
        <v>77</v>
      </c>
      <c r="G68" s="41" t="e">
        <f>表格1[[#This Row],[加權後總分]]-表格1[[#This Row],[獎懲分數]]</f>
        <v>#DIV/0!</v>
      </c>
      <c r="H6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8" s="39" t="e">
        <f t="shared" si="25"/>
        <v>#DIV/0!</v>
      </c>
      <c r="J68" s="36" t="e">
        <f t="shared" si="26"/>
        <v>#DIV/0!</v>
      </c>
      <c r="K68" s="8" t="e">
        <f t="shared" si="27"/>
        <v>#DIV/0!</v>
      </c>
      <c r="L68" s="8" t="e">
        <f t="shared" si="28"/>
        <v>#DIV/0!</v>
      </c>
      <c r="M68" s="8" t="e">
        <f>表格1_3[[#This Row],[部內平均]]</f>
        <v>#DIV/0!</v>
      </c>
      <c r="N68" s="8" t="e">
        <f>表格1_3[[#This Row],[共評平均]]</f>
        <v>#DIV/0!</v>
      </c>
      <c r="O68" s="8" t="e">
        <f>表格1_3[[#This Row],[複評平均]]</f>
        <v>#DIV/0!</v>
      </c>
      <c r="P68" s="3"/>
      <c r="Q68" s="3"/>
      <c r="R68" s="3"/>
      <c r="S68" s="3"/>
      <c r="T68" s="3"/>
      <c r="U68" s="3"/>
      <c r="V68" s="3"/>
      <c r="W68" s="38">
        <v>73.2</v>
      </c>
      <c r="X68" s="2">
        <v>66</v>
      </c>
    </row>
    <row r="69" spans="1:24">
      <c r="B69" s="5"/>
      <c r="C69" s="4"/>
      <c r="D69" s="6"/>
      <c r="E69" s="4"/>
      <c r="F69" s="4"/>
      <c r="G69" s="41" t="e">
        <f>表格1[[#This Row],[加權後總分]]-表格1[[#This Row],[獎懲分數]]</f>
        <v>#DIV/0!</v>
      </c>
      <c r="H6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69" s="39" t="e">
        <f t="shared" si="25"/>
        <v>#DIV/0!</v>
      </c>
      <c r="J69" s="36" t="e">
        <f t="shared" si="26"/>
        <v>#DIV/0!</v>
      </c>
      <c r="K69" s="8" t="e">
        <f t="shared" si="27"/>
        <v>#DIV/0!</v>
      </c>
      <c r="L69" s="8" t="e">
        <f t="shared" si="28"/>
        <v>#DIV/0!</v>
      </c>
      <c r="M69" s="8" t="e">
        <f>表格1_3[[#This Row],[部內平均]]</f>
        <v>#DIV/0!</v>
      </c>
      <c r="N69" s="8" t="e">
        <f>表格1_3[[#This Row],[共評平均]]</f>
        <v>#DIV/0!</v>
      </c>
      <c r="O69" s="8" t="e">
        <f>表格1_3[[#This Row],[複評平均]]</f>
        <v>#DIV/0!</v>
      </c>
      <c r="P69" s="3"/>
      <c r="Q69" s="3"/>
      <c r="R69" s="3"/>
      <c r="S69" s="3"/>
      <c r="T69" s="3"/>
      <c r="U69" s="3"/>
      <c r="V69" s="3"/>
    </row>
    <row r="70" spans="1:24">
      <c r="B70" s="5"/>
      <c r="C70" s="4"/>
      <c r="D70" s="6"/>
      <c r="E70" s="4"/>
      <c r="F70" s="4"/>
      <c r="G70" s="41" t="e">
        <f>表格1[[#This Row],[加權後總分]]-表格1[[#This Row],[獎懲分數]]</f>
        <v>#DIV/0!</v>
      </c>
      <c r="H7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0" s="39" t="e">
        <f t="shared" si="25"/>
        <v>#DIV/0!</v>
      </c>
      <c r="J70" s="36" t="e">
        <f t="shared" si="26"/>
        <v>#DIV/0!</v>
      </c>
      <c r="K70" s="8" t="e">
        <f t="shared" si="27"/>
        <v>#DIV/0!</v>
      </c>
      <c r="L70" s="8" t="e">
        <f t="shared" si="28"/>
        <v>#DIV/0!</v>
      </c>
      <c r="M70" s="8" t="e">
        <f>表格1_3[[#This Row],[部內平均]]</f>
        <v>#DIV/0!</v>
      </c>
      <c r="N70" s="8" t="e">
        <f>表格1_3[[#This Row],[共評平均]]</f>
        <v>#DIV/0!</v>
      </c>
      <c r="O70" s="8" t="e">
        <f>表格1_3[[#This Row],[複評平均]]</f>
        <v>#DIV/0!</v>
      </c>
      <c r="P70" s="3"/>
      <c r="Q70" s="3"/>
      <c r="R70" s="3"/>
      <c r="S70" s="3"/>
      <c r="T70" s="3"/>
      <c r="U70" s="3"/>
      <c r="V70" s="3"/>
    </row>
    <row r="71" spans="1:24">
      <c r="A71" s="10" t="s">
        <v>389</v>
      </c>
      <c r="B71" s="5" t="s">
        <v>194</v>
      </c>
      <c r="C71" s="4" t="s">
        <v>67</v>
      </c>
      <c r="D71" s="6" t="s">
        <v>270</v>
      </c>
      <c r="E71" s="4" t="s">
        <v>283</v>
      </c>
      <c r="F71" s="4" t="s">
        <v>74</v>
      </c>
      <c r="G71" s="41" t="e">
        <f>表格1[[#This Row],[加權後總分]]-表格1[[#This Row],[獎懲分數]]</f>
        <v>#DIV/0!</v>
      </c>
      <c r="H7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1" s="39" t="e">
        <f t="shared" ref="I71:I78" si="29">_xlfn.RANK.EQ(G71,$G$2:$G$146,0)</f>
        <v>#DIV/0!</v>
      </c>
      <c r="J71" s="36" t="e">
        <f t="shared" ref="J71:J78" si="30">IF(
AND(M71&lt;&gt;"",N71&lt;&gt;"",O71&lt;&gt;""),
M71*20% + N71*50% + O71*30%,
IF(
AND(M71&lt;&gt;"",N71="",O71=""),
M71,
IF(
AND(M71="",N71&lt;&gt;"",O71=""),
N71,
IF(
AND(M71="",N71="",O71&lt;&gt;""),
O71,
IF(
AND(M71&lt;&gt;"",N71&lt;&gt;"",O71=""),
M71/(20%+50%)*20% + N71/(20%+50%)*50%,
IF(
AND(M71&lt;&gt;"",N71="",O71&lt;&gt;""),
M71/(20%+30%)*20% + O71/(20%+30%)*30%,
IF(
AND(M71="",N71&lt;&gt;"",O71&lt;&gt;""),
N71/(50%+30%)*50% + O71/(50%+30%)*30%,
""
)
)
)
)
)
) + V71
)</f>
        <v>#DIV/0!</v>
      </c>
      <c r="K71" s="8" t="e">
        <f t="shared" ref="K71:K78" si="31">IF(J71&gt;=90,"A",
 IF(J71&gt;=77,"B",
 IF(J71&gt;=70,"C",
 IF(J71&gt;=60,"D","E"))))</f>
        <v>#DIV/0!</v>
      </c>
      <c r="L71" s="8" t="e">
        <f t="shared" ref="L71:L78" si="32">_xlfn.RANK.EQ(J71,$J$2:$J$146,0)</f>
        <v>#DIV/0!</v>
      </c>
      <c r="M71" s="8" t="e">
        <f>表格1_3[[#This Row],[部內平均]]</f>
        <v>#DIV/0!</v>
      </c>
      <c r="N71" s="8" t="e">
        <f>表格1_3[[#This Row],[共評平均]]</f>
        <v>#DIV/0!</v>
      </c>
      <c r="O71" s="8" t="e">
        <f>表格1_3[[#This Row],[複評平均]]</f>
        <v>#DIV/0!</v>
      </c>
      <c r="P71" s="3"/>
      <c r="Q71" s="3"/>
      <c r="R71" s="3"/>
      <c r="S71" s="3"/>
      <c r="T71" s="3"/>
      <c r="U71" s="3"/>
      <c r="V71" s="3"/>
      <c r="W71" s="38">
        <v>73</v>
      </c>
      <c r="X71" s="2">
        <v>69</v>
      </c>
    </row>
    <row r="72" spans="1:24">
      <c r="A72" s="10" t="s">
        <v>389</v>
      </c>
      <c r="B72" s="5" t="s">
        <v>195</v>
      </c>
      <c r="C72" s="4" t="s">
        <v>68</v>
      </c>
      <c r="D72" s="6" t="s">
        <v>270</v>
      </c>
      <c r="E72" s="4" t="s">
        <v>283</v>
      </c>
      <c r="F72" s="4" t="s">
        <v>63</v>
      </c>
      <c r="G72" s="41" t="e">
        <f>表格1[[#This Row],[加權後總分]]-表格1[[#This Row],[獎懲分數]]</f>
        <v>#DIV/0!</v>
      </c>
      <c r="H7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2" s="39" t="e">
        <f t="shared" si="29"/>
        <v>#DIV/0!</v>
      </c>
      <c r="J72" s="36" t="e">
        <f t="shared" si="30"/>
        <v>#DIV/0!</v>
      </c>
      <c r="K72" s="8" t="e">
        <f t="shared" si="31"/>
        <v>#DIV/0!</v>
      </c>
      <c r="L72" s="8" t="e">
        <f t="shared" si="32"/>
        <v>#DIV/0!</v>
      </c>
      <c r="M72" s="8" t="e">
        <f>表格1_3[[#This Row],[部內平均]]</f>
        <v>#DIV/0!</v>
      </c>
      <c r="N72" s="8" t="e">
        <f>表格1_3[[#This Row],[共評平均]]</f>
        <v>#DIV/0!</v>
      </c>
      <c r="O72" s="8" t="e">
        <f>表格1_3[[#This Row],[複評平均]]</f>
        <v>#DIV/0!</v>
      </c>
      <c r="P72" s="3"/>
      <c r="Q72" s="3"/>
      <c r="R72" s="3"/>
      <c r="S72" s="3"/>
      <c r="T72" s="3"/>
      <c r="U72" s="3"/>
      <c r="V72" s="3"/>
      <c r="W72" s="38">
        <v>72.8</v>
      </c>
      <c r="X72" s="2">
        <v>70</v>
      </c>
    </row>
    <row r="73" spans="1:24">
      <c r="A73" s="10" t="s">
        <v>389</v>
      </c>
      <c r="B73" s="5" t="s">
        <v>193</v>
      </c>
      <c r="C73" s="4" t="s">
        <v>66</v>
      </c>
      <c r="D73" s="6" t="s">
        <v>270</v>
      </c>
      <c r="E73" s="4" t="s">
        <v>283</v>
      </c>
      <c r="F73" s="4" t="s">
        <v>77</v>
      </c>
      <c r="G73" s="41" t="e">
        <f>表格1[[#This Row],[加權後總分]]-表格1[[#This Row],[獎懲分數]]</f>
        <v>#DIV/0!</v>
      </c>
      <c r="H7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3" s="39" t="e">
        <f t="shared" si="29"/>
        <v>#DIV/0!</v>
      </c>
      <c r="J73" s="36" t="e">
        <f t="shared" si="30"/>
        <v>#DIV/0!</v>
      </c>
      <c r="K73" s="8" t="e">
        <f t="shared" si="31"/>
        <v>#DIV/0!</v>
      </c>
      <c r="L73" s="8" t="e">
        <f t="shared" si="32"/>
        <v>#DIV/0!</v>
      </c>
      <c r="M73" s="8" t="e">
        <f>表格1_3[[#This Row],[部內平均]]</f>
        <v>#DIV/0!</v>
      </c>
      <c r="N73" s="8" t="e">
        <f>表格1_3[[#This Row],[共評平均]]</f>
        <v>#DIV/0!</v>
      </c>
      <c r="O73" s="8" t="e">
        <f>表格1_3[[#This Row],[複評平均]]</f>
        <v>#DIV/0!</v>
      </c>
      <c r="P73" s="3"/>
      <c r="Q73" s="3"/>
      <c r="R73" s="3"/>
      <c r="S73" s="3"/>
      <c r="T73" s="3"/>
      <c r="U73" s="3"/>
      <c r="V73" s="3"/>
      <c r="W73" s="38">
        <v>72.8</v>
      </c>
      <c r="X73" s="2">
        <v>71</v>
      </c>
    </row>
    <row r="74" spans="1:24">
      <c r="A74" s="10" t="s">
        <v>389</v>
      </c>
      <c r="B74" s="5" t="s">
        <v>198</v>
      </c>
      <c r="C74" s="4" t="s">
        <v>71</v>
      </c>
      <c r="D74" s="6" t="s">
        <v>270</v>
      </c>
      <c r="E74" s="4" t="s">
        <v>283</v>
      </c>
      <c r="F74" s="4" t="s">
        <v>77</v>
      </c>
      <c r="G74" s="41" t="e">
        <f>表格1[[#This Row],[加權後總分]]-表格1[[#This Row],[獎懲分數]]</f>
        <v>#DIV/0!</v>
      </c>
      <c r="H7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4" s="39" t="e">
        <f t="shared" si="29"/>
        <v>#DIV/0!</v>
      </c>
      <c r="J74" s="36" t="e">
        <f t="shared" si="30"/>
        <v>#DIV/0!</v>
      </c>
      <c r="K74" s="8" t="e">
        <f t="shared" si="31"/>
        <v>#DIV/0!</v>
      </c>
      <c r="L74" s="8" t="e">
        <f t="shared" si="32"/>
        <v>#DIV/0!</v>
      </c>
      <c r="M74" s="8" t="e">
        <f>表格1_3[[#This Row],[部內平均]]</f>
        <v>#DIV/0!</v>
      </c>
      <c r="N74" s="8" t="e">
        <f>表格1_3[[#This Row],[共評平均]]</f>
        <v>#DIV/0!</v>
      </c>
      <c r="O74" s="8" t="e">
        <f>表格1_3[[#This Row],[複評平均]]</f>
        <v>#DIV/0!</v>
      </c>
      <c r="P74" s="3"/>
      <c r="Q74" s="3"/>
      <c r="R74" s="3"/>
      <c r="S74" s="3"/>
      <c r="T74" s="3"/>
      <c r="U74" s="3"/>
      <c r="V74" s="3"/>
      <c r="W74" s="38">
        <v>72.75</v>
      </c>
      <c r="X74" s="2">
        <v>72</v>
      </c>
    </row>
    <row r="75" spans="1:24">
      <c r="A75" s="10" t="s">
        <v>389</v>
      </c>
      <c r="B75" s="5" t="s">
        <v>318</v>
      </c>
      <c r="C75" s="4" t="s">
        <v>438</v>
      </c>
      <c r="D75" s="6" t="s">
        <v>270</v>
      </c>
      <c r="E75" s="4" t="s">
        <v>283</v>
      </c>
      <c r="F75" s="4" t="s">
        <v>63</v>
      </c>
      <c r="G75" s="41" t="e">
        <f>表格1[[#This Row],[加權後總分]]-表格1[[#This Row],[獎懲分數]]</f>
        <v>#DIV/0!</v>
      </c>
      <c r="H7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5" s="39" t="e">
        <f t="shared" si="29"/>
        <v>#DIV/0!</v>
      </c>
      <c r="J75" s="36" t="e">
        <f t="shared" si="30"/>
        <v>#DIV/0!</v>
      </c>
      <c r="K75" s="8" t="e">
        <f t="shared" si="31"/>
        <v>#DIV/0!</v>
      </c>
      <c r="L75" s="8" t="e">
        <f t="shared" si="32"/>
        <v>#DIV/0!</v>
      </c>
      <c r="M75" s="8" t="e">
        <f>表格1_3[[#This Row],[部內平均]]</f>
        <v>#DIV/0!</v>
      </c>
      <c r="N75" s="8" t="e">
        <f>表格1_3[[#This Row],[共評平均]]</f>
        <v>#DIV/0!</v>
      </c>
      <c r="O75" s="8" t="e">
        <f>表格1_3[[#This Row],[複評平均]]</f>
        <v>#DIV/0!</v>
      </c>
      <c r="P75" s="3"/>
      <c r="Q75" s="3"/>
      <c r="R75" s="3"/>
      <c r="S75" s="3"/>
      <c r="T75" s="3"/>
      <c r="U75" s="3"/>
      <c r="V75" s="3"/>
      <c r="W75" s="38">
        <v>72.599999999999994</v>
      </c>
      <c r="X75" s="2">
        <v>73</v>
      </c>
    </row>
    <row r="76" spans="1:24" ht="26">
      <c r="A76" s="10" t="s">
        <v>389</v>
      </c>
      <c r="B76" s="5" t="s">
        <v>319</v>
      </c>
      <c r="C76" s="4" t="s">
        <v>439</v>
      </c>
      <c r="D76" s="6" t="s">
        <v>270</v>
      </c>
      <c r="E76" s="4" t="s">
        <v>283</v>
      </c>
      <c r="F76" s="4" t="s">
        <v>63</v>
      </c>
      <c r="G76" s="41" t="e">
        <f>表格1[[#This Row],[加權後總分]]-表格1[[#This Row],[獎懲分數]]</f>
        <v>#DIV/0!</v>
      </c>
      <c r="H7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6" s="39" t="e">
        <f t="shared" si="29"/>
        <v>#DIV/0!</v>
      </c>
      <c r="J76" s="36" t="e">
        <f t="shared" si="30"/>
        <v>#DIV/0!</v>
      </c>
      <c r="K76" s="8" t="e">
        <f t="shared" si="31"/>
        <v>#DIV/0!</v>
      </c>
      <c r="L76" s="8" t="e">
        <f t="shared" si="32"/>
        <v>#DIV/0!</v>
      </c>
      <c r="M76" s="8" t="e">
        <f>表格1_3[[#This Row],[部內平均]]</f>
        <v>#DIV/0!</v>
      </c>
      <c r="N76" s="8" t="e">
        <f>表格1_3[[#This Row],[共評平均]]</f>
        <v>#DIV/0!</v>
      </c>
      <c r="O76" s="8" t="e">
        <f>表格1_3[[#This Row],[複評平均]]</f>
        <v>#DIV/0!</v>
      </c>
      <c r="P76" s="3"/>
      <c r="Q76" s="3"/>
      <c r="R76" s="3"/>
      <c r="S76" s="3"/>
      <c r="T76" s="3"/>
      <c r="U76" s="3"/>
      <c r="V76" s="3"/>
      <c r="W76" s="38">
        <v>72.474999999999994</v>
      </c>
      <c r="X76" s="2">
        <v>74</v>
      </c>
    </row>
    <row r="77" spans="1:24">
      <c r="A77" s="10" t="s">
        <v>389</v>
      </c>
      <c r="B77" s="5" t="s">
        <v>199</v>
      </c>
      <c r="C77" s="4" t="s">
        <v>440</v>
      </c>
      <c r="D77" s="6" t="s">
        <v>270</v>
      </c>
      <c r="E77" s="4" t="s">
        <v>283</v>
      </c>
      <c r="F77" s="4" t="s">
        <v>63</v>
      </c>
      <c r="G77" s="41" t="e">
        <f>表格1[[#This Row],[加權後總分]]-表格1[[#This Row],[獎懲分數]]</f>
        <v>#DIV/0!</v>
      </c>
      <c r="H7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7" s="39" t="e">
        <f t="shared" si="29"/>
        <v>#DIV/0!</v>
      </c>
      <c r="J77" s="36" t="e">
        <f t="shared" si="30"/>
        <v>#DIV/0!</v>
      </c>
      <c r="K77" s="8" t="e">
        <f t="shared" si="31"/>
        <v>#DIV/0!</v>
      </c>
      <c r="L77" s="8" t="e">
        <f t="shared" si="32"/>
        <v>#DIV/0!</v>
      </c>
      <c r="M77" s="8" t="e">
        <f>表格1_3[[#This Row],[部內平均]]</f>
        <v>#DIV/0!</v>
      </c>
      <c r="N77" s="8" t="e">
        <f>表格1_3[[#This Row],[共評平均]]</f>
        <v>#DIV/0!</v>
      </c>
      <c r="O77" s="8" t="e">
        <f>表格1_3[[#This Row],[複評平均]]</f>
        <v>#DIV/0!</v>
      </c>
      <c r="P77" s="3"/>
      <c r="Q77" s="3"/>
      <c r="R77" s="3"/>
      <c r="S77" s="3"/>
      <c r="T77" s="3"/>
      <c r="U77" s="3"/>
      <c r="V77" s="3"/>
      <c r="W77" s="38">
        <v>72.433333333333337</v>
      </c>
      <c r="X77" s="2">
        <v>75</v>
      </c>
    </row>
    <row r="78" spans="1:24">
      <c r="A78" s="10" t="s">
        <v>389</v>
      </c>
      <c r="B78" s="5" t="s">
        <v>200</v>
      </c>
      <c r="C78" s="4" t="s">
        <v>441</v>
      </c>
      <c r="D78" s="6" t="s">
        <v>270</v>
      </c>
      <c r="E78" s="4" t="s">
        <v>283</v>
      </c>
      <c r="F78" s="4" t="s">
        <v>63</v>
      </c>
      <c r="G78" s="41" t="e">
        <f>表格1[[#This Row],[加權後總分]]-表格1[[#This Row],[獎懲分數]]</f>
        <v>#DIV/0!</v>
      </c>
      <c r="H7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8" s="39" t="e">
        <f t="shared" si="29"/>
        <v>#DIV/0!</v>
      </c>
      <c r="J78" s="36" t="e">
        <f t="shared" si="30"/>
        <v>#DIV/0!</v>
      </c>
      <c r="K78" s="8" t="e">
        <f t="shared" si="31"/>
        <v>#DIV/0!</v>
      </c>
      <c r="L78" s="8" t="e">
        <f t="shared" si="32"/>
        <v>#DIV/0!</v>
      </c>
      <c r="M78" s="8" t="e">
        <f>表格1_3[[#This Row],[部內平均]]</f>
        <v>#DIV/0!</v>
      </c>
      <c r="N78" s="8" t="e">
        <f>表格1_3[[#This Row],[共評平均]]</f>
        <v>#DIV/0!</v>
      </c>
      <c r="O78" s="8" t="e">
        <f>表格1_3[[#This Row],[複評平均]]</f>
        <v>#DIV/0!</v>
      </c>
      <c r="P78" s="3"/>
      <c r="Q78" s="3"/>
      <c r="R78" s="3"/>
      <c r="S78" s="3"/>
      <c r="T78" s="3"/>
      <c r="U78" s="3"/>
      <c r="V78" s="3"/>
      <c r="W78" s="38">
        <v>72.2</v>
      </c>
      <c r="X78" s="2">
        <v>76</v>
      </c>
    </row>
    <row r="79" spans="1:24">
      <c r="B79" s="5" t="s">
        <v>203</v>
      </c>
      <c r="C79" s="4" t="s">
        <v>73</v>
      </c>
      <c r="D79" s="6" t="s">
        <v>271</v>
      </c>
      <c r="E79" s="4" t="s">
        <v>294</v>
      </c>
      <c r="F79" s="4" t="s">
        <v>72</v>
      </c>
      <c r="G79" s="41" t="e">
        <f>表格1[[#This Row],[加權後總分]]-表格1[[#This Row],[獎懲分數]]</f>
        <v>#DIV/0!</v>
      </c>
      <c r="H7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79" s="39" t="e">
        <f t="shared" ref="I67:I130" si="33">_xlfn.RANK.EQ(G79,$G$2:$G$146,0)</f>
        <v>#DIV/0!</v>
      </c>
      <c r="J79" s="36" t="e">
        <f t="shared" si="23"/>
        <v>#DIV/0!</v>
      </c>
      <c r="K79" s="8" t="e">
        <f>IF(J79&gt;=90,"A",
 IF(J79&gt;=77,"B",
 IF(J79&gt;=70,"C",
 IF(J79&gt;=60,"D","E"))))</f>
        <v>#DIV/0!</v>
      </c>
      <c r="L79" s="8" t="e">
        <f t="shared" ref="L67:L130" si="34">_xlfn.RANK.EQ(J79,$J$2:$J$146,0)</f>
        <v>#DIV/0!</v>
      </c>
      <c r="M79" s="8" t="e">
        <f>表格1_3[[#This Row],[部內平均]]</f>
        <v>#DIV/0!</v>
      </c>
      <c r="N79" s="8" t="e">
        <f>表格1_3[[#This Row],[共評平均]]</f>
        <v>#DIV/0!</v>
      </c>
      <c r="O79" s="8" t="e">
        <f>表格1_3[[#This Row],[複評平均]]</f>
        <v>#DIV/0!</v>
      </c>
      <c r="P79" s="3"/>
      <c r="Q79" s="3"/>
      <c r="R79" s="3"/>
      <c r="S79" s="3"/>
      <c r="T79" s="3"/>
      <c r="U79" s="3"/>
      <c r="V79" s="3"/>
      <c r="W79" s="38">
        <v>71.875</v>
      </c>
      <c r="X79" s="2">
        <v>77</v>
      </c>
    </row>
    <row r="80" spans="1:24">
      <c r="B80" s="5" t="s">
        <v>202</v>
      </c>
      <c r="C80" s="4" t="s">
        <v>72</v>
      </c>
      <c r="D80" s="6" t="s">
        <v>271</v>
      </c>
      <c r="E80" s="4" t="s">
        <v>288</v>
      </c>
      <c r="F80" s="4" t="s">
        <v>120</v>
      </c>
      <c r="G80" s="41" t="e">
        <f>表格1[[#This Row],[加權後總分]]-表格1[[#This Row],[獎懲分數]]</f>
        <v>#DIV/0!</v>
      </c>
      <c r="H8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0" s="39" t="e">
        <f t="shared" ref="I80:I89" si="35">_xlfn.RANK.EQ(G80,$G$2:$G$146,0)</f>
        <v>#DIV/0!</v>
      </c>
      <c r="J80" s="36" t="e">
        <f t="shared" ref="J80:J89" si="36"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>#DIV/0!</v>
      </c>
      <c r="K80" s="8" t="e">
        <f t="shared" ref="K80:K88" si="37">IF(J80&gt;=90,"A",
 IF(J80&gt;=77,"B",
 IF(J80&gt;=70,"C",
 IF(J80&gt;=60,"D","E"))))</f>
        <v>#DIV/0!</v>
      </c>
      <c r="L80" s="8" t="e">
        <f t="shared" ref="L80:L89" si="38">_xlfn.RANK.EQ(J80,$J$2:$J$146,0)</f>
        <v>#DIV/0!</v>
      </c>
      <c r="M80" s="8" t="e">
        <f>表格1_3[[#This Row],[部內平均]]</f>
        <v>#DIV/0!</v>
      </c>
      <c r="N80" s="8" t="e">
        <f>表格1_3[[#This Row],[共評平均]]</f>
        <v>#DIV/0!</v>
      </c>
      <c r="O80" s="8" t="e">
        <f>表格1_3[[#This Row],[複評平均]]</f>
        <v>#DIV/0!</v>
      </c>
      <c r="P80" s="3"/>
      <c r="Q80" s="3"/>
      <c r="R80" s="3"/>
      <c r="S80" s="3"/>
      <c r="T80" s="3"/>
      <c r="U80" s="3"/>
      <c r="V80" s="3"/>
      <c r="W80" s="38">
        <v>71.599999999999994</v>
      </c>
      <c r="X80" s="2">
        <v>78</v>
      </c>
    </row>
    <row r="81" spans="1:24">
      <c r="B81" s="5" t="s">
        <v>204</v>
      </c>
      <c r="C81" s="4" t="s">
        <v>74</v>
      </c>
      <c r="D81" s="6" t="s">
        <v>271</v>
      </c>
      <c r="E81" s="4" t="s">
        <v>4</v>
      </c>
      <c r="F81" s="4" t="s">
        <v>72</v>
      </c>
      <c r="G81" s="41" t="e">
        <f>表格1[[#This Row],[加權後總分]]-表格1[[#This Row],[獎懲分數]]</f>
        <v>#DIV/0!</v>
      </c>
      <c r="H8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1" s="39" t="e">
        <f t="shared" si="35"/>
        <v>#DIV/0!</v>
      </c>
      <c r="J81" s="36" t="e">
        <f t="shared" si="36"/>
        <v>#DIV/0!</v>
      </c>
      <c r="K81" s="8" t="e">
        <f t="shared" si="37"/>
        <v>#DIV/0!</v>
      </c>
      <c r="L81" s="8" t="e">
        <f t="shared" si="38"/>
        <v>#DIV/0!</v>
      </c>
      <c r="M81" s="8" t="e">
        <f>表格1_3[[#This Row],[部內平均]]</f>
        <v>#DIV/0!</v>
      </c>
      <c r="N81" s="8" t="e">
        <f>表格1_3[[#This Row],[共評平均]]</f>
        <v>#DIV/0!</v>
      </c>
      <c r="O81" s="8" t="e">
        <f>表格1_3[[#This Row],[複評平均]]</f>
        <v>#DIV/0!</v>
      </c>
      <c r="P81" s="3"/>
      <c r="Q81" s="3"/>
      <c r="R81" s="3"/>
      <c r="S81" s="3"/>
      <c r="T81" s="3"/>
      <c r="U81" s="3"/>
      <c r="V81" s="3"/>
      <c r="W81" s="38">
        <v>71</v>
      </c>
      <c r="X81" s="2">
        <v>79</v>
      </c>
    </row>
    <row r="82" spans="1:24">
      <c r="B82" s="5" t="s">
        <v>205</v>
      </c>
      <c r="C82" s="4" t="s">
        <v>75</v>
      </c>
      <c r="D82" s="6" t="s">
        <v>271</v>
      </c>
      <c r="E82" s="4" t="s">
        <v>283</v>
      </c>
      <c r="F82" s="4" t="s">
        <v>330</v>
      </c>
      <c r="G82" s="41" t="e">
        <f>表格1[[#This Row],[加權後總分]]-表格1[[#This Row],[獎懲分數]]</f>
        <v>#DIV/0!</v>
      </c>
      <c r="H8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2" s="39" t="e">
        <f t="shared" si="35"/>
        <v>#DIV/0!</v>
      </c>
      <c r="J82" s="36" t="e">
        <f t="shared" si="36"/>
        <v>#DIV/0!</v>
      </c>
      <c r="K82" s="8" t="e">
        <f t="shared" si="37"/>
        <v>#DIV/0!</v>
      </c>
      <c r="L82" s="8" t="e">
        <f t="shared" si="38"/>
        <v>#DIV/0!</v>
      </c>
      <c r="M82" s="8" t="e">
        <f>表格1_3[[#This Row],[部內平均]]</f>
        <v>#DIV/0!</v>
      </c>
      <c r="N82" s="8" t="e">
        <f>表格1_3[[#This Row],[共評平均]]</f>
        <v>#DIV/0!</v>
      </c>
      <c r="O82" s="8" t="e">
        <f>表格1_3[[#This Row],[複評平均]]</f>
        <v>#DIV/0!</v>
      </c>
      <c r="P82" s="3"/>
      <c r="Q82" s="3"/>
      <c r="R82" s="3"/>
      <c r="S82" s="3"/>
      <c r="T82" s="3"/>
      <c r="U82" s="3"/>
      <c r="V82" s="3"/>
      <c r="W82" s="38">
        <v>71</v>
      </c>
      <c r="X82" s="2">
        <v>80</v>
      </c>
    </row>
    <row r="83" spans="1:24">
      <c r="B83" s="5" t="s">
        <v>206</v>
      </c>
      <c r="C83" s="4" t="s">
        <v>76</v>
      </c>
      <c r="D83" s="6" t="s">
        <v>272</v>
      </c>
      <c r="E83" s="4" t="s">
        <v>288</v>
      </c>
      <c r="F83" s="4" t="s">
        <v>120</v>
      </c>
      <c r="G83" s="41" t="e">
        <f>表格1[[#This Row],[加權後總分]]-表格1[[#This Row],[獎懲分數]]</f>
        <v>#DIV/0!</v>
      </c>
      <c r="H8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3" s="39" t="e">
        <f t="shared" si="35"/>
        <v>#DIV/0!</v>
      </c>
      <c r="J83" s="36" t="e">
        <f t="shared" si="36"/>
        <v>#DIV/0!</v>
      </c>
      <c r="K83" s="8" t="e">
        <f t="shared" si="37"/>
        <v>#DIV/0!</v>
      </c>
      <c r="L83" s="8" t="e">
        <f t="shared" si="38"/>
        <v>#DIV/0!</v>
      </c>
      <c r="M83" s="8" t="e">
        <f>表格1_3[[#This Row],[部內平均]]</f>
        <v>#DIV/0!</v>
      </c>
      <c r="N83" s="8" t="e">
        <f>表格1_3[[#This Row],[共評平均]]</f>
        <v>#DIV/0!</v>
      </c>
      <c r="O83" s="8" t="e">
        <f>表格1_3[[#This Row],[複評平均]]</f>
        <v>#DIV/0!</v>
      </c>
      <c r="P83" s="3"/>
      <c r="Q83" s="3"/>
      <c r="R83" s="3"/>
      <c r="S83" s="3"/>
      <c r="T83" s="3"/>
      <c r="U83" s="3"/>
      <c r="V83" s="3"/>
      <c r="W83" s="38">
        <v>70.8</v>
      </c>
      <c r="X83" s="2">
        <v>81</v>
      </c>
    </row>
    <row r="84" spans="1:24">
      <c r="B84" s="5" t="s">
        <v>207</v>
      </c>
      <c r="C84" s="4" t="s">
        <v>77</v>
      </c>
      <c r="D84" s="6" t="s">
        <v>272</v>
      </c>
      <c r="E84" s="4" t="s">
        <v>292</v>
      </c>
      <c r="F84" s="4" t="s">
        <v>74</v>
      </c>
      <c r="G84" s="41" t="e">
        <f>表格1[[#This Row],[加權後總分]]-表格1[[#This Row],[獎懲分數]]</f>
        <v>#DIV/0!</v>
      </c>
      <c r="H8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4" s="39" t="e">
        <f t="shared" si="35"/>
        <v>#DIV/0!</v>
      </c>
      <c r="J84" s="36" t="e">
        <f t="shared" si="36"/>
        <v>#DIV/0!</v>
      </c>
      <c r="K84" s="8" t="e">
        <f t="shared" si="37"/>
        <v>#DIV/0!</v>
      </c>
      <c r="L84" s="8" t="e">
        <f t="shared" si="38"/>
        <v>#DIV/0!</v>
      </c>
      <c r="M84" s="8" t="e">
        <f>表格1_3[[#This Row],[部內平均]]</f>
        <v>#DIV/0!</v>
      </c>
      <c r="N84" s="8" t="e">
        <f>表格1_3[[#This Row],[共評平均]]</f>
        <v>#DIV/0!</v>
      </c>
      <c r="O84" s="8" t="e">
        <f>表格1_3[[#This Row],[複評平均]]</f>
        <v>#DIV/0!</v>
      </c>
      <c r="P84" s="3"/>
      <c r="Q84" s="3"/>
      <c r="R84" s="3"/>
      <c r="S84" s="3"/>
      <c r="T84" s="3"/>
      <c r="U84" s="3"/>
      <c r="V84" s="3"/>
      <c r="W84" s="38">
        <v>70.599999999999994</v>
      </c>
      <c r="X84" s="2">
        <v>82</v>
      </c>
    </row>
    <row r="85" spans="1:24">
      <c r="B85" s="5" t="s">
        <v>208</v>
      </c>
      <c r="C85" s="4" t="s">
        <v>78</v>
      </c>
      <c r="D85" s="6" t="s">
        <v>272</v>
      </c>
      <c r="E85" s="4" t="s">
        <v>293</v>
      </c>
      <c r="F85" s="4" t="s">
        <v>76</v>
      </c>
      <c r="G85" s="41" t="e">
        <f>表格1[[#This Row],[加權後總分]]-表格1[[#This Row],[獎懲分數]]</f>
        <v>#DIV/0!</v>
      </c>
      <c r="H8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5" s="39" t="e">
        <f t="shared" si="35"/>
        <v>#DIV/0!</v>
      </c>
      <c r="J85" s="36" t="e">
        <f t="shared" si="36"/>
        <v>#DIV/0!</v>
      </c>
      <c r="K85" s="8" t="e">
        <f t="shared" si="37"/>
        <v>#DIV/0!</v>
      </c>
      <c r="L85" s="8" t="e">
        <f t="shared" si="38"/>
        <v>#DIV/0!</v>
      </c>
      <c r="M85" s="8" t="e">
        <f>表格1_3[[#This Row],[部內平均]]</f>
        <v>#DIV/0!</v>
      </c>
      <c r="N85" s="8" t="e">
        <f>表格1_3[[#This Row],[共評平均]]</f>
        <v>#DIV/0!</v>
      </c>
      <c r="O85" s="8" t="e">
        <f>表格1_3[[#This Row],[複評平均]]</f>
        <v>#DIV/0!</v>
      </c>
      <c r="P85" s="3"/>
      <c r="Q85" s="3"/>
      <c r="R85" s="3"/>
      <c r="S85" s="3"/>
      <c r="T85" s="3"/>
      <c r="U85" s="3"/>
      <c r="V85" s="3"/>
      <c r="W85" s="38">
        <v>70.599999999999994</v>
      </c>
      <c r="X85" s="2">
        <v>83</v>
      </c>
    </row>
    <row r="86" spans="1:24">
      <c r="B86" s="5" t="s">
        <v>209</v>
      </c>
      <c r="C86" s="4" t="s">
        <v>79</v>
      </c>
      <c r="D86" s="6" t="s">
        <v>273</v>
      </c>
      <c r="E86" s="4" t="s">
        <v>295</v>
      </c>
      <c r="F86" s="4" t="s">
        <v>119</v>
      </c>
      <c r="G86" s="41" t="e">
        <f>表格1[[#This Row],[加權後總分]]-表格1[[#This Row],[獎懲分數]]</f>
        <v>#DIV/0!</v>
      </c>
      <c r="H8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6" s="39" t="e">
        <f t="shared" si="35"/>
        <v>#DIV/0!</v>
      </c>
      <c r="J86" s="36" t="e">
        <f t="shared" si="36"/>
        <v>#DIV/0!</v>
      </c>
      <c r="K86" s="8" t="e">
        <f t="shared" si="37"/>
        <v>#DIV/0!</v>
      </c>
      <c r="L86" s="8" t="e">
        <f t="shared" si="38"/>
        <v>#DIV/0!</v>
      </c>
      <c r="M86" s="8" t="e">
        <f>表格1_3[[#This Row],[部內平均]]</f>
        <v>#DIV/0!</v>
      </c>
      <c r="N86" s="8" t="e">
        <f>表格1_3[[#This Row],[共評平均]]</f>
        <v>#DIV/0!</v>
      </c>
      <c r="O86" s="8" t="e">
        <f>表格1_3[[#This Row],[複評平均]]</f>
        <v>#DIV/0!</v>
      </c>
      <c r="P86" s="3"/>
      <c r="Q86" s="3"/>
      <c r="R86" s="3"/>
      <c r="S86" s="3"/>
      <c r="T86" s="3"/>
      <c r="U86" s="3"/>
      <c r="V86" s="3"/>
      <c r="W86" s="38">
        <v>69.525000000000006</v>
      </c>
      <c r="X86" s="2">
        <v>84</v>
      </c>
    </row>
    <row r="87" spans="1:24">
      <c r="B87" s="5" t="s">
        <v>210</v>
      </c>
      <c r="C87" s="4" t="s">
        <v>80</v>
      </c>
      <c r="D87" s="6" t="s">
        <v>274</v>
      </c>
      <c r="E87" s="4" t="s">
        <v>296</v>
      </c>
      <c r="F87" s="4" t="s">
        <v>79</v>
      </c>
      <c r="G87" s="41" t="e">
        <f>表格1[[#This Row],[加權後總分]]-表格1[[#This Row],[獎懲分數]]</f>
        <v>#DIV/0!</v>
      </c>
      <c r="H8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7" s="39" t="e">
        <f t="shared" si="35"/>
        <v>#DIV/0!</v>
      </c>
      <c r="J87" s="36" t="e">
        <f t="shared" si="36"/>
        <v>#DIV/0!</v>
      </c>
      <c r="K87" s="8" t="e">
        <f t="shared" si="37"/>
        <v>#DIV/0!</v>
      </c>
      <c r="L87" s="8" t="e">
        <f t="shared" si="38"/>
        <v>#DIV/0!</v>
      </c>
      <c r="M87" s="8" t="e">
        <f>表格1_3[[#This Row],[部內平均]]</f>
        <v>#DIV/0!</v>
      </c>
      <c r="N87" s="8" t="e">
        <f>表格1_3[[#This Row],[共評平均]]</f>
        <v>#DIV/0!</v>
      </c>
      <c r="O87" s="8" t="e">
        <f>表格1_3[[#This Row],[複評平均]]</f>
        <v>#DIV/0!</v>
      </c>
      <c r="P87" s="3"/>
      <c r="Q87" s="3"/>
      <c r="R87" s="3"/>
      <c r="S87" s="3"/>
      <c r="T87" s="3"/>
      <c r="U87" s="3"/>
      <c r="V87" s="3"/>
      <c r="W87" s="38">
        <v>69.2</v>
      </c>
      <c r="X87" s="2">
        <v>85</v>
      </c>
    </row>
    <row r="88" spans="1:24">
      <c r="B88" s="5" t="s">
        <v>211</v>
      </c>
      <c r="C88" s="4" t="s">
        <v>81</v>
      </c>
      <c r="D88" s="6" t="s">
        <v>274</v>
      </c>
      <c r="E88" s="4" t="s">
        <v>296</v>
      </c>
      <c r="F88" s="4" t="s">
        <v>93</v>
      </c>
      <c r="G88" s="41" t="e">
        <f>表格1[[#This Row],[加權後總分]]-表格1[[#This Row],[獎懲分數]]</f>
        <v>#DIV/0!</v>
      </c>
      <c r="H8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8" s="39" t="e">
        <f t="shared" si="35"/>
        <v>#DIV/0!</v>
      </c>
      <c r="J88" s="36" t="e">
        <f t="shared" si="36"/>
        <v>#DIV/0!</v>
      </c>
      <c r="K88" s="8" t="e">
        <f t="shared" si="37"/>
        <v>#DIV/0!</v>
      </c>
      <c r="L88" s="8" t="e">
        <f t="shared" si="38"/>
        <v>#DIV/0!</v>
      </c>
      <c r="M88" s="8" t="e">
        <f>表格1_3[[#This Row],[部內平均]]</f>
        <v>#DIV/0!</v>
      </c>
      <c r="N88" s="8" t="e">
        <f>表格1_3[[#This Row],[共評平均]]</f>
        <v>#DIV/0!</v>
      </c>
      <c r="O88" s="8" t="e">
        <f>表格1_3[[#This Row],[複評平均]]</f>
        <v>#DIV/0!</v>
      </c>
      <c r="P88" s="3"/>
      <c r="Q88" s="3"/>
      <c r="R88" s="3"/>
      <c r="S88" s="3"/>
      <c r="T88" s="3"/>
      <c r="U88" s="3"/>
      <c r="V88" s="3"/>
      <c r="W88" s="38">
        <v>69</v>
      </c>
      <c r="X88" s="2">
        <v>86</v>
      </c>
    </row>
    <row r="89" spans="1:24">
      <c r="B89" s="5"/>
      <c r="C89" s="4"/>
      <c r="D89" s="6"/>
      <c r="E89" s="4"/>
      <c r="F89" s="4"/>
      <c r="G89" s="41" t="e">
        <f>表格1[[#This Row],[加權後總分]]-表格1[[#This Row],[獎懲分數]]</f>
        <v>#DIV/0!</v>
      </c>
      <c r="H8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89" s="39" t="e">
        <f t="shared" si="35"/>
        <v>#DIV/0!</v>
      </c>
      <c r="J89" s="36" t="e">
        <f t="shared" si="36"/>
        <v>#DIV/0!</v>
      </c>
      <c r="K89" s="8" t="e">
        <f>IF(J89&gt;=90,"A",
 IF(J89&gt;=77,"B",
 IF(J89&gt;=70,"C",
 IF(J89&gt;=60,"D","E"))))</f>
        <v>#DIV/0!</v>
      </c>
      <c r="L89" s="8" t="e">
        <f t="shared" si="38"/>
        <v>#DIV/0!</v>
      </c>
      <c r="M89" s="8" t="e">
        <f>表格1_3[[#This Row],[部內平均]]</f>
        <v>#DIV/0!</v>
      </c>
      <c r="N89" s="8" t="e">
        <f>表格1_3[[#This Row],[共評平均]]</f>
        <v>#DIV/0!</v>
      </c>
      <c r="O89" s="8" t="e">
        <f>表格1_3[[#This Row],[複評平均]]</f>
        <v>#DIV/0!</v>
      </c>
      <c r="P89" s="3"/>
      <c r="Q89" s="3"/>
      <c r="R89" s="3"/>
      <c r="S89" s="3"/>
      <c r="T89" s="3"/>
      <c r="U89" s="3"/>
      <c r="V89" s="3"/>
    </row>
    <row r="90" spans="1:24">
      <c r="A90" s="10" t="s">
        <v>399</v>
      </c>
      <c r="B90" s="5" t="s">
        <v>213</v>
      </c>
      <c r="C90" s="4" t="s">
        <v>334</v>
      </c>
      <c r="D90" s="6" t="s">
        <v>275</v>
      </c>
      <c r="E90" s="4" t="s">
        <v>283</v>
      </c>
      <c r="F90" s="4" t="s">
        <v>35</v>
      </c>
      <c r="G90" s="41" t="e">
        <f>表格1[[#This Row],[加權後總分]]-表格1[[#This Row],[獎懲分數]]</f>
        <v>#DIV/0!</v>
      </c>
      <c r="H9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0" s="39" t="e">
        <f t="shared" si="33"/>
        <v>#DIV/0!</v>
      </c>
      <c r="J90" s="36" t="e">
        <f t="shared" si="23"/>
        <v>#DIV/0!</v>
      </c>
      <c r="K90" s="8" t="e">
        <f t="shared" ref="K80:K95" si="39">IF(J90&gt;=90,"A",
 IF(J90&gt;=77,"B",
 IF(J90&gt;=70,"C",
 IF(J90&gt;=60,"D","E"))))</f>
        <v>#DIV/0!</v>
      </c>
      <c r="L90" s="8" t="e">
        <f t="shared" si="34"/>
        <v>#DIV/0!</v>
      </c>
      <c r="M90" s="8" t="e">
        <f>表格1_3[[#This Row],[部內平均]]</f>
        <v>#DIV/0!</v>
      </c>
      <c r="N90" s="8"/>
      <c r="O90" s="8" t="e">
        <f>表格1_3[[#This Row],[複評平均]]</f>
        <v>#DIV/0!</v>
      </c>
      <c r="P90" s="3"/>
      <c r="Q90" s="3"/>
      <c r="R90" s="3"/>
      <c r="S90" s="3"/>
      <c r="T90" s="3"/>
      <c r="U90" s="3"/>
      <c r="V90" s="3"/>
      <c r="W90" s="38">
        <v>68.8</v>
      </c>
      <c r="X90" s="2">
        <v>88</v>
      </c>
    </row>
    <row r="91" spans="1:24">
      <c r="A91" s="10" t="s">
        <v>399</v>
      </c>
      <c r="B91" s="5" t="s">
        <v>215</v>
      </c>
      <c r="C91" s="4" t="s">
        <v>84</v>
      </c>
      <c r="D91" s="6" t="s">
        <v>275</v>
      </c>
      <c r="E91" s="4" t="s">
        <v>283</v>
      </c>
      <c r="F91" s="4" t="s">
        <v>35</v>
      </c>
      <c r="G91" s="41" t="e">
        <f>表格1[[#This Row],[加權後總分]]-表格1[[#This Row],[獎懲分數]]</f>
        <v>#DIV/0!</v>
      </c>
      <c r="H9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1" s="39" t="e">
        <f t="shared" si="33"/>
        <v>#DIV/0!</v>
      </c>
      <c r="J91" s="36" t="e">
        <f t="shared" si="23"/>
        <v>#DIV/0!</v>
      </c>
      <c r="K91" s="8" t="e">
        <f t="shared" si="39"/>
        <v>#DIV/0!</v>
      </c>
      <c r="L91" s="8" t="e">
        <f t="shared" si="34"/>
        <v>#DIV/0!</v>
      </c>
      <c r="M91" s="8" t="e">
        <f>表格1_3[[#This Row],[部內平均]]</f>
        <v>#DIV/0!</v>
      </c>
      <c r="N91" s="8"/>
      <c r="O91" s="8" t="e">
        <f>表格1_3[[#This Row],[複評平均]]</f>
        <v>#DIV/0!</v>
      </c>
      <c r="P91" s="3"/>
      <c r="Q91" s="3"/>
      <c r="R91" s="3"/>
      <c r="S91" s="3"/>
      <c r="T91" s="3"/>
      <c r="U91" s="3"/>
      <c r="V91" s="3"/>
      <c r="W91" s="38">
        <v>68.8</v>
      </c>
      <c r="X91" s="2">
        <v>89</v>
      </c>
    </row>
    <row r="92" spans="1:24">
      <c r="A92" s="10" t="s">
        <v>399</v>
      </c>
      <c r="B92" s="5" t="s">
        <v>219</v>
      </c>
      <c r="C92" s="4" t="s">
        <v>88</v>
      </c>
      <c r="D92" s="6" t="s">
        <v>275</v>
      </c>
      <c r="E92" s="4" t="s">
        <v>283</v>
      </c>
      <c r="F92" s="4" t="s">
        <v>35</v>
      </c>
      <c r="G92" s="41" t="e">
        <f>表格1[[#This Row],[加權後總分]]-表格1[[#This Row],[獎懲分數]]</f>
        <v>#DIV/0!</v>
      </c>
      <c r="H9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2" s="39" t="e">
        <f t="shared" si="33"/>
        <v>#DIV/0!</v>
      </c>
      <c r="J92" s="36" t="e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>#DIV/0!</v>
      </c>
      <c r="K92" s="8" t="e">
        <f t="shared" si="39"/>
        <v>#DIV/0!</v>
      </c>
      <c r="L92" s="8" t="e">
        <f t="shared" si="34"/>
        <v>#DIV/0!</v>
      </c>
      <c r="M92" s="8" t="e">
        <f>表格1_3[[#This Row],[部內平均]]</f>
        <v>#DIV/0!</v>
      </c>
      <c r="N92" s="8"/>
      <c r="O92" s="8" t="e">
        <f>表格1_3[[#This Row],[複評平均]]</f>
        <v>#DIV/0!</v>
      </c>
      <c r="P92" s="3"/>
      <c r="Q92" s="3"/>
      <c r="R92" s="3"/>
      <c r="S92" s="3"/>
      <c r="T92" s="3"/>
      <c r="U92" s="3"/>
      <c r="V92" s="3"/>
      <c r="W92" s="38">
        <v>68.612244897959187</v>
      </c>
      <c r="X92" s="2">
        <v>90</v>
      </c>
    </row>
    <row r="93" spans="1:24">
      <c r="A93" s="10" t="s">
        <v>399</v>
      </c>
      <c r="B93" s="5" t="s">
        <v>216</v>
      </c>
      <c r="C93" s="4" t="s">
        <v>85</v>
      </c>
      <c r="D93" s="6" t="s">
        <v>275</v>
      </c>
      <c r="E93" s="4" t="s">
        <v>283</v>
      </c>
      <c r="F93" s="4" t="s">
        <v>35</v>
      </c>
      <c r="G93" s="41" t="e">
        <f>表格1[[#This Row],[加權後總分]]-表格1[[#This Row],[獎懲分數]]</f>
        <v>#DIV/0!</v>
      </c>
      <c r="H9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3" s="39" t="e">
        <f t="shared" si="33"/>
        <v>#DIV/0!</v>
      </c>
      <c r="J93" s="36" t="e">
        <f t="shared" si="23"/>
        <v>#DIV/0!</v>
      </c>
      <c r="K93" s="8" t="e">
        <f t="shared" si="39"/>
        <v>#DIV/0!</v>
      </c>
      <c r="L93" s="8" t="e">
        <f t="shared" si="34"/>
        <v>#DIV/0!</v>
      </c>
      <c r="M93" s="8" t="e">
        <f>表格1_3[[#This Row],[部內平均]]</f>
        <v>#DIV/0!</v>
      </c>
      <c r="N93" s="8"/>
      <c r="O93" s="8" t="e">
        <f>表格1_3[[#This Row],[複評平均]]</f>
        <v>#DIV/0!</v>
      </c>
      <c r="P93" s="3"/>
      <c r="Q93" s="3"/>
      <c r="R93" s="3"/>
      <c r="S93" s="3"/>
      <c r="T93" s="3"/>
      <c r="U93" s="3"/>
      <c r="V93" s="3"/>
      <c r="W93" s="38">
        <v>68.566666666666663</v>
      </c>
      <c r="X93" s="2">
        <v>91</v>
      </c>
    </row>
    <row r="94" spans="1:24">
      <c r="A94" s="10" t="s">
        <v>399</v>
      </c>
      <c r="B94" s="5" t="s">
        <v>217</v>
      </c>
      <c r="C94" s="4" t="s">
        <v>86</v>
      </c>
      <c r="D94" s="6" t="s">
        <v>275</v>
      </c>
      <c r="E94" s="4" t="s">
        <v>283</v>
      </c>
      <c r="F94" s="4" t="s">
        <v>35</v>
      </c>
      <c r="G94" s="41" t="e">
        <f>表格1[[#This Row],[加權後總分]]-表格1[[#This Row],[獎懲分數]]</f>
        <v>#DIV/0!</v>
      </c>
      <c r="H9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4" s="39" t="e">
        <f t="shared" si="33"/>
        <v>#DIV/0!</v>
      </c>
      <c r="J94" s="36" t="e">
        <f t="shared" si="23"/>
        <v>#DIV/0!</v>
      </c>
      <c r="K94" s="8" t="e">
        <f t="shared" si="39"/>
        <v>#DIV/0!</v>
      </c>
      <c r="L94" s="8" t="e">
        <f t="shared" si="34"/>
        <v>#DIV/0!</v>
      </c>
      <c r="M94" s="8" t="e">
        <f>表格1_3[[#This Row],[部內平均]]</f>
        <v>#DIV/0!</v>
      </c>
      <c r="N94" s="8"/>
      <c r="O94" s="8" t="e">
        <f>表格1_3[[#This Row],[複評平均]]</f>
        <v>#DIV/0!</v>
      </c>
      <c r="P94" s="3"/>
      <c r="Q94" s="3"/>
      <c r="R94" s="3"/>
      <c r="S94" s="3"/>
      <c r="T94" s="3"/>
      <c r="U94" s="3"/>
      <c r="V94" s="3"/>
      <c r="W94" s="38">
        <v>68.400000000000006</v>
      </c>
      <c r="X94" s="2">
        <v>92</v>
      </c>
    </row>
    <row r="95" spans="1:24">
      <c r="A95" s="10" t="s">
        <v>399</v>
      </c>
      <c r="B95" s="5" t="s">
        <v>218</v>
      </c>
      <c r="C95" s="4" t="s">
        <v>87</v>
      </c>
      <c r="D95" s="6" t="s">
        <v>275</v>
      </c>
      <c r="E95" s="4" t="s">
        <v>283</v>
      </c>
      <c r="F95" s="4" t="s">
        <v>313</v>
      </c>
      <c r="G95" s="41" t="e">
        <f>表格1[[#This Row],[加權後總分]]-表格1[[#This Row],[獎懲分數]]</f>
        <v>#DIV/0!</v>
      </c>
      <c r="H9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5" s="39" t="e">
        <f t="shared" si="33"/>
        <v>#DIV/0!</v>
      </c>
      <c r="J95" s="36" t="e">
        <f t="shared" si="23"/>
        <v>#DIV/0!</v>
      </c>
      <c r="K95" s="8" t="e">
        <f t="shared" si="39"/>
        <v>#DIV/0!</v>
      </c>
      <c r="L95" s="8" t="e">
        <f t="shared" si="34"/>
        <v>#DIV/0!</v>
      </c>
      <c r="M95" s="8" t="e">
        <f>表格1_3[[#This Row],[部內平均]]</f>
        <v>#DIV/0!</v>
      </c>
      <c r="N95" s="8"/>
      <c r="O95" s="8" t="e">
        <f>表格1_3[[#This Row],[複評平均]]</f>
        <v>#DIV/0!</v>
      </c>
      <c r="P95" s="3"/>
      <c r="Q95" s="3"/>
      <c r="R95" s="3"/>
      <c r="S95" s="3"/>
      <c r="T95" s="3"/>
      <c r="U95" s="3"/>
      <c r="V95" s="3"/>
      <c r="W95" s="38">
        <v>68.199999999999989</v>
      </c>
      <c r="X95" s="2">
        <v>93</v>
      </c>
    </row>
    <row r="96" spans="1:24">
      <c r="B96" s="5"/>
      <c r="C96" s="4"/>
      <c r="D96" s="6"/>
      <c r="E96" s="4"/>
      <c r="F96" s="4"/>
      <c r="G96" s="41" t="e">
        <f>表格1[[#This Row],[加權後總分]]-表格1[[#This Row],[獎懲分數]]</f>
        <v>#DIV/0!</v>
      </c>
      <c r="H9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6" s="39" t="e">
        <f t="shared" ref="I96" si="40">_xlfn.RANK.EQ(G96,$G$2:$G$146,0)</f>
        <v>#DIV/0!</v>
      </c>
      <c r="J96" s="36" t="e">
        <f t="shared" ref="J96" si="41">IF(
AND(M96&lt;&gt;"",N96&lt;&gt;"",O96&lt;&gt;""),
M96*20% + N96*50% + O96*30%,
IF(
AND(M96&lt;&gt;"",N96="",O96=""),
M96,
IF(
AND(M96="",N96&lt;&gt;"",O96=""),
N96,
IF(
AND(M96="",N96="",O96&lt;&gt;""),
O96,
IF(
AND(M96&lt;&gt;"",N96&lt;&gt;"",O96=""),
M96/(20%+50%)*20% + N96/(20%+50%)*50%,
IF(
AND(M96&lt;&gt;"",N96="",O96&lt;&gt;""),
M96/(20%+30%)*20% + O96/(20%+30%)*30%,
IF(
AND(M96="",N96&lt;&gt;"",O96&lt;&gt;""),
N96/(50%+30%)*50% + O96/(50%+30%)*30%,
""
)
)
)
)
)
) + V96
)</f>
        <v>#DIV/0!</v>
      </c>
      <c r="K96" s="8" t="e">
        <f t="shared" ref="K96" si="42">IF(J96&gt;=90,"A",
 IF(J96&gt;=77,"B",
 IF(J96&gt;=70,"C",
 IF(J96&gt;=60,"D","E"))))</f>
        <v>#DIV/0!</v>
      </c>
      <c r="L96" s="8" t="e">
        <f t="shared" ref="L96" si="43">_xlfn.RANK.EQ(J96,$J$2:$J$146,0)</f>
        <v>#DIV/0!</v>
      </c>
      <c r="M96" s="8" t="e">
        <f>表格1_3[[#This Row],[部內平均]]</f>
        <v>#DIV/0!</v>
      </c>
      <c r="N96" s="8"/>
      <c r="O96" s="8" t="e">
        <f>表格1_3[[#This Row],[複評平均]]</f>
        <v>#DIV/0!</v>
      </c>
      <c r="P96" s="3"/>
      <c r="Q96" s="3"/>
      <c r="R96" s="3"/>
      <c r="S96" s="3"/>
      <c r="T96" s="3"/>
      <c r="U96" s="3"/>
      <c r="V96" s="3"/>
    </row>
    <row r="97" spans="1:24">
      <c r="A97" s="10" t="s">
        <v>399</v>
      </c>
      <c r="B97" s="5" t="s">
        <v>220</v>
      </c>
      <c r="C97" s="4" t="s">
        <v>89</v>
      </c>
      <c r="D97" s="6" t="s">
        <v>275</v>
      </c>
      <c r="E97" s="4" t="s">
        <v>283</v>
      </c>
      <c r="F97" s="4" t="s">
        <v>332</v>
      </c>
      <c r="G97" s="41" t="e">
        <f>表格1[[#This Row],[加權後總分]]-表格1[[#This Row],[獎懲分數]]</f>
        <v>#DIV/0!</v>
      </c>
      <c r="H9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7" s="39" t="e">
        <f t="shared" si="33"/>
        <v>#DIV/0!</v>
      </c>
      <c r="J97" s="36" t="e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>#DIV/0!</v>
      </c>
      <c r="K97" s="8" t="e">
        <f>IF(J97&gt;=90,"A",
 IF(J97&gt;=80,"B",
 IF(J97&gt;=70,"C",
 IF(J97&gt;=60,"D","E"))))</f>
        <v>#DIV/0!</v>
      </c>
      <c r="L97" s="8" t="e">
        <f t="shared" si="34"/>
        <v>#DIV/0!</v>
      </c>
      <c r="M97" s="8" t="e">
        <f>表格1_3[[#This Row],[部內平均]]</f>
        <v>#DIV/0!</v>
      </c>
      <c r="N97" s="8"/>
      <c r="O97" s="8" t="e">
        <f>表格1_3[[#This Row],[複評平均]]</f>
        <v>#DIV/0!</v>
      </c>
      <c r="P97" s="3"/>
      <c r="Q97" s="3"/>
      <c r="R97" s="3"/>
      <c r="S97" s="3"/>
      <c r="T97" s="3"/>
      <c r="U97" s="3"/>
      <c r="V97" s="3"/>
      <c r="W97" s="38">
        <v>67.8</v>
      </c>
      <c r="X97" s="2">
        <v>95</v>
      </c>
    </row>
    <row r="98" spans="1:24">
      <c r="A98" s="10" t="s">
        <v>399</v>
      </c>
      <c r="B98" s="5" t="s">
        <v>221</v>
      </c>
      <c r="C98" s="4" t="s">
        <v>90</v>
      </c>
      <c r="D98" s="6" t="s">
        <v>275</v>
      </c>
      <c r="E98" s="4" t="s">
        <v>283</v>
      </c>
      <c r="F98" s="4" t="s">
        <v>35</v>
      </c>
      <c r="G98" s="41" t="e">
        <f>表格1[[#This Row],[加權後總分]]-表格1[[#This Row],[獎懲分數]]</f>
        <v>#DIV/0!</v>
      </c>
      <c r="H9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8" s="39" t="e">
        <f t="shared" si="33"/>
        <v>#DIV/0!</v>
      </c>
      <c r="J98" s="36" t="e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>#DIV/0!</v>
      </c>
      <c r="K98" s="8" t="e">
        <f>IF(J98&gt;=90,"A",
 IF(J98&gt;=80,"B",
 IF(J98&gt;=70,"C",
 IF(J98&gt;=60,"D","E"))))</f>
        <v>#DIV/0!</v>
      </c>
      <c r="L98" s="8" t="e">
        <f t="shared" si="34"/>
        <v>#DIV/0!</v>
      </c>
      <c r="M98" s="8" t="e">
        <f>表格1_3[[#This Row],[部內平均]]</f>
        <v>#DIV/0!</v>
      </c>
      <c r="N98" s="8"/>
      <c r="O98" s="8" t="e">
        <f>表格1_3[[#This Row],[複評平均]]</f>
        <v>#DIV/0!</v>
      </c>
      <c r="P98" s="3"/>
      <c r="Q98" s="3"/>
      <c r="R98" s="3"/>
      <c r="S98" s="3"/>
      <c r="T98" s="3"/>
      <c r="U98" s="3"/>
      <c r="V98" s="3"/>
      <c r="W98" s="38">
        <v>67.7</v>
      </c>
      <c r="X98" s="2">
        <v>96</v>
      </c>
    </row>
    <row r="99" spans="1:24">
      <c r="A99" s="10" t="s">
        <v>399</v>
      </c>
      <c r="B99" s="5" t="s">
        <v>320</v>
      </c>
      <c r="C99" s="4" t="s">
        <v>321</v>
      </c>
      <c r="D99" s="6" t="s">
        <v>275</v>
      </c>
      <c r="E99" s="4" t="s">
        <v>283</v>
      </c>
      <c r="F99" s="4" t="s">
        <v>93</v>
      </c>
      <c r="G99" s="41" t="e">
        <f>表格1[[#This Row],[加權後總分]]-表格1[[#This Row],[獎懲分數]]</f>
        <v>#DIV/0!</v>
      </c>
      <c r="H9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99" s="39" t="e">
        <f t="shared" si="33"/>
        <v>#DIV/0!</v>
      </c>
      <c r="J99" s="36" t="e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>#DIV/0!</v>
      </c>
      <c r="K99" s="8" t="e">
        <f>IF(J99&gt;=90,"A",
 IF(J99&gt;=80,"B",
 IF(J99&gt;=70,"C",
 IF(J99&gt;=60,"D","E"))))</f>
        <v>#DIV/0!</v>
      </c>
      <c r="L99" s="8" t="e">
        <f t="shared" si="34"/>
        <v>#DIV/0!</v>
      </c>
      <c r="M99" s="8" t="e">
        <f>表格1_3[[#This Row],[部內平均]]</f>
        <v>#DIV/0!</v>
      </c>
      <c r="N99" s="8"/>
      <c r="O99" s="8" t="e">
        <f>表格1_3[[#This Row],[複評平均]]</f>
        <v>#DIV/0!</v>
      </c>
      <c r="P99" s="3"/>
      <c r="Q99" s="3"/>
      <c r="R99" s="3"/>
      <c r="S99" s="3"/>
      <c r="T99" s="3"/>
      <c r="U99" s="3"/>
      <c r="V99" s="3"/>
      <c r="W99" s="38">
        <v>67</v>
      </c>
      <c r="X99" s="2">
        <v>97</v>
      </c>
    </row>
    <row r="100" spans="1:24">
      <c r="A100" s="10" t="s">
        <v>399</v>
      </c>
      <c r="B100" s="5" t="s">
        <v>322</v>
      </c>
      <c r="C100" s="4" t="s">
        <v>323</v>
      </c>
      <c r="D100" s="6" t="s">
        <v>275</v>
      </c>
      <c r="E100" s="4" t="s">
        <v>283</v>
      </c>
      <c r="F100" s="4" t="s">
        <v>77</v>
      </c>
      <c r="G100" s="41" t="e">
        <f>表格1[[#This Row],[加權後總分]]-表格1[[#This Row],[獎懲分數]]</f>
        <v>#DIV/0!</v>
      </c>
      <c r="H10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0" s="39" t="e">
        <f t="shared" si="33"/>
        <v>#DIV/0!</v>
      </c>
      <c r="J100" s="36" t="e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>#DIV/0!</v>
      </c>
      <c r="K100" s="8" t="e">
        <f>IF(J100&gt;=90,"A",
 IF(J100&gt;=80,"B",
 IF(J100&gt;=70,"C",
 IF(J100&gt;=60,"D","E"))))</f>
        <v>#DIV/0!</v>
      </c>
      <c r="L100" s="8" t="e">
        <f t="shared" si="34"/>
        <v>#DIV/0!</v>
      </c>
      <c r="M100" s="8" t="e">
        <f>表格1_3[[#This Row],[部內平均]]</f>
        <v>#DIV/0!</v>
      </c>
      <c r="N100" s="8"/>
      <c r="O100" s="8" t="e">
        <f>表格1_3[[#This Row],[複評平均]]</f>
        <v>#DIV/0!</v>
      </c>
      <c r="P100" s="3"/>
      <c r="Q100" s="3"/>
      <c r="R100" s="3"/>
      <c r="S100" s="3"/>
      <c r="T100" s="3"/>
      <c r="U100" s="3"/>
      <c r="V100" s="3"/>
      <c r="W100" s="38">
        <v>67</v>
      </c>
      <c r="X100" s="2">
        <v>98</v>
      </c>
    </row>
    <row r="101" spans="1:24">
      <c r="B101" s="5" t="s">
        <v>222</v>
      </c>
      <c r="C101" s="4" t="s">
        <v>91</v>
      </c>
      <c r="D101" s="6" t="s">
        <v>276</v>
      </c>
      <c r="E101" s="4" t="s">
        <v>296</v>
      </c>
      <c r="F101" s="4" t="s">
        <v>79</v>
      </c>
      <c r="G101" s="41" t="e">
        <f>表格1[[#This Row],[加權後總分]]-表格1[[#This Row],[獎懲分數]]</f>
        <v>#DIV/0!</v>
      </c>
      <c r="H10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1" s="39" t="e">
        <f t="shared" si="33"/>
        <v>#DIV/0!</v>
      </c>
      <c r="J101" s="36" t="e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>#DIV/0!</v>
      </c>
      <c r="K101" s="8" t="e">
        <f>IF(J101&gt;=90,"A",
 IF(J101&gt;=80,"B",
 IF(J101&gt;=70,"C",
 IF(J101&gt;=60,"D","E"))))</f>
        <v>#DIV/0!</v>
      </c>
      <c r="L101" s="8" t="e">
        <f t="shared" si="34"/>
        <v>#DIV/0!</v>
      </c>
      <c r="M101" s="8" t="e">
        <f>表格1_3[[#This Row],[部內平均]]</f>
        <v>#DIV/0!</v>
      </c>
      <c r="N101" s="8" t="e">
        <f>表格1_3[[#This Row],[共評平均]]</f>
        <v>#DIV/0!</v>
      </c>
      <c r="O101" s="8" t="e">
        <f>表格1_3[[#This Row],[複評平均]]</f>
        <v>#DIV/0!</v>
      </c>
      <c r="P101" s="3"/>
      <c r="Q101" s="3"/>
      <c r="R101" s="3"/>
      <c r="S101" s="3"/>
      <c r="T101" s="3"/>
      <c r="U101" s="3"/>
      <c r="V101" s="3"/>
      <c r="W101" s="38">
        <v>66.599999999999994</v>
      </c>
      <c r="X101" s="2">
        <v>99</v>
      </c>
    </row>
    <row r="102" spans="1:24">
      <c r="B102" s="5"/>
      <c r="C102" s="4"/>
      <c r="D102" s="6"/>
      <c r="E102" s="4"/>
      <c r="F102" s="4"/>
      <c r="G102" s="41" t="e">
        <f>表格1[[#This Row],[加權後總分]]-表格1[[#This Row],[獎懲分數]]</f>
        <v>#DIV/0!</v>
      </c>
      <c r="H10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2" s="39" t="e">
        <f t="shared" ref="I102:I103" si="44">_xlfn.RANK.EQ(G102,$G$2:$G$146,0)</f>
        <v>#DIV/0!</v>
      </c>
      <c r="J102" s="36" t="e">
        <f>IF(
AND(M102&lt;&gt;"",N102&lt;&gt;"",O102&lt;&gt;""),
M102*20% + N102*50% + O102*30%,
IF(
AND(M102&lt;&gt;"",N102="",O102=""),
M102,
IF(
AND(M102="",N102&lt;&gt;"",O102=""),
N102,
IF(
AND(M102="",N102="",O102&lt;&gt;""),
O102,
IF(
AND(M102&lt;&gt;"",N102&lt;&gt;"",O102=""),
M102/(20%+50%)*20% + N102/(20%+50%)*50%,
IF(
AND(M102&lt;&gt;"",N102="",O102&lt;&gt;""),
M102/(20%+30%)*20% + O102/(20%+30%)*30%,
IF(
AND(M102="",N102&lt;&gt;"",O102&lt;&gt;""),
N102/(50%+30%)*50% + O102/(50%+30%)*30%,
""
)
)
)
)
)
) + V102
)</f>
        <v>#DIV/0!</v>
      </c>
      <c r="K102" s="8" t="e">
        <f>IF(J102&gt;=90,"A",
 IF(J102&gt;=80,"B",
 IF(J102&gt;=70,"C",
 IF(J102&gt;=60,"D","E"))))</f>
        <v>#DIV/0!</v>
      </c>
      <c r="L102" s="8" t="e">
        <f t="shared" ref="L102:L103" si="45">_xlfn.RANK.EQ(J102,$J$2:$J$146,0)</f>
        <v>#DIV/0!</v>
      </c>
      <c r="M102" s="8" t="e">
        <f>表格1_3[[#This Row],[部內平均]]</f>
        <v>#DIV/0!</v>
      </c>
      <c r="N102" s="8" t="e">
        <f>表格1_3[[#This Row],[共評平均]]</f>
        <v>#DIV/0!</v>
      </c>
      <c r="O102" s="8" t="e">
        <f>表格1_3[[#This Row],[複評平均]]</f>
        <v>#DIV/0!</v>
      </c>
      <c r="P102" s="3"/>
      <c r="Q102" s="3"/>
      <c r="R102" s="3"/>
      <c r="S102" s="3"/>
      <c r="T102" s="3"/>
      <c r="U102" s="3"/>
      <c r="V102" s="3"/>
    </row>
    <row r="103" spans="1:24">
      <c r="B103" s="5" t="s">
        <v>225</v>
      </c>
      <c r="C103" s="4" t="s">
        <v>94</v>
      </c>
      <c r="D103" s="6" t="s">
        <v>276</v>
      </c>
      <c r="E103" s="4" t="s">
        <v>293</v>
      </c>
      <c r="F103" s="4" t="s">
        <v>79</v>
      </c>
      <c r="G103" s="41" t="e">
        <f>表格1[[#This Row],[加權後總分]]-表格1[[#This Row],[獎懲分數]]</f>
        <v>#DIV/0!</v>
      </c>
      <c r="H10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3" s="39" t="e">
        <f t="shared" si="44"/>
        <v>#DIV/0!</v>
      </c>
      <c r="J103" s="36" t="e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>#DIV/0!</v>
      </c>
      <c r="K103" s="8" t="e">
        <f>IF(J103&gt;=90,"A",
 IF(J103&gt;=80,"B",
 IF(J103&gt;=70,"C",
 IF(J103&gt;=60,"D","E"))))</f>
        <v>#DIV/0!</v>
      </c>
      <c r="L103" s="8" t="e">
        <f t="shared" si="45"/>
        <v>#DIV/0!</v>
      </c>
      <c r="M103" s="8" t="e">
        <f>表格1_3[[#This Row],[部內平均]]</f>
        <v>#DIV/0!</v>
      </c>
      <c r="N103" s="8" t="e">
        <f>表格1_3[[#This Row],[共評平均]]</f>
        <v>#DIV/0!</v>
      </c>
      <c r="O103" s="8" t="e">
        <f>表格1_3[[#This Row],[複評平均]]</f>
        <v>#DIV/0!</v>
      </c>
      <c r="P103" s="3"/>
      <c r="Q103" s="3"/>
      <c r="R103" s="3"/>
      <c r="S103" s="3"/>
      <c r="T103" s="3"/>
      <c r="U103" s="3"/>
      <c r="V103" s="3"/>
      <c r="W103" s="38">
        <v>66</v>
      </c>
      <c r="X103" s="2">
        <v>101</v>
      </c>
    </row>
    <row r="104" spans="1:24">
      <c r="B104" s="5" t="s">
        <v>224</v>
      </c>
      <c r="C104" s="4" t="s">
        <v>93</v>
      </c>
      <c r="D104" s="6" t="s">
        <v>276</v>
      </c>
      <c r="E104" s="4" t="s">
        <v>288</v>
      </c>
      <c r="F104" s="4" t="s">
        <v>119</v>
      </c>
      <c r="G104" s="41" t="e">
        <f>表格1[[#This Row],[加權後總分]]-表格1[[#This Row],[獎懲分數]]</f>
        <v>#DIV/0!</v>
      </c>
      <c r="H10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4" s="39" t="e">
        <f t="shared" ref="I104" si="46">_xlfn.RANK.EQ(G104,$G$2:$G$146,0)</f>
        <v>#DIV/0!</v>
      </c>
      <c r="J104" s="36" t="e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>#DIV/0!</v>
      </c>
      <c r="K104" s="8" t="e">
        <f>IF(J104&gt;=90,"A",
 IF(J104&gt;=80,"B",
 IF(J104&gt;=70,"C",
 IF(J104&gt;=60,"D","E"))))</f>
        <v>#DIV/0!</v>
      </c>
      <c r="L104" s="8" t="e">
        <f t="shared" ref="L104" si="47">_xlfn.RANK.EQ(J104,$J$2:$J$146,0)</f>
        <v>#DIV/0!</v>
      </c>
      <c r="M104" s="8" t="e">
        <f>表格1_3[[#This Row],[部內平均]]</f>
        <v>#DIV/0!</v>
      </c>
      <c r="N104" s="8" t="e">
        <f>表格1_3[[#This Row],[共評平均]]</f>
        <v>#DIV/0!</v>
      </c>
      <c r="O104" s="8" t="e">
        <f>表格1_3[[#This Row],[複評平均]]</f>
        <v>#DIV/0!</v>
      </c>
      <c r="P104" s="3"/>
      <c r="Q104" s="3"/>
      <c r="R104" s="3"/>
      <c r="S104" s="3"/>
      <c r="T104" s="3"/>
      <c r="U104" s="3"/>
      <c r="V104" s="3"/>
      <c r="W104" s="38">
        <v>66</v>
      </c>
      <c r="X104" s="2">
        <v>102</v>
      </c>
    </row>
    <row r="105" spans="1:24">
      <c r="A105" s="10" t="s">
        <v>394</v>
      </c>
      <c r="B105" s="5" t="s">
        <v>226</v>
      </c>
      <c r="C105" s="4" t="s">
        <v>95</v>
      </c>
      <c r="D105" s="6" t="s">
        <v>276</v>
      </c>
      <c r="E105" s="4" t="s">
        <v>283</v>
      </c>
      <c r="F105" s="4" t="s">
        <v>79</v>
      </c>
      <c r="G105" s="41" t="e">
        <f>表格1[[#This Row],[加權後總分]]-表格1[[#This Row],[獎懲分數]]</f>
        <v>#DIV/0!</v>
      </c>
      <c r="H10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5" s="39" t="e">
        <f t="shared" si="33"/>
        <v>#DIV/0!</v>
      </c>
      <c r="J105" s="36" t="e">
        <f t="shared" ref="J105:J135" si="48"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>#DIV/0!</v>
      </c>
      <c r="K105" s="8" t="e">
        <f t="shared" ref="K104:K125" si="49">IF(J105&gt;=90,"A",
 IF(J105&gt;=77,"B",
 IF(J105&gt;=70,"C",
 IF(J105&gt;=60,"D","E"))))</f>
        <v>#DIV/0!</v>
      </c>
      <c r="L105" s="8" t="e">
        <f t="shared" si="34"/>
        <v>#DIV/0!</v>
      </c>
      <c r="M105" s="8" t="e">
        <f>表格1_3[[#This Row],[部內平均]]</f>
        <v>#DIV/0!</v>
      </c>
      <c r="N105" s="8" t="e">
        <f>表格1_3[[#This Row],[共評平均]]</f>
        <v>#DIV/0!</v>
      </c>
      <c r="O105" s="8" t="e">
        <f>表格1_3[[#This Row],[複評平均]]</f>
        <v>#DIV/0!</v>
      </c>
      <c r="P105" s="3"/>
      <c r="Q105" s="3"/>
      <c r="R105" s="3"/>
      <c r="S105" s="3"/>
      <c r="T105" s="3"/>
      <c r="U105" s="3"/>
      <c r="V105" s="3"/>
      <c r="W105" s="38">
        <v>65.599999999999994</v>
      </c>
      <c r="X105" s="2">
        <v>103</v>
      </c>
    </row>
    <row r="106" spans="1:24">
      <c r="A106" s="10" t="s">
        <v>407</v>
      </c>
      <c r="B106" s="5" t="s">
        <v>227</v>
      </c>
      <c r="C106" s="4" t="s">
        <v>96</v>
      </c>
      <c r="D106" s="6" t="s">
        <v>277</v>
      </c>
      <c r="E106" s="4" t="s">
        <v>283</v>
      </c>
      <c r="F106" s="4" t="s">
        <v>74</v>
      </c>
      <c r="G106" s="41" t="e">
        <f>表格1[[#This Row],[加權後總分]]-表格1[[#This Row],[獎懲分數]]</f>
        <v>#DIV/0!</v>
      </c>
      <c r="H10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6" s="39" t="e">
        <f t="shared" si="33"/>
        <v>#DIV/0!</v>
      </c>
      <c r="J106" s="36" t="e">
        <f t="shared" si="48"/>
        <v>#DIV/0!</v>
      </c>
      <c r="K106" s="8" t="e">
        <f t="shared" si="49"/>
        <v>#DIV/0!</v>
      </c>
      <c r="L106" s="8" t="e">
        <f t="shared" si="34"/>
        <v>#DIV/0!</v>
      </c>
      <c r="M106" s="8" t="e">
        <f>表格1_3[[#This Row],[部內平均]]</f>
        <v>#DIV/0!</v>
      </c>
      <c r="N106" s="8"/>
      <c r="O106" s="8" t="e">
        <f>表格1_3[[#This Row],[複評平均]]</f>
        <v>#DIV/0!</v>
      </c>
      <c r="P106" s="3"/>
      <c r="Q106" s="3"/>
      <c r="R106" s="3"/>
      <c r="S106" s="3"/>
      <c r="T106" s="3"/>
      <c r="U106" s="3"/>
      <c r="V106" s="3"/>
      <c r="W106" s="38">
        <v>65.599999999999994</v>
      </c>
      <c r="X106" s="2">
        <v>104</v>
      </c>
    </row>
    <row r="107" spans="1:24">
      <c r="A107" s="10" t="s">
        <v>407</v>
      </c>
      <c r="B107" s="5" t="s">
        <v>236</v>
      </c>
      <c r="C107" s="4" t="s">
        <v>105</v>
      </c>
      <c r="D107" s="6" t="s">
        <v>277</v>
      </c>
      <c r="E107" s="4" t="s">
        <v>283</v>
      </c>
      <c r="F107" s="4" t="s">
        <v>74</v>
      </c>
      <c r="G107" s="41" t="e">
        <f>表格1[[#This Row],[加權後總分]]-表格1[[#This Row],[獎懲分數]]</f>
        <v>#DIV/0!</v>
      </c>
      <c r="H10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7" s="39" t="e">
        <f t="shared" si="33"/>
        <v>#DIV/0!</v>
      </c>
      <c r="J107" s="36" t="e">
        <f t="shared" si="48"/>
        <v>#DIV/0!</v>
      </c>
      <c r="K107" s="8" t="e">
        <f t="shared" si="49"/>
        <v>#DIV/0!</v>
      </c>
      <c r="L107" s="8" t="e">
        <f t="shared" si="34"/>
        <v>#DIV/0!</v>
      </c>
      <c r="M107" s="8" t="e">
        <f>表格1_3[[#This Row],[部內平均]]</f>
        <v>#DIV/0!</v>
      </c>
      <c r="N107" s="8"/>
      <c r="O107" s="8" t="e">
        <f>表格1_3[[#This Row],[複評平均]]</f>
        <v>#DIV/0!</v>
      </c>
      <c r="P107" s="3"/>
      <c r="Q107" s="3"/>
      <c r="R107" s="3"/>
      <c r="S107" s="3"/>
      <c r="T107" s="3"/>
      <c r="U107" s="3"/>
      <c r="V107" s="3"/>
      <c r="W107" s="38">
        <v>64.849999999999994</v>
      </c>
      <c r="X107" s="2">
        <v>105</v>
      </c>
    </row>
    <row r="108" spans="1:24">
      <c r="A108" s="10" t="s">
        <v>407</v>
      </c>
      <c r="B108" s="5" t="s">
        <v>237</v>
      </c>
      <c r="C108" s="4" t="s">
        <v>106</v>
      </c>
      <c r="D108" s="6" t="s">
        <v>277</v>
      </c>
      <c r="E108" s="4" t="s">
        <v>283</v>
      </c>
      <c r="F108" s="4" t="s">
        <v>74</v>
      </c>
      <c r="G108" s="41" t="e">
        <f>表格1[[#This Row],[加權後總分]]-表格1[[#This Row],[獎懲分數]]</f>
        <v>#DIV/0!</v>
      </c>
      <c r="H10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8" s="39" t="e">
        <f t="shared" si="33"/>
        <v>#DIV/0!</v>
      </c>
      <c r="J108" s="36" t="e">
        <f t="shared" si="48"/>
        <v>#DIV/0!</v>
      </c>
      <c r="K108" s="8" t="e">
        <f t="shared" si="49"/>
        <v>#DIV/0!</v>
      </c>
      <c r="L108" s="8" t="e">
        <f t="shared" si="34"/>
        <v>#DIV/0!</v>
      </c>
      <c r="M108" s="8" t="e">
        <f>表格1_3[[#This Row],[部內平均]]</f>
        <v>#DIV/0!</v>
      </c>
      <c r="N108" s="8"/>
      <c r="O108" s="8" t="e">
        <f>表格1_3[[#This Row],[複評平均]]</f>
        <v>#DIV/0!</v>
      </c>
      <c r="P108" s="3"/>
      <c r="Q108" s="3"/>
      <c r="R108" s="3"/>
      <c r="S108" s="3"/>
      <c r="T108" s="3"/>
      <c r="U108" s="3"/>
      <c r="V108" s="3"/>
      <c r="W108" s="38">
        <v>64.599999999999994</v>
      </c>
      <c r="X108" s="2">
        <v>106</v>
      </c>
    </row>
    <row r="109" spans="1:24">
      <c r="A109" s="10" t="s">
        <v>407</v>
      </c>
      <c r="B109" s="5" t="s">
        <v>230</v>
      </c>
      <c r="C109" s="4" t="s">
        <v>99</v>
      </c>
      <c r="D109" s="6" t="s">
        <v>277</v>
      </c>
      <c r="E109" s="4" t="s">
        <v>285</v>
      </c>
      <c r="F109" s="4" t="s">
        <v>93</v>
      </c>
      <c r="G109" s="41" t="e">
        <f>表格1[[#This Row],[加權後總分]]-表格1[[#This Row],[獎懲分數]]</f>
        <v>#DIV/0!</v>
      </c>
      <c r="H10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09" s="39" t="e">
        <f>_xlfn.RANK.EQ(G109,$G$2:$G$146,0)</f>
        <v>#DIV/0!</v>
      </c>
      <c r="J109" s="36" t="e">
        <f t="shared" si="48"/>
        <v>#DIV/0!</v>
      </c>
      <c r="K109" s="8" t="e">
        <f t="shared" si="49"/>
        <v>#DIV/0!</v>
      </c>
      <c r="L109" s="8" t="e">
        <f t="shared" si="34"/>
        <v>#DIV/0!</v>
      </c>
      <c r="M109" s="8" t="e">
        <f>表格1_3[[#This Row],[部內平均]]</f>
        <v>#DIV/0!</v>
      </c>
      <c r="N109" s="8"/>
      <c r="O109" s="8" t="e">
        <f>表格1_3[[#This Row],[複評平均]]</f>
        <v>#DIV/0!</v>
      </c>
      <c r="P109" s="3"/>
      <c r="Q109" s="3"/>
      <c r="R109" s="3"/>
      <c r="S109" s="3"/>
      <c r="T109" s="3"/>
      <c r="U109" s="3"/>
      <c r="V109" s="3"/>
      <c r="W109" s="38">
        <v>63.716666666666654</v>
      </c>
      <c r="X109" s="2">
        <v>107</v>
      </c>
    </row>
    <row r="110" spans="1:24">
      <c r="A110" s="10" t="s">
        <v>407</v>
      </c>
      <c r="B110" s="5" t="s">
        <v>228</v>
      </c>
      <c r="C110" s="4" t="s">
        <v>97</v>
      </c>
      <c r="D110" s="6" t="s">
        <v>277</v>
      </c>
      <c r="E110" s="4" t="s">
        <v>283</v>
      </c>
      <c r="F110" s="4" t="s">
        <v>74</v>
      </c>
      <c r="G110" s="41" t="e">
        <f>表格1[[#This Row],[加權後總分]]-表格1[[#This Row],[獎懲分數]]</f>
        <v>#DIV/0!</v>
      </c>
      <c r="H11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0" s="39" t="e">
        <f t="shared" si="33"/>
        <v>#DIV/0!</v>
      </c>
      <c r="J110" s="36" t="e">
        <f t="shared" si="48"/>
        <v>#DIV/0!</v>
      </c>
      <c r="K110" s="8" t="e">
        <f t="shared" si="49"/>
        <v>#DIV/0!</v>
      </c>
      <c r="L110" s="8" t="e">
        <f t="shared" si="34"/>
        <v>#DIV/0!</v>
      </c>
      <c r="M110" s="8" t="e">
        <f>表格1_3[[#This Row],[部內平均]]</f>
        <v>#DIV/0!</v>
      </c>
      <c r="N110" s="8"/>
      <c r="O110" s="8" t="e">
        <f>表格1_3[[#This Row],[複評平均]]</f>
        <v>#DIV/0!</v>
      </c>
      <c r="P110" s="3"/>
      <c r="Q110" s="3"/>
      <c r="R110" s="3"/>
      <c r="S110" s="3"/>
      <c r="T110" s="3"/>
      <c r="U110" s="3"/>
      <c r="V110" s="3"/>
      <c r="W110" s="38">
        <v>63.677777777777777</v>
      </c>
      <c r="X110" s="2">
        <v>108</v>
      </c>
    </row>
    <row r="111" spans="1:24">
      <c r="A111" s="10" t="s">
        <v>407</v>
      </c>
      <c r="B111" s="5" t="s">
        <v>229</v>
      </c>
      <c r="C111" s="4" t="s">
        <v>98</v>
      </c>
      <c r="D111" s="6" t="s">
        <v>277</v>
      </c>
      <c r="E111" s="4" t="s">
        <v>283</v>
      </c>
      <c r="F111" s="4" t="s">
        <v>74</v>
      </c>
      <c r="G111" s="41" t="e">
        <f>表格1[[#This Row],[加權後總分]]-表格1[[#This Row],[獎懲分數]]</f>
        <v>#DIV/0!</v>
      </c>
      <c r="H11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1" s="39" t="e">
        <f t="shared" si="33"/>
        <v>#DIV/0!</v>
      </c>
      <c r="J111" s="36" t="e">
        <f t="shared" si="48"/>
        <v>#DIV/0!</v>
      </c>
      <c r="K111" s="8" t="e">
        <f t="shared" si="49"/>
        <v>#DIV/0!</v>
      </c>
      <c r="L111" s="8" t="e">
        <f t="shared" si="34"/>
        <v>#DIV/0!</v>
      </c>
      <c r="M111" s="8" t="e">
        <f>表格1_3[[#This Row],[部內平均]]</f>
        <v>#DIV/0!</v>
      </c>
      <c r="N111" s="8"/>
      <c r="O111" s="8" t="e">
        <f>表格1_3[[#This Row],[複評平均]]</f>
        <v>#DIV/0!</v>
      </c>
      <c r="P111" s="3"/>
      <c r="Q111" s="3"/>
      <c r="R111" s="3"/>
      <c r="S111" s="3"/>
      <c r="T111" s="3"/>
      <c r="U111" s="3"/>
      <c r="V111" s="3"/>
      <c r="W111" s="38">
        <v>63.599999999999994</v>
      </c>
      <c r="X111" s="2">
        <v>109</v>
      </c>
    </row>
    <row r="112" spans="1:24">
      <c r="A112" s="10" t="s">
        <v>407</v>
      </c>
      <c r="B112" s="5" t="s">
        <v>235</v>
      </c>
      <c r="C112" s="4" t="s">
        <v>104</v>
      </c>
      <c r="D112" s="6" t="s">
        <v>277</v>
      </c>
      <c r="E112" s="4" t="s">
        <v>283</v>
      </c>
      <c r="F112" s="4" t="s">
        <v>74</v>
      </c>
      <c r="G112" s="41" t="e">
        <f>表格1[[#This Row],[加權後總分]]-表格1[[#This Row],[獎懲分數]]</f>
        <v>#DIV/0!</v>
      </c>
      <c r="H11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2" s="39" t="e">
        <f t="shared" si="33"/>
        <v>#DIV/0!</v>
      </c>
      <c r="J112" s="36" t="e">
        <f t="shared" si="48"/>
        <v>#DIV/0!</v>
      </c>
      <c r="K112" s="8" t="e">
        <f t="shared" si="49"/>
        <v>#DIV/0!</v>
      </c>
      <c r="L112" s="8" t="e">
        <f t="shared" si="34"/>
        <v>#DIV/0!</v>
      </c>
      <c r="M112" s="8" t="e">
        <f>表格1_3[[#This Row],[部內平均]]</f>
        <v>#DIV/0!</v>
      </c>
      <c r="N112" s="8"/>
      <c r="O112" s="8" t="e">
        <f>表格1_3[[#This Row],[複評平均]]</f>
        <v>#DIV/0!</v>
      </c>
      <c r="P112" s="3"/>
      <c r="Q112" s="3"/>
      <c r="R112" s="3"/>
      <c r="S112" s="3"/>
      <c r="T112" s="3"/>
      <c r="U112" s="3"/>
      <c r="V112" s="3"/>
      <c r="W112" s="38">
        <v>63.4</v>
      </c>
      <c r="X112" s="2">
        <v>110</v>
      </c>
    </row>
    <row r="113" spans="1:24">
      <c r="A113" s="10" t="s">
        <v>407</v>
      </c>
      <c r="B113" s="5" t="s">
        <v>240</v>
      </c>
      <c r="C113" s="4" t="s">
        <v>109</v>
      </c>
      <c r="D113" s="6" t="s">
        <v>277</v>
      </c>
      <c r="E113" s="4" t="s">
        <v>283</v>
      </c>
      <c r="F113" s="4" t="s">
        <v>74</v>
      </c>
      <c r="G113" s="41" t="e">
        <f>表格1[[#This Row],[加權後總分]]-表格1[[#This Row],[獎懲分數]]</f>
        <v>#DIV/0!</v>
      </c>
      <c r="H11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3" s="39" t="e">
        <f t="shared" si="33"/>
        <v>#DIV/0!</v>
      </c>
      <c r="J113" s="36" t="e">
        <f t="shared" si="48"/>
        <v>#DIV/0!</v>
      </c>
      <c r="K113" s="8" t="e">
        <f t="shared" si="49"/>
        <v>#DIV/0!</v>
      </c>
      <c r="L113" s="8" t="e">
        <f t="shared" si="34"/>
        <v>#DIV/0!</v>
      </c>
      <c r="M113" s="8" t="e">
        <f>表格1_3[[#This Row],[部內平均]]</f>
        <v>#DIV/0!</v>
      </c>
      <c r="N113" s="8"/>
      <c r="O113" s="8" t="e">
        <f>表格1_3[[#This Row],[複評平均]]</f>
        <v>#DIV/0!</v>
      </c>
      <c r="P113" s="3"/>
      <c r="Q113" s="3"/>
      <c r="R113" s="3"/>
      <c r="S113" s="3"/>
      <c r="T113" s="3"/>
      <c r="U113" s="3"/>
      <c r="V113" s="3"/>
      <c r="W113" s="38">
        <v>63.2</v>
      </c>
      <c r="X113" s="2">
        <v>111</v>
      </c>
    </row>
    <row r="114" spans="1:24">
      <c r="A114" s="10" t="s">
        <v>407</v>
      </c>
      <c r="B114" s="5" t="s">
        <v>238</v>
      </c>
      <c r="C114" s="4" t="s">
        <v>107</v>
      </c>
      <c r="D114" s="6" t="s">
        <v>277</v>
      </c>
      <c r="E114" s="4" t="s">
        <v>283</v>
      </c>
      <c r="F114" s="4" t="s">
        <v>74</v>
      </c>
      <c r="G114" s="41" t="e">
        <f>表格1[[#This Row],[加權後總分]]-表格1[[#This Row],[獎懲分數]]</f>
        <v>#DIV/0!</v>
      </c>
      <c r="H11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4" s="39" t="e">
        <f t="shared" si="33"/>
        <v>#DIV/0!</v>
      </c>
      <c r="J114" s="36" t="e">
        <f t="shared" si="48"/>
        <v>#DIV/0!</v>
      </c>
      <c r="K114" s="8" t="e">
        <f t="shared" si="49"/>
        <v>#DIV/0!</v>
      </c>
      <c r="L114" s="8" t="e">
        <f t="shared" si="34"/>
        <v>#DIV/0!</v>
      </c>
      <c r="M114" s="8" t="e">
        <f>表格1_3[[#This Row],[部內平均]]</f>
        <v>#DIV/0!</v>
      </c>
      <c r="N114" s="8"/>
      <c r="O114" s="8" t="e">
        <f>表格1_3[[#This Row],[複評平均]]</f>
        <v>#DIV/0!</v>
      </c>
      <c r="P114" s="3"/>
      <c r="Q114" s="3"/>
      <c r="R114" s="3"/>
      <c r="S114" s="3"/>
      <c r="T114" s="3"/>
      <c r="U114" s="3"/>
      <c r="V114" s="3"/>
      <c r="W114" s="38">
        <v>62.8</v>
      </c>
      <c r="X114" s="2">
        <v>112</v>
      </c>
    </row>
    <row r="115" spans="1:24">
      <c r="A115" s="10" t="s">
        <v>407</v>
      </c>
      <c r="B115" s="5" t="s">
        <v>239</v>
      </c>
      <c r="C115" s="4" t="s">
        <v>108</v>
      </c>
      <c r="D115" s="6" t="s">
        <v>277</v>
      </c>
      <c r="E115" s="4" t="s">
        <v>283</v>
      </c>
      <c r="F115" s="4" t="s">
        <v>74</v>
      </c>
      <c r="G115" s="41" t="e">
        <f>表格1[[#This Row],[加權後總分]]-表格1[[#This Row],[獎懲分數]]</f>
        <v>#DIV/0!</v>
      </c>
      <c r="H11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5" s="39" t="e">
        <f t="shared" si="33"/>
        <v>#DIV/0!</v>
      </c>
      <c r="J115" s="36" t="e">
        <f t="shared" si="48"/>
        <v>#DIV/0!</v>
      </c>
      <c r="K115" s="8" t="e">
        <f t="shared" si="49"/>
        <v>#DIV/0!</v>
      </c>
      <c r="L115" s="8" t="e">
        <f t="shared" si="34"/>
        <v>#DIV/0!</v>
      </c>
      <c r="M115" s="8" t="e">
        <f>表格1_3[[#This Row],[部內平均]]</f>
        <v>#DIV/0!</v>
      </c>
      <c r="N115" s="8"/>
      <c r="O115" s="8" t="e">
        <f>表格1_3[[#This Row],[複評平均]]</f>
        <v>#DIV/0!</v>
      </c>
      <c r="P115" s="3"/>
      <c r="Q115" s="3"/>
      <c r="R115" s="3"/>
      <c r="S115" s="3"/>
      <c r="T115" s="3"/>
      <c r="U115" s="3"/>
      <c r="V115" s="3"/>
      <c r="W115" s="38">
        <v>62.400000000000006</v>
      </c>
      <c r="X115" s="2">
        <v>113</v>
      </c>
    </row>
    <row r="116" spans="1:24" ht="26">
      <c r="A116" s="10" t="s">
        <v>407</v>
      </c>
      <c r="B116" s="5" t="s">
        <v>201</v>
      </c>
      <c r="C116" s="4" t="s">
        <v>420</v>
      </c>
      <c r="D116" s="6" t="s">
        <v>277</v>
      </c>
      <c r="E116" s="4" t="s">
        <v>283</v>
      </c>
      <c r="F116" s="4" t="s">
        <v>63</v>
      </c>
      <c r="G116" s="41" t="e">
        <f>表格1[[#This Row],[加權後總分]]-表格1[[#This Row],[獎懲分數]]</f>
        <v>#DIV/0!</v>
      </c>
      <c r="H11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6" s="39" t="e">
        <f t="shared" si="33"/>
        <v>#DIV/0!</v>
      </c>
      <c r="J116" s="36" t="e">
        <f t="shared" si="48"/>
        <v>#DIV/0!</v>
      </c>
      <c r="K116" s="8" t="e">
        <f t="shared" si="49"/>
        <v>#DIV/0!</v>
      </c>
      <c r="L116" s="8" t="e">
        <f t="shared" si="34"/>
        <v>#DIV/0!</v>
      </c>
      <c r="M116" s="8" t="e">
        <f>表格1_3[[#This Row],[部內平均]]</f>
        <v>#DIV/0!</v>
      </c>
      <c r="N116" s="8"/>
      <c r="O116" s="8" t="e">
        <f>表格1_3[[#This Row],[複評平均]]</f>
        <v>#DIV/0!</v>
      </c>
      <c r="P116" s="3"/>
      <c r="Q116" s="3"/>
      <c r="R116" s="3"/>
      <c r="S116" s="3"/>
      <c r="T116" s="3"/>
      <c r="U116" s="3"/>
      <c r="V116" s="3"/>
      <c r="W116" s="38">
        <v>61.8</v>
      </c>
      <c r="X116" s="2">
        <v>114</v>
      </c>
    </row>
    <row r="117" spans="1:24">
      <c r="A117" s="10" t="s">
        <v>407</v>
      </c>
      <c r="B117" s="5" t="s">
        <v>232</v>
      </c>
      <c r="C117" s="4" t="s">
        <v>101</v>
      </c>
      <c r="D117" s="6" t="s">
        <v>277</v>
      </c>
      <c r="E117" s="4" t="s">
        <v>283</v>
      </c>
      <c r="F117" s="4" t="s">
        <v>74</v>
      </c>
      <c r="G117" s="41" t="e">
        <f>表格1[[#This Row],[加權後總分]]-表格1[[#This Row],[獎懲分數]]</f>
        <v>#DIV/0!</v>
      </c>
      <c r="H11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7" s="39" t="e">
        <f t="shared" si="33"/>
        <v>#DIV/0!</v>
      </c>
      <c r="J117" s="36" t="e">
        <f t="shared" si="48"/>
        <v>#DIV/0!</v>
      </c>
      <c r="K117" s="8" t="e">
        <f t="shared" si="49"/>
        <v>#DIV/0!</v>
      </c>
      <c r="L117" s="8" t="e">
        <f t="shared" si="34"/>
        <v>#DIV/0!</v>
      </c>
      <c r="M117" s="8" t="e">
        <f>表格1_3[[#This Row],[部內平均]]</f>
        <v>#DIV/0!</v>
      </c>
      <c r="N117" s="8"/>
      <c r="O117" s="8" t="e">
        <f>表格1_3[[#This Row],[複評平均]]</f>
        <v>#DIV/0!</v>
      </c>
      <c r="P117" s="3"/>
      <c r="Q117" s="3"/>
      <c r="R117" s="3"/>
      <c r="S117" s="3"/>
      <c r="T117" s="3"/>
      <c r="U117" s="3"/>
      <c r="V117" s="3"/>
      <c r="W117" s="38">
        <v>61.2</v>
      </c>
      <c r="X117" s="2">
        <v>115</v>
      </c>
    </row>
    <row r="118" spans="1:24">
      <c r="A118" s="10" t="s">
        <v>407</v>
      </c>
      <c r="B118" s="5" t="s">
        <v>234</v>
      </c>
      <c r="C118" s="4" t="s">
        <v>103</v>
      </c>
      <c r="D118" s="6" t="s">
        <v>277</v>
      </c>
      <c r="E118" s="4" t="s">
        <v>283</v>
      </c>
      <c r="F118" s="4" t="s">
        <v>74</v>
      </c>
      <c r="G118" s="41" t="e">
        <f>表格1[[#This Row],[加權後總分]]-表格1[[#This Row],[獎懲分數]]</f>
        <v>#DIV/0!</v>
      </c>
      <c r="H118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8" s="39" t="e">
        <f t="shared" si="33"/>
        <v>#DIV/0!</v>
      </c>
      <c r="J118" s="36" t="e">
        <f t="shared" si="48"/>
        <v>#DIV/0!</v>
      </c>
      <c r="K118" s="8" t="e">
        <f t="shared" si="49"/>
        <v>#DIV/0!</v>
      </c>
      <c r="L118" s="8" t="e">
        <f t="shared" si="34"/>
        <v>#DIV/0!</v>
      </c>
      <c r="M118" s="8" t="e">
        <f>表格1_3[[#This Row],[部內平均]]</f>
        <v>#DIV/0!</v>
      </c>
      <c r="N118" s="8"/>
      <c r="O118" s="8" t="e">
        <f>表格1_3[[#This Row],[複評平均]]</f>
        <v>#DIV/0!</v>
      </c>
      <c r="P118" s="3"/>
      <c r="Q118" s="3"/>
      <c r="R118" s="3"/>
      <c r="S118" s="3"/>
      <c r="T118" s="3"/>
      <c r="U118" s="3"/>
      <c r="V118" s="3"/>
      <c r="W118" s="38">
        <v>60.833333333333329</v>
      </c>
      <c r="X118" s="2">
        <v>116</v>
      </c>
    </row>
    <row r="119" spans="1:24">
      <c r="A119" s="10" t="s">
        <v>407</v>
      </c>
      <c r="B119" s="5" t="s">
        <v>233</v>
      </c>
      <c r="C119" s="4" t="s">
        <v>102</v>
      </c>
      <c r="D119" s="6" t="s">
        <v>277</v>
      </c>
      <c r="E119" s="4" t="s">
        <v>297</v>
      </c>
      <c r="F119" s="4" t="s">
        <v>74</v>
      </c>
      <c r="G119" s="41" t="e">
        <f>表格1[[#This Row],[加權後總分]]-表格1[[#This Row],[獎懲分數]]</f>
        <v>#DIV/0!</v>
      </c>
      <c r="H119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19" s="39" t="e">
        <f t="shared" si="33"/>
        <v>#DIV/0!</v>
      </c>
      <c r="J119" s="36" t="e">
        <f t="shared" si="48"/>
        <v>#DIV/0!</v>
      </c>
      <c r="K119" s="8" t="e">
        <f t="shared" si="49"/>
        <v>#DIV/0!</v>
      </c>
      <c r="L119" s="8" t="e">
        <f t="shared" si="34"/>
        <v>#DIV/0!</v>
      </c>
      <c r="M119" s="8" t="e">
        <f>表格1_3[[#This Row],[部內平均]]</f>
        <v>#DIV/0!</v>
      </c>
      <c r="N119" s="8"/>
      <c r="O119" s="8" t="e">
        <f>表格1_3[[#This Row],[複評平均]]</f>
        <v>#DIV/0!</v>
      </c>
      <c r="P119" s="3"/>
      <c r="Q119" s="3"/>
      <c r="R119" s="3"/>
      <c r="S119" s="3"/>
      <c r="T119" s="3"/>
      <c r="U119" s="3"/>
      <c r="V119" s="3"/>
      <c r="W119" s="38">
        <v>60.6</v>
      </c>
      <c r="X119" s="2">
        <v>117</v>
      </c>
    </row>
    <row r="120" spans="1:24">
      <c r="B120" s="5"/>
      <c r="C120" s="4"/>
      <c r="D120" s="6"/>
      <c r="E120" s="4"/>
      <c r="F120" s="4"/>
      <c r="G120" s="41"/>
      <c r="H120" s="39"/>
      <c r="I120" s="39"/>
      <c r="J120" s="36"/>
      <c r="K120" s="8"/>
      <c r="L120" s="8"/>
      <c r="M120" s="8"/>
      <c r="N120" s="8"/>
      <c r="O120" s="8"/>
      <c r="P120" s="3"/>
      <c r="Q120" s="3"/>
      <c r="R120" s="3"/>
      <c r="S120" s="3"/>
      <c r="T120" s="3"/>
      <c r="U120" s="3"/>
      <c r="V120" s="3"/>
    </row>
    <row r="121" spans="1:24">
      <c r="A121" s="10" t="s">
        <v>407</v>
      </c>
      <c r="B121" s="5" t="s">
        <v>231</v>
      </c>
      <c r="C121" s="4" t="s">
        <v>100</v>
      </c>
      <c r="D121" s="6" t="s">
        <v>277</v>
      </c>
      <c r="E121" s="4" t="s">
        <v>283</v>
      </c>
      <c r="F121" s="4" t="s">
        <v>74</v>
      </c>
      <c r="G121" s="41" t="e">
        <f>表格1[[#This Row],[加權後總分]]-表格1[[#This Row],[獎懲分數]]</f>
        <v>#DIV/0!</v>
      </c>
      <c r="H12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21" s="39" t="e">
        <f t="shared" si="33"/>
        <v>#DIV/0!</v>
      </c>
      <c r="J121" s="36" t="e">
        <f t="shared" si="48"/>
        <v>#DIV/0!</v>
      </c>
      <c r="K121" s="8" t="e">
        <f t="shared" si="49"/>
        <v>#DIV/0!</v>
      </c>
      <c r="L121" s="8" t="e">
        <f t="shared" si="34"/>
        <v>#DIV/0!</v>
      </c>
      <c r="M121" s="8" t="e">
        <f>表格1_3[[#This Row],[部內平均]]</f>
        <v>#DIV/0!</v>
      </c>
      <c r="N121" s="8"/>
      <c r="O121" s="8" t="e">
        <f>表格1_3[[#This Row],[複評平均]]</f>
        <v>#DIV/0!</v>
      </c>
      <c r="P121" s="3"/>
      <c r="Q121" s="3"/>
      <c r="R121" s="3"/>
      <c r="S121" s="3"/>
      <c r="T121" s="3"/>
      <c r="U121" s="3"/>
      <c r="V121" s="3"/>
      <c r="W121" s="38">
        <v>56.6</v>
      </c>
      <c r="X121" s="2">
        <v>119</v>
      </c>
    </row>
    <row r="122" spans="1:24">
      <c r="A122" s="10" t="s">
        <v>407</v>
      </c>
      <c r="B122" s="5" t="s">
        <v>244</v>
      </c>
      <c r="C122" s="4" t="s">
        <v>113</v>
      </c>
      <c r="D122" s="6" t="s">
        <v>277</v>
      </c>
      <c r="E122" s="4" t="s">
        <v>283</v>
      </c>
      <c r="F122" s="4" t="s">
        <v>63</v>
      </c>
      <c r="G122" s="41" t="e">
        <f>表格1[[#This Row],[加權後總分]]-表格1[[#This Row],[獎懲分數]]</f>
        <v>#DIV/0!</v>
      </c>
      <c r="H122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22" s="39" t="e">
        <f t="shared" si="33"/>
        <v>#DIV/0!</v>
      </c>
      <c r="J122" s="36" t="e">
        <f t="shared" si="48"/>
        <v>#DIV/0!</v>
      </c>
      <c r="K122" s="8" t="e">
        <f t="shared" si="49"/>
        <v>#DIV/0!</v>
      </c>
      <c r="L122" s="8" t="e">
        <f t="shared" si="34"/>
        <v>#DIV/0!</v>
      </c>
      <c r="M122" s="8" t="e">
        <f>表格1_3[[#This Row],[部內平均]]</f>
        <v>#DIV/0!</v>
      </c>
      <c r="N122" s="8"/>
      <c r="O122" s="8" t="e">
        <f>表格1_3[[#This Row],[複評平均]]</f>
        <v>#DIV/0!</v>
      </c>
      <c r="P122" s="3"/>
      <c r="Q122" s="3"/>
      <c r="R122" s="3"/>
      <c r="S122" s="3"/>
      <c r="T122" s="3"/>
      <c r="U122" s="3"/>
      <c r="V122" s="3"/>
      <c r="W122" s="38">
        <v>55.8</v>
      </c>
      <c r="X122" s="2">
        <v>120</v>
      </c>
    </row>
    <row r="123" spans="1:24">
      <c r="A123" s="10" t="s">
        <v>407</v>
      </c>
      <c r="B123" s="5" t="s">
        <v>242</v>
      </c>
      <c r="C123" s="4" t="s">
        <v>111</v>
      </c>
      <c r="D123" s="6" t="s">
        <v>277</v>
      </c>
      <c r="E123" s="4" t="s">
        <v>283</v>
      </c>
      <c r="F123" s="4" t="s">
        <v>76</v>
      </c>
      <c r="G123" s="41" t="e">
        <f>表格1[[#This Row],[加權後總分]]-表格1[[#This Row],[獎懲分數]]</f>
        <v>#DIV/0!</v>
      </c>
      <c r="H12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23" s="39" t="e">
        <f t="shared" si="33"/>
        <v>#DIV/0!</v>
      </c>
      <c r="J123" s="36" t="e">
        <f t="shared" si="48"/>
        <v>#DIV/0!</v>
      </c>
      <c r="K123" s="8" t="e">
        <f t="shared" si="49"/>
        <v>#DIV/0!</v>
      </c>
      <c r="L123" s="8" t="e">
        <f t="shared" si="34"/>
        <v>#DIV/0!</v>
      </c>
      <c r="M123" s="8" t="e">
        <f>表格1_3[[#This Row],[部內平均]]</f>
        <v>#DIV/0!</v>
      </c>
      <c r="N123" s="8"/>
      <c r="O123" s="8" t="e">
        <f>表格1_3[[#This Row],[複評平均]]</f>
        <v>#DIV/0!</v>
      </c>
      <c r="P123" s="3"/>
      <c r="Q123" s="3"/>
      <c r="R123" s="3"/>
      <c r="S123" s="3"/>
      <c r="T123" s="3"/>
      <c r="U123" s="3"/>
      <c r="V123" s="3"/>
      <c r="W123" s="38">
        <v>55</v>
      </c>
      <c r="X123" s="2">
        <v>121</v>
      </c>
    </row>
    <row r="124" spans="1:24">
      <c r="A124" s="10" t="s">
        <v>407</v>
      </c>
      <c r="B124" s="5" t="s">
        <v>243</v>
      </c>
      <c r="C124" s="4" t="s">
        <v>112</v>
      </c>
      <c r="D124" s="6" t="s">
        <v>277</v>
      </c>
      <c r="E124" s="4" t="s">
        <v>283</v>
      </c>
      <c r="F124" s="4" t="s">
        <v>76</v>
      </c>
      <c r="G124" s="41" t="e">
        <f>表格1[[#This Row],[加權後總分]]-表格1[[#This Row],[獎懲分數]]</f>
        <v>#DIV/0!</v>
      </c>
      <c r="H12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24" s="39" t="e">
        <f t="shared" si="33"/>
        <v>#DIV/0!</v>
      </c>
      <c r="J124" s="36" t="e">
        <f t="shared" si="48"/>
        <v>#DIV/0!</v>
      </c>
      <c r="K124" s="8" t="e">
        <f t="shared" si="49"/>
        <v>#DIV/0!</v>
      </c>
      <c r="L124" s="8" t="e">
        <f t="shared" si="34"/>
        <v>#DIV/0!</v>
      </c>
      <c r="M124" s="8" t="e">
        <f>表格1_3[[#This Row],[部內平均]]</f>
        <v>#DIV/0!</v>
      </c>
      <c r="N124" s="8"/>
      <c r="O124" s="8" t="e">
        <f>表格1_3[[#This Row],[複評平均]]</f>
        <v>#DIV/0!</v>
      </c>
      <c r="P124" s="3"/>
      <c r="Q124" s="3"/>
      <c r="R124" s="3"/>
      <c r="S124" s="3"/>
      <c r="T124" s="3"/>
      <c r="U124" s="3"/>
      <c r="V124" s="3"/>
      <c r="W124" s="38">
        <v>54.8</v>
      </c>
      <c r="X124" s="2">
        <v>122</v>
      </c>
    </row>
    <row r="125" spans="1:24">
      <c r="A125" s="10" t="s">
        <v>407</v>
      </c>
      <c r="B125" s="5" t="s">
        <v>241</v>
      </c>
      <c r="C125" s="4" t="s">
        <v>110</v>
      </c>
      <c r="D125" s="6" t="s">
        <v>277</v>
      </c>
      <c r="E125" s="4" t="s">
        <v>283</v>
      </c>
      <c r="F125" s="4" t="s">
        <v>93</v>
      </c>
      <c r="G125" s="41" t="e">
        <f>表格1[[#This Row],[加權後總分]]-表格1[[#This Row],[獎懲分數]]</f>
        <v>#DIV/0!</v>
      </c>
      <c r="H12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25" s="39" t="e">
        <f t="shared" si="33"/>
        <v>#DIV/0!</v>
      </c>
      <c r="J125" s="36" t="e">
        <f t="shared" si="48"/>
        <v>#DIV/0!</v>
      </c>
      <c r="K125" s="8" t="e">
        <f t="shared" si="49"/>
        <v>#DIV/0!</v>
      </c>
      <c r="L125" s="8" t="e">
        <f t="shared" si="34"/>
        <v>#DIV/0!</v>
      </c>
      <c r="M125" s="8" t="e">
        <f>表格1_3[[#This Row],[部內平均]]</f>
        <v>#DIV/0!</v>
      </c>
      <c r="N125" s="8"/>
      <c r="O125" s="8" t="e">
        <f>表格1_3[[#This Row],[複評平均]]</f>
        <v>#DIV/0!</v>
      </c>
      <c r="P125" s="3"/>
      <c r="Q125" s="3"/>
      <c r="R125" s="3"/>
      <c r="S125" s="3"/>
      <c r="T125" s="3"/>
      <c r="U125" s="3"/>
      <c r="V125" s="3"/>
      <c r="W125" s="38">
        <v>52.2</v>
      </c>
      <c r="X125" s="2">
        <v>123</v>
      </c>
    </row>
    <row r="126" spans="1:24">
      <c r="A126" s="10" t="s">
        <v>407</v>
      </c>
      <c r="B126" s="5" t="s">
        <v>245</v>
      </c>
      <c r="C126" s="4" t="s">
        <v>415</v>
      </c>
      <c r="D126" s="6" t="s">
        <v>277</v>
      </c>
      <c r="E126" s="4" t="s">
        <v>283</v>
      </c>
      <c r="F126" s="4" t="s">
        <v>332</v>
      </c>
      <c r="G126" s="41">
        <f>表格1[[#This Row],[加權後總分]]-表格1[[#This Row],[獎懲分數]]</f>
        <v>0</v>
      </c>
      <c r="H126" s="39" t="str">
        <f>IF(表格1[[#This Row],[不包含獎懲總分]]&gt;=90,"A",
 IF(表格1[[#This Row],[不包含獎懲總分]]&gt;=80,"B",
 IF(表格1[[#This Row],[不包含獎懲總分]]&gt;=70,"C",
 IF(表格1[[#This Row],[不包含獎懲總分]]&gt;=60,"D","E"))))</f>
        <v>E</v>
      </c>
      <c r="I126" s="39" t="e">
        <f t="shared" si="33"/>
        <v>#DIV/0!</v>
      </c>
      <c r="J126" s="36"/>
      <c r="K126" s="8"/>
      <c r="L126" s="8" t="e">
        <f t="shared" si="34"/>
        <v>#DIV/0!</v>
      </c>
      <c r="M126" s="8" t="e">
        <f>表格1_3[[#This Row],[部內平均]]</f>
        <v>#DIV/0!</v>
      </c>
      <c r="N126" s="8"/>
      <c r="O126" s="8" t="e">
        <f>表格1_3[[#This Row],[複評平均]]</f>
        <v>#DIV/0!</v>
      </c>
      <c r="P126" s="3"/>
      <c r="Q126" s="3"/>
      <c r="R126" s="3"/>
      <c r="S126" s="3"/>
      <c r="T126" s="3"/>
      <c r="U126" s="3"/>
      <c r="V126" s="3"/>
      <c r="W126" s="38">
        <v>51.2</v>
      </c>
      <c r="X126" s="2">
        <v>124</v>
      </c>
    </row>
    <row r="127" spans="1:24">
      <c r="A127" s="10" t="s">
        <v>407</v>
      </c>
      <c r="B127" s="5" t="s">
        <v>246</v>
      </c>
      <c r="C127" s="4" t="s">
        <v>114</v>
      </c>
      <c r="D127" s="6" t="s">
        <v>277</v>
      </c>
      <c r="E127" s="4" t="s">
        <v>283</v>
      </c>
      <c r="F127" s="4" t="s">
        <v>93</v>
      </c>
      <c r="G127" s="41" t="e">
        <f>表格1[[#This Row],[加權後總分]]-表格1[[#This Row],[獎懲分數]]</f>
        <v>#DIV/0!</v>
      </c>
      <c r="H127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27" s="39" t="e">
        <f t="shared" si="33"/>
        <v>#DIV/0!</v>
      </c>
      <c r="J127" s="36" t="e">
        <f t="shared" si="48"/>
        <v>#DIV/0!</v>
      </c>
      <c r="K127" s="8" t="e">
        <f t="shared" ref="K127:K135" si="50">IF(J127&gt;=90,"A",
 IF(J127&gt;=80,"B",
 IF(J127&gt;=70,"C",
 IF(J127&gt;=60,"D","E"))))</f>
        <v>#DIV/0!</v>
      </c>
      <c r="L127" s="8" t="e">
        <f t="shared" si="34"/>
        <v>#DIV/0!</v>
      </c>
      <c r="M127" s="8" t="e">
        <f>表格1_3[[#This Row],[部內平均]]</f>
        <v>#DIV/0!</v>
      </c>
      <c r="N127" s="8"/>
      <c r="O127" s="8" t="e">
        <f>表格1_3[[#This Row],[複評平均]]</f>
        <v>#DIV/0!</v>
      </c>
      <c r="P127" s="3"/>
      <c r="Q127" s="3"/>
      <c r="R127" s="3"/>
      <c r="S127" s="3"/>
      <c r="T127" s="3"/>
      <c r="U127" s="3"/>
      <c r="V127" s="3"/>
      <c r="W127" s="38">
        <v>51</v>
      </c>
      <c r="X127" s="2">
        <v>125</v>
      </c>
    </row>
    <row r="128" spans="1:24" ht="26">
      <c r="A128" s="10" t="s">
        <v>407</v>
      </c>
      <c r="B128" s="5" t="s">
        <v>250</v>
      </c>
      <c r="C128" s="4" t="s">
        <v>416</v>
      </c>
      <c r="D128" s="6" t="s">
        <v>277</v>
      </c>
      <c r="E128" s="4" t="s">
        <v>283</v>
      </c>
      <c r="F128" s="4" t="s">
        <v>93</v>
      </c>
      <c r="G128" s="41">
        <f>表格1[[#This Row],[加權後總分]]-表格1[[#This Row],[獎懲分數]]</f>
        <v>0</v>
      </c>
      <c r="H128" s="39" t="str">
        <f>IF(表格1[[#This Row],[不包含獎懲總分]]&gt;=90,"A",
 IF(表格1[[#This Row],[不包含獎懲總分]]&gt;=80,"B",
 IF(表格1[[#This Row],[不包含獎懲總分]]&gt;=70,"C",
 IF(表格1[[#This Row],[不包含獎懲總分]]&gt;=60,"D","E"))))</f>
        <v>E</v>
      </c>
      <c r="I128" s="39" t="e">
        <f t="shared" si="33"/>
        <v>#DIV/0!</v>
      </c>
      <c r="J128" s="36"/>
      <c r="K128" s="8"/>
      <c r="L128" s="8" t="e">
        <f t="shared" si="34"/>
        <v>#DIV/0!</v>
      </c>
      <c r="M128" s="8" t="e">
        <f>表格1_3[[#This Row],[部內平均]]</f>
        <v>#DIV/0!</v>
      </c>
      <c r="N128" s="8"/>
      <c r="O128" s="8" t="e">
        <f>表格1_3[[#This Row],[複評平均]]</f>
        <v>#DIV/0!</v>
      </c>
      <c r="P128" s="3"/>
      <c r="Q128" s="3"/>
      <c r="R128" s="3"/>
      <c r="S128" s="3"/>
      <c r="T128" s="3"/>
      <c r="U128" s="3"/>
      <c r="V128" s="3"/>
      <c r="W128" s="38">
        <v>50</v>
      </c>
      <c r="X128" s="2">
        <v>126</v>
      </c>
    </row>
    <row r="129" spans="1:24">
      <c r="A129" s="10" t="s">
        <v>407</v>
      </c>
      <c r="B129" s="5" t="s">
        <v>251</v>
      </c>
      <c r="C129" s="4" t="s">
        <v>433</v>
      </c>
      <c r="D129" s="6" t="s">
        <v>277</v>
      </c>
      <c r="E129" s="4" t="s">
        <v>283</v>
      </c>
      <c r="F129" s="4" t="s">
        <v>93</v>
      </c>
      <c r="G129" s="41">
        <f>表格1[[#This Row],[加權後總分]]-表格1[[#This Row],[獎懲分數]]</f>
        <v>0</v>
      </c>
      <c r="H129" s="39" t="str">
        <f>IF(表格1[[#This Row],[不包含獎懲總分]]&gt;=90,"A",
 IF(表格1[[#This Row],[不包含獎懲總分]]&gt;=80,"B",
 IF(表格1[[#This Row],[不包含獎懲總分]]&gt;=70,"C",
 IF(表格1[[#This Row],[不包含獎懲總分]]&gt;=60,"D","E"))))</f>
        <v>E</v>
      </c>
      <c r="I129" s="39" t="e">
        <f t="shared" si="33"/>
        <v>#DIV/0!</v>
      </c>
      <c r="J129" s="36"/>
      <c r="K129" s="8"/>
      <c r="L129" s="8" t="e">
        <f t="shared" si="34"/>
        <v>#DIV/0!</v>
      </c>
      <c r="M129" s="8" t="e">
        <f>表格1_3[[#This Row],[部內平均]]</f>
        <v>#DIV/0!</v>
      </c>
      <c r="N129" s="8"/>
      <c r="O129" s="8" t="e">
        <f>表格1_3[[#This Row],[複評平均]]</f>
        <v>#DIV/0!</v>
      </c>
      <c r="P129" s="3"/>
      <c r="Q129" s="3"/>
      <c r="R129" s="3"/>
      <c r="S129" s="3"/>
      <c r="T129" s="3"/>
      <c r="U129" s="3"/>
      <c r="V129" s="3"/>
      <c r="W129" s="38">
        <v>50</v>
      </c>
      <c r="X129" s="2">
        <v>127</v>
      </c>
    </row>
    <row r="130" spans="1:24">
      <c r="A130" s="10" t="s">
        <v>407</v>
      </c>
      <c r="B130" s="5" t="s">
        <v>249</v>
      </c>
      <c r="C130" s="4" t="s">
        <v>116</v>
      </c>
      <c r="D130" s="6" t="s">
        <v>277</v>
      </c>
      <c r="E130" s="4" t="s">
        <v>283</v>
      </c>
      <c r="F130" s="4" t="s">
        <v>74</v>
      </c>
      <c r="G130" s="41" t="e">
        <f>表格1[[#This Row],[加權後總分]]-表格1[[#This Row],[獎懲分數]]</f>
        <v>#DIV/0!</v>
      </c>
      <c r="H13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30" s="39" t="e">
        <f t="shared" si="33"/>
        <v>#DIV/0!</v>
      </c>
      <c r="J130" s="36" t="e">
        <f t="shared" si="48"/>
        <v>#DIV/0!</v>
      </c>
      <c r="K130" s="8" t="e">
        <f t="shared" si="50"/>
        <v>#DIV/0!</v>
      </c>
      <c r="L130" s="8" t="e">
        <f t="shared" si="34"/>
        <v>#DIV/0!</v>
      </c>
      <c r="M130" s="8" t="e">
        <f>表格1_3[[#This Row],[部內平均]]</f>
        <v>#DIV/0!</v>
      </c>
      <c r="N130" s="8"/>
      <c r="O130" s="8" t="e">
        <f>表格1_3[[#This Row],[複評平均]]</f>
        <v>#DIV/0!</v>
      </c>
      <c r="P130" s="3"/>
      <c r="Q130" s="3"/>
      <c r="R130" s="3"/>
      <c r="S130" s="3"/>
      <c r="T130" s="3"/>
      <c r="U130" s="3"/>
      <c r="V130" s="3"/>
      <c r="W130" s="38">
        <v>49.4</v>
      </c>
      <c r="X130" s="2">
        <v>128</v>
      </c>
    </row>
    <row r="131" spans="1:24">
      <c r="A131" s="10" t="s">
        <v>407</v>
      </c>
      <c r="B131" s="5" t="s">
        <v>324</v>
      </c>
      <c r="C131" s="4" t="s">
        <v>432</v>
      </c>
      <c r="D131" s="6" t="s">
        <v>277</v>
      </c>
      <c r="E131" s="4" t="s">
        <v>283</v>
      </c>
      <c r="F131" s="4" t="s">
        <v>93</v>
      </c>
      <c r="G131" s="41">
        <f>表格1[[#This Row],[加權後總分]]-表格1[[#This Row],[獎懲分數]]</f>
        <v>0</v>
      </c>
      <c r="H131" s="39" t="str">
        <f>IF(表格1[[#This Row],[不包含獎懲總分]]&gt;=90,"A",
 IF(表格1[[#This Row],[不包含獎懲總分]]&gt;=80,"B",
 IF(表格1[[#This Row],[不包含獎懲總分]]&gt;=70,"C",
 IF(表格1[[#This Row],[不包含獎懲總分]]&gt;=60,"D","E"))))</f>
        <v>E</v>
      </c>
      <c r="I131" s="39" t="e">
        <f t="shared" ref="I131:I146" si="51">_xlfn.RANK.EQ(G131,$G$2:$G$146,0)</f>
        <v>#DIV/0!</v>
      </c>
      <c r="J131" s="36"/>
      <c r="K131" s="8"/>
      <c r="L131" s="8" t="e">
        <f t="shared" ref="L131:L146" si="52">_xlfn.RANK.EQ(J131,$J$2:$J$146,0)</f>
        <v>#DIV/0!</v>
      </c>
      <c r="M131" s="8" t="e">
        <f>表格1_3[[#This Row],[部內平均]]</f>
        <v>#DIV/0!</v>
      </c>
      <c r="N131" s="8"/>
      <c r="O131" s="8" t="e">
        <f>表格1_3[[#This Row],[複評平均]]</f>
        <v>#DIV/0!</v>
      </c>
      <c r="P131" s="3"/>
      <c r="Q131" s="3"/>
      <c r="R131" s="3"/>
      <c r="S131" s="3"/>
      <c r="T131" s="3"/>
      <c r="U131" s="3"/>
      <c r="V131" s="3"/>
      <c r="W131" s="38">
        <v>49</v>
      </c>
      <c r="X131" s="2">
        <v>129</v>
      </c>
    </row>
    <row r="132" spans="1:24">
      <c r="A132" s="10" t="s">
        <v>407</v>
      </c>
      <c r="B132" s="5" t="s">
        <v>325</v>
      </c>
      <c r="C132" s="4" t="s">
        <v>419</v>
      </c>
      <c r="D132" s="6" t="s">
        <v>277</v>
      </c>
      <c r="E132" s="4" t="s">
        <v>283</v>
      </c>
      <c r="F132" s="4" t="s">
        <v>93</v>
      </c>
      <c r="G132" s="41">
        <f>表格1[[#This Row],[加權後總分]]-表格1[[#This Row],[獎懲分數]]</f>
        <v>0</v>
      </c>
      <c r="H132" s="39" t="str">
        <f>IF(表格1[[#This Row],[不包含獎懲總分]]&gt;=90,"A",
 IF(表格1[[#This Row],[不包含獎懲總分]]&gt;=80,"B",
 IF(表格1[[#This Row],[不包含獎懲總分]]&gt;=70,"C",
 IF(表格1[[#This Row],[不包含獎懲總分]]&gt;=60,"D","E"))))</f>
        <v>E</v>
      </c>
      <c r="I132" s="39" t="e">
        <f t="shared" si="51"/>
        <v>#DIV/0!</v>
      </c>
      <c r="J132" s="36"/>
      <c r="K132" s="8"/>
      <c r="L132" s="8" t="e">
        <f t="shared" si="52"/>
        <v>#DIV/0!</v>
      </c>
      <c r="M132" s="8" t="e">
        <f>表格1_3[[#This Row],[部內平均]]</f>
        <v>#DIV/0!</v>
      </c>
      <c r="N132" s="8"/>
      <c r="O132" s="8" t="e">
        <f>表格1_3[[#This Row],[複評平均]]</f>
        <v>#DIV/0!</v>
      </c>
      <c r="P132" s="3"/>
      <c r="Q132" s="3"/>
      <c r="R132" s="3"/>
      <c r="S132" s="3"/>
      <c r="T132" s="3"/>
      <c r="U132" s="3"/>
      <c r="V132" s="3"/>
      <c r="W132" s="38">
        <v>48.400000000000006</v>
      </c>
      <c r="X132" s="2">
        <v>130</v>
      </c>
    </row>
    <row r="133" spans="1:24" ht="26">
      <c r="A133" s="10" t="s">
        <v>407</v>
      </c>
      <c r="B133" s="5" t="s">
        <v>326</v>
      </c>
      <c r="C133" s="4" t="s">
        <v>431</v>
      </c>
      <c r="D133" s="6" t="s">
        <v>277</v>
      </c>
      <c r="E133" s="4" t="s">
        <v>283</v>
      </c>
      <c r="F133" s="4" t="s">
        <v>93</v>
      </c>
      <c r="G133" s="41">
        <f>表格1[[#This Row],[加權後總分]]-表格1[[#This Row],[獎懲分數]]</f>
        <v>0</v>
      </c>
      <c r="H133" s="39" t="str">
        <f>IF(表格1[[#This Row],[不包含獎懲總分]]&gt;=90,"A",
 IF(表格1[[#This Row],[不包含獎懲總分]]&gt;=80,"B",
 IF(表格1[[#This Row],[不包含獎懲總分]]&gt;=70,"C",
 IF(表格1[[#This Row],[不包含獎懲總分]]&gt;=60,"D","E"))))</f>
        <v>E</v>
      </c>
      <c r="I133" s="39" t="e">
        <f t="shared" si="51"/>
        <v>#DIV/0!</v>
      </c>
      <c r="J133" s="36"/>
      <c r="K133" s="8"/>
      <c r="L133" s="8" t="e">
        <f t="shared" si="52"/>
        <v>#DIV/0!</v>
      </c>
      <c r="M133" s="8" t="e">
        <f>表格1_3[[#This Row],[部內平均]]</f>
        <v>#DIV/0!</v>
      </c>
      <c r="N133" s="8"/>
      <c r="O133" s="8" t="e">
        <f>表格1_3[[#This Row],[複評平均]]</f>
        <v>#DIV/0!</v>
      </c>
      <c r="P133" s="3"/>
      <c r="Q133" s="3"/>
      <c r="R133" s="3"/>
      <c r="S133" s="3"/>
      <c r="T133" s="3"/>
      <c r="U133" s="3"/>
      <c r="V133" s="3"/>
      <c r="W133" s="38">
        <v>48</v>
      </c>
      <c r="X133" s="2">
        <v>131</v>
      </c>
    </row>
    <row r="134" spans="1:24">
      <c r="A134" s="10" t="s">
        <v>407</v>
      </c>
      <c r="B134" s="5" t="s">
        <v>248</v>
      </c>
      <c r="C134" s="4" t="s">
        <v>115</v>
      </c>
      <c r="D134" s="6" t="s">
        <v>277</v>
      </c>
      <c r="E134" s="4" t="s">
        <v>283</v>
      </c>
      <c r="F134" s="4" t="s">
        <v>74</v>
      </c>
      <c r="G134" s="41" t="e">
        <f>表格1[[#This Row],[加權後總分]]-表格1[[#This Row],[獎懲分數]]</f>
        <v>#DIV/0!</v>
      </c>
      <c r="H13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34" s="39" t="e">
        <f t="shared" si="51"/>
        <v>#DIV/0!</v>
      </c>
      <c r="J134" s="36" t="e">
        <f t="shared" si="48"/>
        <v>#DIV/0!</v>
      </c>
      <c r="K134" s="8" t="e">
        <f t="shared" si="50"/>
        <v>#DIV/0!</v>
      </c>
      <c r="L134" s="8" t="e">
        <f t="shared" si="52"/>
        <v>#DIV/0!</v>
      </c>
      <c r="M134" s="8" t="e">
        <f>表格1_3[[#This Row],[部內平均]]</f>
        <v>#DIV/0!</v>
      </c>
      <c r="N134" s="8"/>
      <c r="O134" s="8" t="e">
        <f>表格1_3[[#This Row],[複評平均]]</f>
        <v>#DIV/0!</v>
      </c>
      <c r="P134" s="3"/>
      <c r="Q134" s="3"/>
      <c r="R134" s="3"/>
      <c r="S134" s="3"/>
      <c r="T134" s="3"/>
      <c r="U134" s="3"/>
      <c r="V134" s="3"/>
      <c r="W134" s="38">
        <v>47.400000000000006</v>
      </c>
      <c r="X134" s="2">
        <v>132</v>
      </c>
    </row>
    <row r="135" spans="1:24">
      <c r="A135" s="10" t="s">
        <v>407</v>
      </c>
      <c r="B135" s="5" t="s">
        <v>252</v>
      </c>
      <c r="C135" s="4" t="s">
        <v>117</v>
      </c>
      <c r="D135" s="6" t="s">
        <v>277</v>
      </c>
      <c r="E135" s="4" t="s">
        <v>283</v>
      </c>
      <c r="F135" s="4" t="s">
        <v>74</v>
      </c>
      <c r="G135" s="41" t="e">
        <f>表格1[[#This Row],[加權後總分]]-表格1[[#This Row],[獎懲分數]]</f>
        <v>#DIV/0!</v>
      </c>
      <c r="H13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35" s="39" t="e">
        <f t="shared" si="51"/>
        <v>#DIV/0!</v>
      </c>
      <c r="J135" s="36" t="e">
        <f t="shared" si="48"/>
        <v>#DIV/0!</v>
      </c>
      <c r="K135" s="8" t="e">
        <f t="shared" si="50"/>
        <v>#DIV/0!</v>
      </c>
      <c r="L135" s="8" t="e">
        <f t="shared" si="52"/>
        <v>#DIV/0!</v>
      </c>
      <c r="M135" s="8" t="e">
        <f>表格1_3[[#This Row],[部內平均]]</f>
        <v>#DIV/0!</v>
      </c>
      <c r="N135" s="8"/>
      <c r="O135" s="8" t="e">
        <f>表格1_3[[#This Row],[複評平均]]</f>
        <v>#DIV/0!</v>
      </c>
      <c r="P135" s="3"/>
      <c r="Q135" s="3"/>
      <c r="R135" s="3"/>
      <c r="S135" s="3"/>
      <c r="T135" s="3"/>
      <c r="U135" s="3"/>
      <c r="V135" s="3"/>
      <c r="W135" s="38">
        <v>46</v>
      </c>
      <c r="X135" s="2">
        <v>133</v>
      </c>
    </row>
    <row r="136" spans="1:24">
      <c r="B136" s="5"/>
      <c r="C136" s="4"/>
      <c r="D136" s="6"/>
      <c r="E136" s="4"/>
      <c r="F136" s="4"/>
      <c r="G136" s="41"/>
      <c r="H136" s="39"/>
      <c r="I136" s="39"/>
      <c r="J136" s="36"/>
      <c r="K136" s="8"/>
      <c r="L136" s="8"/>
      <c r="M136" s="8"/>
      <c r="N136" s="8"/>
      <c r="O136" s="8"/>
      <c r="P136" s="3"/>
      <c r="Q136" s="3"/>
      <c r="R136" s="3"/>
      <c r="S136" s="3"/>
      <c r="T136" s="3"/>
      <c r="U136" s="3"/>
      <c r="V136" s="3"/>
    </row>
    <row r="137" spans="1:24">
      <c r="B137" s="5" t="s">
        <v>255</v>
      </c>
      <c r="C137" s="4" t="s">
        <v>120</v>
      </c>
      <c r="D137" s="6" t="s">
        <v>279</v>
      </c>
      <c r="E137" s="4" t="s">
        <v>300</v>
      </c>
      <c r="F137" s="4" t="s">
        <v>118</v>
      </c>
      <c r="G137" s="41"/>
      <c r="H137" s="39"/>
      <c r="I137" s="39"/>
      <c r="J137" s="36"/>
      <c r="K137" s="8"/>
      <c r="L137" s="8"/>
      <c r="M137" s="8" t="e">
        <f>表格1_3[[#This Row],[部內平均]]</f>
        <v>#DIV/0!</v>
      </c>
      <c r="N137" s="8" t="e">
        <f>表格1_3[[#This Row],[共評平均]]</f>
        <v>#DIV/0!</v>
      </c>
      <c r="O137" s="8" t="e">
        <f>表格1_3[[#This Row],[複評平均]]</f>
        <v>#DIV/0!</v>
      </c>
      <c r="P137" s="3"/>
      <c r="Q137" s="3"/>
      <c r="R137" s="3"/>
      <c r="S137" s="3"/>
      <c r="T137" s="3"/>
      <c r="U137" s="3"/>
      <c r="V137" s="3"/>
      <c r="W137" s="38">
        <v>45.8</v>
      </c>
      <c r="X137" s="2">
        <v>135</v>
      </c>
    </row>
    <row r="138" spans="1:24">
      <c r="B138" s="5" t="s">
        <v>254</v>
      </c>
      <c r="C138" s="4" t="s">
        <v>119</v>
      </c>
      <c r="D138" s="6" t="s">
        <v>279</v>
      </c>
      <c r="E138" s="4" t="s">
        <v>299</v>
      </c>
      <c r="F138" s="7"/>
      <c r="G138" s="41"/>
      <c r="H138" s="39"/>
      <c r="I138" s="39"/>
      <c r="J138" s="36"/>
      <c r="K138" s="23"/>
      <c r="L138" s="8"/>
      <c r="M138" s="8" t="e">
        <f>表格1_3[[#This Row],[部內平均]]</f>
        <v>#DIV/0!</v>
      </c>
      <c r="N138" s="8" t="e">
        <f>表格1_3[[#This Row],[共評平均]]</f>
        <v>#DIV/0!</v>
      </c>
      <c r="O138" s="8" t="e">
        <f>表格1_3[[#This Row],[複評平均]]</f>
        <v>#DIV/0!</v>
      </c>
      <c r="P138" s="3"/>
      <c r="Q138" s="3"/>
      <c r="R138" s="3"/>
      <c r="S138" s="3"/>
      <c r="T138" s="3"/>
      <c r="U138" s="3"/>
      <c r="V138" s="3"/>
    </row>
    <row r="139" spans="1:24">
      <c r="B139" s="5" t="s">
        <v>256</v>
      </c>
      <c r="C139" s="4" t="s">
        <v>121</v>
      </c>
      <c r="D139" s="6" t="s">
        <v>279</v>
      </c>
      <c r="E139" s="4" t="s">
        <v>301</v>
      </c>
      <c r="F139" s="4" t="s">
        <v>120</v>
      </c>
      <c r="G139" s="41"/>
      <c r="H139" s="39"/>
      <c r="I139" s="39"/>
      <c r="J139" s="36"/>
      <c r="K139" s="23"/>
      <c r="L139" s="8"/>
      <c r="M139" s="8" t="e">
        <f>表格1_3[[#This Row],[部內平均]]</f>
        <v>#DIV/0!</v>
      </c>
      <c r="N139" s="8" t="e">
        <f>表格1_3[[#This Row],[共評平均]]</f>
        <v>#DIV/0!</v>
      </c>
      <c r="O139" s="8" t="e">
        <f>表格1_3[[#This Row],[複評平均]]</f>
        <v>#DIV/0!</v>
      </c>
      <c r="P139" s="3"/>
      <c r="Q139" s="3"/>
      <c r="R139" s="3"/>
      <c r="S139" s="3"/>
      <c r="T139" s="3"/>
      <c r="U139" s="3"/>
      <c r="V139" s="3"/>
    </row>
    <row r="140" spans="1:24">
      <c r="B140" s="5" t="s">
        <v>257</v>
      </c>
      <c r="C140" s="4" t="s">
        <v>122</v>
      </c>
      <c r="D140" s="6" t="s">
        <v>279</v>
      </c>
      <c r="E140" s="4" t="s">
        <v>301</v>
      </c>
      <c r="F140" s="4" t="s">
        <v>120</v>
      </c>
      <c r="G140" s="41" t="e">
        <f>表格1[[#This Row],[加權後總分]]-表格1[[#This Row],[獎懲分數]]</f>
        <v>#DIV/0!</v>
      </c>
      <c r="H140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40" s="39" t="e">
        <f t="shared" si="51"/>
        <v>#DIV/0!</v>
      </c>
      <c r="J140" s="36" t="e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>#DIV/0!</v>
      </c>
      <c r="K140" s="23" t="e">
        <f>IF(J140&gt;=90,"A",
 IF(J140&gt;=80,"B",
 IF(J140&gt;=70,"C",
 IF(J140&gt;=60,"D","E"))))</f>
        <v>#DIV/0!</v>
      </c>
      <c r="L140" s="8" t="e">
        <f t="shared" si="52"/>
        <v>#DIV/0!</v>
      </c>
      <c r="M140" s="8" t="e">
        <f>表格1_3[[#This Row],[部內平均]]</f>
        <v>#DIV/0!</v>
      </c>
      <c r="N140" s="8" t="e">
        <f>表格1_3[[#This Row],[共評平均]]</f>
        <v>#DIV/0!</v>
      </c>
      <c r="O140" s="8"/>
      <c r="P140" s="3"/>
      <c r="Q140" s="3"/>
      <c r="R140" s="3"/>
      <c r="S140" s="3"/>
      <c r="T140" s="3"/>
      <c r="U140" s="3"/>
      <c r="V140" s="3"/>
    </row>
    <row r="141" spans="1:24">
      <c r="B141" s="5" t="s">
        <v>259</v>
      </c>
      <c r="C141" s="4" t="s">
        <v>124</v>
      </c>
      <c r="D141" s="6" t="s">
        <v>280</v>
      </c>
      <c r="E141" s="4" t="s">
        <v>281</v>
      </c>
      <c r="F141" s="4" t="s">
        <v>126</v>
      </c>
      <c r="G141" s="41" t="e">
        <f>表格1[[#This Row],[加權後總分]]-表格1[[#This Row],[獎懲分數]]</f>
        <v>#DIV/0!</v>
      </c>
      <c r="H141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41" s="39" t="e">
        <f t="shared" si="51"/>
        <v>#DIV/0!</v>
      </c>
      <c r="J141" s="36" t="e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>#DIV/0!</v>
      </c>
      <c r="K141" s="23" t="e">
        <f>IF(J141&gt;=90,"A",
 IF(J141&gt;=80,"B",
 IF(J141&gt;=70,"C",
 IF(J141&gt;=60,"D","E"))))</f>
        <v>#DIV/0!</v>
      </c>
      <c r="L141" s="8" t="e">
        <f t="shared" si="52"/>
        <v>#DIV/0!</v>
      </c>
      <c r="M141" s="8" t="e">
        <f>表格1_3[[#This Row],[部內平均]]</f>
        <v>#DIV/0!</v>
      </c>
      <c r="N141" s="8" t="e">
        <f>表格1_3[[#This Row],[共評平均]]</f>
        <v>#DIV/0!</v>
      </c>
      <c r="O141" s="8" t="e">
        <f>表格1_3[[#This Row],[複評平均]]</f>
        <v>#DIV/0!</v>
      </c>
      <c r="P141" s="3"/>
      <c r="Q141" s="3"/>
      <c r="R141" s="3"/>
      <c r="S141" s="3"/>
      <c r="T141" s="3"/>
      <c r="U141" s="3"/>
      <c r="V141" s="3"/>
    </row>
    <row r="142" spans="1:24">
      <c r="B142" s="5"/>
      <c r="C142" s="4"/>
      <c r="D142" s="6"/>
      <c r="E142" s="4"/>
      <c r="F142" s="4"/>
      <c r="G142" s="41"/>
      <c r="H142" s="39"/>
      <c r="I142" s="39"/>
      <c r="J142" s="36"/>
      <c r="K142" s="23"/>
      <c r="L142" s="8"/>
      <c r="M142" s="8"/>
      <c r="N142" s="8"/>
      <c r="O142" s="8"/>
      <c r="P142" s="3"/>
      <c r="Q142" s="3"/>
      <c r="R142" s="3"/>
      <c r="S142" s="3"/>
      <c r="T142" s="3"/>
      <c r="U142" s="3"/>
      <c r="V142" s="3"/>
    </row>
    <row r="143" spans="1:24">
      <c r="B143" s="5" t="s">
        <v>258</v>
      </c>
      <c r="C143" s="4" t="s">
        <v>123</v>
      </c>
      <c r="D143" s="6" t="s">
        <v>280</v>
      </c>
      <c r="E143" s="4" t="s">
        <v>302</v>
      </c>
      <c r="F143" s="4" t="s">
        <v>332</v>
      </c>
      <c r="G143" s="41" t="e">
        <f>表格1[[#This Row],[加權後總分]]-表格1[[#This Row],[獎懲分數]]</f>
        <v>#DIV/0!</v>
      </c>
      <c r="H143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43" s="39" t="e">
        <f t="shared" si="51"/>
        <v>#DIV/0!</v>
      </c>
      <c r="J143" s="36" t="e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>#DIV/0!</v>
      </c>
      <c r="K143" s="23" t="e">
        <f>IF(J143&gt;=90,"A",
 IF(J143&gt;=80,"B",
 IF(J143&gt;=70,"C",
 IF(J143&gt;=60,"D","E"))))</f>
        <v>#DIV/0!</v>
      </c>
      <c r="L143" s="8" t="e">
        <f t="shared" si="52"/>
        <v>#DIV/0!</v>
      </c>
      <c r="M143" s="8" t="e">
        <f>表格1_3[[#This Row],[部內平均]]</f>
        <v>#DIV/0!</v>
      </c>
      <c r="N143" s="8"/>
      <c r="O143" s="8"/>
      <c r="P143" s="3"/>
      <c r="Q143" s="3"/>
      <c r="R143" s="3"/>
      <c r="S143" s="3"/>
      <c r="T143" s="3"/>
      <c r="U143" s="3"/>
      <c r="V143" s="3"/>
    </row>
    <row r="144" spans="1:24">
      <c r="B144" s="5" t="s">
        <v>261</v>
      </c>
      <c r="C144" s="4" t="s">
        <v>126</v>
      </c>
      <c r="D144" s="6" t="s">
        <v>280</v>
      </c>
      <c r="E144" s="4" t="s">
        <v>281</v>
      </c>
      <c r="F144" s="4" t="s">
        <v>51</v>
      </c>
      <c r="G144" s="41" t="e">
        <f>表格1[[#This Row],[加權後總分]]-表格1[[#This Row],[獎懲分數]]</f>
        <v>#DIV/0!</v>
      </c>
      <c r="H144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44" s="39" t="e">
        <f t="shared" si="51"/>
        <v>#DIV/0!</v>
      </c>
      <c r="J144" s="36" t="e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>#DIV/0!</v>
      </c>
      <c r="K144" s="23" t="e">
        <f>IF(J144&gt;=90,"A",
 IF(J144&gt;=80,"B",
 IF(J144&gt;=70,"C",
 IF(J144&gt;=60,"D","E"))))</f>
        <v>#DIV/0!</v>
      </c>
      <c r="L144" s="8" t="e">
        <f t="shared" si="52"/>
        <v>#DIV/0!</v>
      </c>
      <c r="M144" s="8" t="e">
        <f>表格1_3[[#This Row],[部內平均]]</f>
        <v>#DIV/0!</v>
      </c>
      <c r="N144" s="8" t="e">
        <f>表格1_3[[#This Row],[共評平均]]</f>
        <v>#DIV/0!</v>
      </c>
      <c r="O144" s="8"/>
      <c r="P144" s="3"/>
      <c r="Q144" s="3"/>
      <c r="R144" s="3"/>
      <c r="S144" s="3"/>
      <c r="T144" s="3"/>
      <c r="U144" s="3"/>
      <c r="V144" s="3"/>
    </row>
    <row r="145" spans="2:22">
      <c r="B145" s="5" t="s">
        <v>262</v>
      </c>
      <c r="C145" s="4" t="s">
        <v>127</v>
      </c>
      <c r="D145" s="6" t="s">
        <v>280</v>
      </c>
      <c r="E145" s="4" t="s">
        <v>293</v>
      </c>
      <c r="F145" s="4" t="s">
        <v>119</v>
      </c>
      <c r="G145" s="41" t="e">
        <f>表格1[[#This Row],[加權後總分]]-表格1[[#This Row],[獎懲分數]]</f>
        <v>#DIV/0!</v>
      </c>
      <c r="H145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45" s="39" t="e">
        <f t="shared" si="51"/>
        <v>#DIV/0!</v>
      </c>
      <c r="J145" s="36" t="e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>#DIV/0!</v>
      </c>
      <c r="K145" s="23" t="e">
        <f>IF(J145&gt;=90,"A",
 IF(J145&gt;=80,"B",
 IF(J145&gt;=70,"C",
 IF(J145&gt;=60,"D","E"))))</f>
        <v>#DIV/0!</v>
      </c>
      <c r="L145" s="8" t="e">
        <f t="shared" si="52"/>
        <v>#DIV/0!</v>
      </c>
      <c r="M145" s="8" t="e">
        <f>表格1_3[[#This Row],[部內平均]]</f>
        <v>#DIV/0!</v>
      </c>
      <c r="N145" s="8" t="e">
        <f>表格1_3[[#This Row],[共評平均]]</f>
        <v>#DIV/0!</v>
      </c>
      <c r="O145" s="8" t="e">
        <f>表格1_3[[#This Row],[複評平均]]</f>
        <v>#DIV/0!</v>
      </c>
      <c r="P145" s="3"/>
      <c r="Q145" s="3"/>
      <c r="R145" s="3"/>
      <c r="S145" s="3"/>
      <c r="T145" s="3"/>
      <c r="U145" s="3"/>
      <c r="V145" s="3"/>
    </row>
    <row r="146" spans="2:22">
      <c r="B146" s="5" t="s">
        <v>263</v>
      </c>
      <c r="C146" s="4" t="s">
        <v>128</v>
      </c>
      <c r="D146" s="6" t="s">
        <v>513</v>
      </c>
      <c r="E146" s="4" t="s">
        <v>514</v>
      </c>
      <c r="F146" s="4" t="s">
        <v>93</v>
      </c>
      <c r="G146" s="41" t="e">
        <f>表格1[[#This Row],[加權後總分]]-表格1[[#This Row],[獎懲分數]]</f>
        <v>#DIV/0!</v>
      </c>
      <c r="H146" s="39" t="e">
        <f>IF(表格1[[#This Row],[不包含獎懲總分]]&gt;=90,"A",
 IF(表格1[[#This Row],[不包含獎懲總分]]&gt;=80,"B",
 IF(表格1[[#This Row],[不包含獎懲總分]]&gt;=70,"C",
 IF(表格1[[#This Row],[不包含獎懲總分]]&gt;=60,"D","E"))))</f>
        <v>#DIV/0!</v>
      </c>
      <c r="I146" s="39" t="e">
        <f t="shared" si="51"/>
        <v>#DIV/0!</v>
      </c>
      <c r="J146" s="36" t="e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>#DIV/0!</v>
      </c>
      <c r="K146" s="23" t="e">
        <f>IF(J146&gt;=90,"A",
 IF(J146&gt;=80,"B",
 IF(J146&gt;=70,"C",
 IF(J146&gt;=60,"D","E"))))</f>
        <v>#DIV/0!</v>
      </c>
      <c r="L146" s="8" t="e">
        <f t="shared" si="52"/>
        <v>#DIV/0!</v>
      </c>
      <c r="M146" s="8" t="e">
        <f>表格1_3[[#This Row],[部內平均]]</f>
        <v>#DIV/0!</v>
      </c>
      <c r="N146" s="8" t="e">
        <f>表格1_3[[#This Row],[共評平均]]</f>
        <v>#DIV/0!</v>
      </c>
      <c r="O146" s="8">
        <v>67.8</v>
      </c>
      <c r="P146" s="3"/>
      <c r="Q146" s="3"/>
      <c r="R146" s="3"/>
      <c r="S146" s="3"/>
      <c r="T146" s="3"/>
      <c r="U146" s="3"/>
      <c r="V146" s="3"/>
    </row>
  </sheetData>
  <sortState ref="W2:W146">
    <sortCondition descending="1" ref="W1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O146"/>
  <sheetViews>
    <sheetView topLeftCell="A139" zoomScale="90" zoomScaleNormal="90" workbookViewId="0">
      <pane xSplit="2" topLeftCell="V1" activePane="topRight" state="frozen"/>
      <selection activeCell="B1" sqref="B1"/>
      <selection pane="topRight" activeCell="D147" sqref="D147"/>
    </sheetView>
  </sheetViews>
  <sheetFormatPr defaultRowHeight="14"/>
  <cols>
    <col min="1" max="1" width="9.1796875" style="2" hidden="1" customWidth="1"/>
    <col min="2" max="4" width="8.7265625" style="2"/>
    <col min="5" max="5" width="17.26953125" style="10" customWidth="1"/>
    <col min="6" max="7" width="14.1796875" style="2" customWidth="1"/>
    <col min="8" max="8" width="9.6328125" style="2" customWidth="1"/>
    <col min="9" max="19" width="7.54296875" style="2" customWidth="1"/>
    <col min="20" max="16384" width="8.7265625" style="2"/>
  </cols>
  <sheetData>
    <row r="1" spans="1:41" ht="28">
      <c r="A1" s="1" t="s">
        <v>0</v>
      </c>
      <c r="B1" s="1" t="s">
        <v>1</v>
      </c>
      <c r="C1" s="1" t="s">
        <v>2</v>
      </c>
      <c r="D1" s="1" t="s">
        <v>3</v>
      </c>
      <c r="E1" s="11" t="s">
        <v>377</v>
      </c>
      <c r="F1" s="1" t="s">
        <v>378</v>
      </c>
      <c r="G1" s="1" t="s">
        <v>379</v>
      </c>
      <c r="H1" s="1" t="s">
        <v>355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354</v>
      </c>
      <c r="R1" s="1" t="s">
        <v>429</v>
      </c>
      <c r="S1" s="1" t="s">
        <v>376</v>
      </c>
      <c r="T1" s="1" t="s">
        <v>356</v>
      </c>
      <c r="U1" s="1" t="s">
        <v>357</v>
      </c>
      <c r="V1" s="1" t="s">
        <v>358</v>
      </c>
      <c r="W1" s="1" t="s">
        <v>359</v>
      </c>
      <c r="X1" s="1" t="s">
        <v>360</v>
      </c>
      <c r="Y1" s="1" t="s">
        <v>361</v>
      </c>
      <c r="Z1" s="1" t="s">
        <v>362</v>
      </c>
      <c r="AA1" s="1" t="s">
        <v>363</v>
      </c>
      <c r="AB1" s="1" t="s">
        <v>364</v>
      </c>
      <c r="AC1" s="1" t="s">
        <v>435</v>
      </c>
      <c r="AD1" s="1" t="s">
        <v>436</v>
      </c>
      <c r="AE1" s="1" t="s">
        <v>365</v>
      </c>
      <c r="AF1" s="1" t="s">
        <v>366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</row>
    <row r="2" spans="1:41">
      <c r="A2" s="5" t="s">
        <v>129</v>
      </c>
      <c r="B2" s="4" t="s">
        <v>6</v>
      </c>
      <c r="C2" s="6" t="s">
        <v>264</v>
      </c>
      <c r="D2" s="4" t="s">
        <v>281</v>
      </c>
      <c r="E2" s="8" t="e">
        <f>AVERAGEIF(表格1_3[[#This Row],[部內分數]:[部內分數11]],"&lt;&gt;")</f>
        <v>#DIV/0!</v>
      </c>
      <c r="F2" s="3" t="e">
        <f>AVERAGEIF(表格1_3[[#This Row],[跨共評]:[跨共評10]],"&lt;&gt;")</f>
        <v>#DIV/0!</v>
      </c>
      <c r="G2" s="3" t="e">
        <f>AVERAGEIF(表格1_3[[#This Row],[複評]:[複評10]],"&lt;&gt;")</f>
        <v>#DIV/0!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>
      <c r="A3" s="5" t="s">
        <v>130</v>
      </c>
      <c r="B3" s="4" t="s">
        <v>309</v>
      </c>
      <c r="C3" s="6" t="s">
        <v>264</v>
      </c>
      <c r="D3" s="4" t="s">
        <v>282</v>
      </c>
      <c r="E3" s="8" t="e">
        <f>AVERAGEIF(表格1_3[[#This Row],[部內分數]:[部內分數11]],"&lt;&gt;")</f>
        <v>#DIV/0!</v>
      </c>
      <c r="F3" s="3" t="e">
        <f>AVERAGEIF(表格1_3[[#This Row],[跨共評]:[跨共評10]],"&lt;&gt;")</f>
        <v>#DIV/0!</v>
      </c>
      <c r="G3" s="3" t="e">
        <f>AVERAGEIF(表格1_3[[#This Row],[複評]:[複評10]],"&lt;&gt;")</f>
        <v>#DIV/0!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>
      <c r="A4" s="5" t="s">
        <v>131</v>
      </c>
      <c r="B4" s="4" t="s">
        <v>310</v>
      </c>
      <c r="C4" s="6" t="s">
        <v>264</v>
      </c>
      <c r="D4" s="4" t="s">
        <v>5</v>
      </c>
      <c r="E4" s="8" t="e">
        <f>AVERAGEIF(表格1_3[[#This Row],[部內分數]:[部內分數11]],"&lt;&gt;")</f>
        <v>#DIV/0!</v>
      </c>
      <c r="F4" s="3" t="e">
        <f>AVERAGEIF(表格1_3[[#This Row],[跨共評]:[跨共評10]],"&lt;&gt;")</f>
        <v>#DIV/0!</v>
      </c>
      <c r="G4" s="3" t="e">
        <f>AVERAGEIF(表格1_3[[#This Row],[複評]:[複評10]],"&lt;&gt;")</f>
        <v>#DIV/0!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26">
      <c r="A5" s="5" t="s">
        <v>133</v>
      </c>
      <c r="B5" s="4" t="s">
        <v>7</v>
      </c>
      <c r="C5" s="6" t="s">
        <v>265</v>
      </c>
      <c r="D5" s="4" t="s">
        <v>284</v>
      </c>
      <c r="E5" s="8" t="e">
        <f>AVERAGEIF(表格1_3[[#This Row],[部內分數]:[部內分數11]],"&lt;&gt;")</f>
        <v>#DIV/0!</v>
      </c>
      <c r="F5" s="3" t="e">
        <f>AVERAGEIF(表格1_3[[#This Row],[跨共評]:[跨共評10]],"&lt;&gt;")</f>
        <v>#DIV/0!</v>
      </c>
      <c r="G5" s="3" t="e">
        <f>AVERAGEIF(表格1_3[[#This Row],[複評]:[複評10]],"&lt;&gt;")</f>
        <v>#DIV/0!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>
      <c r="A6" s="5" t="s">
        <v>311</v>
      </c>
      <c r="B6" s="4" t="s">
        <v>422</v>
      </c>
      <c r="C6" s="6" t="s">
        <v>265</v>
      </c>
      <c r="D6" s="4" t="s">
        <v>283</v>
      </c>
      <c r="E6" s="8" t="e">
        <f>AVERAGEIF(表格1_3[[#This Row],[部內分數]:[部內分數11]],"&lt;&gt;")</f>
        <v>#DIV/0!</v>
      </c>
      <c r="F6" s="3" t="e">
        <f>AVERAGEIF(表格1_3[[#This Row],[跨共評]:[跨共評10]],"&lt;&gt;")</f>
        <v>#DIV/0!</v>
      </c>
      <c r="G6" s="3" t="e">
        <f>AVERAGEIF(表格1_3[[#This Row],[複評]:[複評10]],"&lt;&gt;")</f>
        <v>#DIV/0!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>
      <c r="A7" s="5" t="s">
        <v>136</v>
      </c>
      <c r="B7" s="4" t="s">
        <v>10</v>
      </c>
      <c r="C7" s="6" t="s">
        <v>265</v>
      </c>
      <c r="D7" s="4" t="s">
        <v>283</v>
      </c>
      <c r="E7" s="8" t="e">
        <f>AVERAGEIF(表格1_3[[#This Row],[部內分數]:[部內分數11]],"&lt;&gt;")</f>
        <v>#DIV/0!</v>
      </c>
      <c r="F7" s="3" t="e">
        <f>AVERAGEIF(表格1_3[[#This Row],[跨共評]:[跨共評10]],"&lt;&gt;")</f>
        <v>#DIV/0!</v>
      </c>
      <c r="G7" s="3" t="e">
        <f>AVERAGEIF(表格1_3[[#This Row],[複評]:[複評10]],"&lt;&gt;")</f>
        <v>#DIV/0!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>
      <c r="A8" s="5" t="s">
        <v>137</v>
      </c>
      <c r="B8" s="4" t="s">
        <v>11</v>
      </c>
      <c r="C8" s="6" t="s">
        <v>265</v>
      </c>
      <c r="D8" s="4" t="s">
        <v>283</v>
      </c>
      <c r="E8" s="8" t="e">
        <f>AVERAGEIF(表格1_3[[#This Row],[部內分數]:[部內分數11]],"&lt;&gt;")</f>
        <v>#DIV/0!</v>
      </c>
      <c r="F8" s="3" t="e">
        <f>AVERAGEIF(表格1_3[[#This Row],[跨共評]:[跨共評10]],"&lt;&gt;")</f>
        <v>#DIV/0!</v>
      </c>
      <c r="G8" s="3" t="e">
        <f>AVERAGEIF(表格1_3[[#This Row],[複評]:[複評10]],"&lt;&gt;")</f>
        <v>#DIV/0!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>
      <c r="A9" s="5" t="s">
        <v>138</v>
      </c>
      <c r="B9" s="4" t="s">
        <v>12</v>
      </c>
      <c r="C9" s="6" t="s">
        <v>265</v>
      </c>
      <c r="D9" s="4" t="s">
        <v>283</v>
      </c>
      <c r="E9" s="8" t="e">
        <f>AVERAGEIF(表格1_3[[#This Row],[部內分數]:[部內分數11]],"&lt;&gt;")</f>
        <v>#DIV/0!</v>
      </c>
      <c r="F9" s="3" t="e">
        <f>AVERAGEIF(表格1_3[[#This Row],[跨共評]:[跨共評10]],"&lt;&gt;")</f>
        <v>#DIV/0!</v>
      </c>
      <c r="G9" s="3" t="e">
        <f>AVERAGEIF(表格1_3[[#This Row],[複評]:[複評10]],"&lt;&gt;")</f>
        <v>#DIV/0!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>
      <c r="A10" s="5" t="s">
        <v>139</v>
      </c>
      <c r="B10" s="4" t="s">
        <v>13</v>
      </c>
      <c r="C10" s="6" t="s">
        <v>265</v>
      </c>
      <c r="D10" s="4" t="s">
        <v>283</v>
      </c>
      <c r="E10" s="8" t="e">
        <f>AVERAGEIF(表格1_3[[#This Row],[部內分數]:[部內分數11]],"&lt;&gt;")</f>
        <v>#DIV/0!</v>
      </c>
      <c r="F10" s="3" t="e">
        <f>AVERAGEIF(表格1_3[[#This Row],[跨共評]:[跨共評10]],"&lt;&gt;")</f>
        <v>#DIV/0!</v>
      </c>
      <c r="G10" s="3" t="e">
        <f>AVERAGEIF(表格1_3[[#This Row],[複評]:[複評10]],"&lt;&gt;")</f>
        <v>#DIV/0!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>
      <c r="A11" s="5" t="s">
        <v>132</v>
      </c>
      <c r="B11" s="4" t="s">
        <v>312</v>
      </c>
      <c r="C11" s="6" t="s">
        <v>265</v>
      </c>
      <c r="D11" s="4" t="s">
        <v>283</v>
      </c>
      <c r="E11" s="8" t="e">
        <f>AVERAGEIF(表格1_3[[#This Row],[部內分數]:[部內分數11]],"&lt;&gt;")</f>
        <v>#DIV/0!</v>
      </c>
      <c r="F11" s="3" t="e">
        <f>AVERAGEIF(表格1_3[[#This Row],[跨共評]:[跨共評10]],"&lt;&gt;")</f>
        <v>#DIV/0!</v>
      </c>
      <c r="G11" s="3" t="e">
        <f>AVERAGEIF(表格1_3[[#This Row],[複評]:[複評10]],"&lt;&gt;")</f>
        <v>#DIV/0!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>
      <c r="A12" s="5" t="s">
        <v>144</v>
      </c>
      <c r="B12" s="4" t="s">
        <v>18</v>
      </c>
      <c r="C12" s="6" t="s">
        <v>265</v>
      </c>
      <c r="D12" s="4" t="s">
        <v>283</v>
      </c>
      <c r="E12" s="8" t="e">
        <f>AVERAGEIF(表格1_3[[#This Row],[部內分數]:[部內分數11]],"&lt;&gt;")</f>
        <v>#DIV/0!</v>
      </c>
      <c r="F12" s="3" t="e">
        <f>AVERAGEIF(表格1_3[[#This Row],[跨共評]:[跨共評10]],"&lt;&gt;")</f>
        <v>#DIV/0!</v>
      </c>
      <c r="G12" s="3" t="e">
        <f>AVERAGEIF(表格1_3[[#This Row],[複評]:[複評10]],"&lt;&gt;")</f>
        <v>#DIV/0!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>
      <c r="A13" s="5" t="s">
        <v>143</v>
      </c>
      <c r="B13" s="4" t="s">
        <v>17</v>
      </c>
      <c r="C13" s="6" t="s">
        <v>265</v>
      </c>
      <c r="D13" s="4" t="s">
        <v>283</v>
      </c>
      <c r="E13" s="8" t="e">
        <f>AVERAGEIF(表格1_3[[#This Row],[部內分數]:[部內分數11]],"&lt;&gt;")</f>
        <v>#DIV/0!</v>
      </c>
      <c r="F13" s="3" t="e">
        <f>AVERAGEIF(表格1_3[[#This Row],[跨共評]:[跨共評10]],"&lt;&gt;")</f>
        <v>#DIV/0!</v>
      </c>
      <c r="G13" s="3" t="e">
        <f>AVERAGEIF(表格1_3[[#This Row],[複評]:[複評10]],"&lt;&gt;")</f>
        <v>#DIV/0!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>
      <c r="A14" s="5" t="s">
        <v>134</v>
      </c>
      <c r="B14" s="4" t="s">
        <v>8</v>
      </c>
      <c r="C14" s="6" t="s">
        <v>265</v>
      </c>
      <c r="D14" s="4" t="s">
        <v>283</v>
      </c>
      <c r="E14" s="8" t="e">
        <f>AVERAGEIF(表格1_3[[#This Row],[部內分數]:[部內分數11]],"&lt;&gt;")</f>
        <v>#DIV/0!</v>
      </c>
      <c r="F14" s="3" t="e">
        <f>AVERAGEIF(表格1_3[[#This Row],[跨共評]:[跨共評10]],"&lt;&gt;")</f>
        <v>#DIV/0!</v>
      </c>
      <c r="G14" s="3" t="e">
        <f>AVERAGEIF(表格1_3[[#This Row],[複評]:[複評10]],"&lt;&gt;")</f>
        <v>#DIV/0!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>
      <c r="A15" s="5" t="s">
        <v>135</v>
      </c>
      <c r="B15" s="4" t="s">
        <v>9</v>
      </c>
      <c r="C15" s="6" t="s">
        <v>265</v>
      </c>
      <c r="D15" s="4" t="s">
        <v>283</v>
      </c>
      <c r="E15" s="8" t="e">
        <f>AVERAGEIF(表格1_3[[#This Row],[部內分數]:[部內分數11]],"&lt;&gt;")</f>
        <v>#DIV/0!</v>
      </c>
      <c r="F15" s="3" t="e">
        <f>AVERAGEIF(表格1_3[[#This Row],[跨共評]:[跨共評10]],"&lt;&gt;")</f>
        <v>#DIV/0!</v>
      </c>
      <c r="G15" s="3" t="e">
        <f>AVERAGEIF(表格1_3[[#This Row],[複評]:[複評10]],"&lt;&gt;")</f>
        <v>#DIV/0!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>
      <c r="A16" s="5" t="s">
        <v>146</v>
      </c>
      <c r="B16" s="4" t="s">
        <v>20</v>
      </c>
      <c r="C16" s="6" t="s">
        <v>265</v>
      </c>
      <c r="D16" s="4" t="s">
        <v>283</v>
      </c>
      <c r="E16" s="8" t="e">
        <f>AVERAGEIF(表格1_3[[#This Row],[部內分數]:[部內分數11]],"&lt;&gt;")</f>
        <v>#DIV/0!</v>
      </c>
      <c r="F16" s="3" t="e">
        <f>AVERAGEIF(表格1_3[[#This Row],[跨共評]:[跨共評10]],"&lt;&gt;")</f>
        <v>#DIV/0!</v>
      </c>
      <c r="G16" s="3" t="e">
        <f>AVERAGEIF(表格1_3[[#This Row],[複評]:[複評10]],"&lt;&gt;")</f>
        <v>#DIV/0!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>
      <c r="A17" s="5" t="s">
        <v>140</v>
      </c>
      <c r="B17" s="4" t="s">
        <v>14</v>
      </c>
      <c r="C17" s="6" t="s">
        <v>265</v>
      </c>
      <c r="D17" s="4" t="s">
        <v>283</v>
      </c>
      <c r="E17" s="8" t="e">
        <f>AVERAGEIF(表格1_3[[#This Row],[部內分數]:[部內分數11]],"&lt;&gt;")</f>
        <v>#DIV/0!</v>
      </c>
      <c r="F17" s="3" t="e">
        <f>AVERAGEIF(表格1_3[[#This Row],[跨共評]:[跨共評10]],"&lt;&gt;")</f>
        <v>#DIV/0!</v>
      </c>
      <c r="G17" s="3" t="e">
        <f>AVERAGEIF(表格1_3[[#This Row],[複評]:[複評10]],"&lt;&gt;")</f>
        <v>#DIV/0!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>
      <c r="A18" s="5" t="s">
        <v>141</v>
      </c>
      <c r="B18" s="4" t="s">
        <v>15</v>
      </c>
      <c r="C18" s="6" t="s">
        <v>265</v>
      </c>
      <c r="D18" s="4" t="s">
        <v>283</v>
      </c>
      <c r="E18" s="8" t="e">
        <f>AVERAGEIF(表格1_3[[#This Row],[部內分數]:[部內分數11]],"&lt;&gt;")</f>
        <v>#DIV/0!</v>
      </c>
      <c r="F18" s="3" t="e">
        <f>AVERAGEIF(表格1_3[[#This Row],[跨共評]:[跨共評10]],"&lt;&gt;")</f>
        <v>#DIV/0!</v>
      </c>
      <c r="G18" s="3" t="e">
        <f>AVERAGEIF(表格1_3[[#This Row],[複評]:[複評10]],"&lt;&gt;")</f>
        <v>#DIV/0!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>
      <c r="A19" s="5" t="s">
        <v>142</v>
      </c>
      <c r="B19" s="4"/>
      <c r="C19" s="6"/>
      <c r="D19" s="4"/>
      <c r="E19" s="8" t="e">
        <f>AVERAGEIF(表格1_3[[#This Row],[部內分數]:[部內分數11]],"&lt;&gt;")</f>
        <v>#DIV/0!</v>
      </c>
      <c r="F19" s="3" t="e">
        <f>AVERAGEIF(表格1_3[[#This Row],[跨共評]:[跨共評10]],"&lt;&gt;")</f>
        <v>#DIV/0!</v>
      </c>
      <c r="G19" s="3" t="e">
        <f>AVERAGEIF(表格1_3[[#This Row],[複評]:[複評10]],"&lt;&gt;")</f>
        <v>#DIV/0!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>
      <c r="A20" s="5" t="s">
        <v>150</v>
      </c>
      <c r="B20" s="4" t="s">
        <v>23</v>
      </c>
      <c r="C20" s="6" t="s">
        <v>265</v>
      </c>
      <c r="D20" s="4" t="s">
        <v>285</v>
      </c>
      <c r="E20" s="8" t="e">
        <f>AVERAGEIF(表格1_3[[#This Row],[部內分數]:[部內分數11]],"&lt;&gt;")</f>
        <v>#DIV/0!</v>
      </c>
      <c r="F20" s="3" t="e">
        <f>AVERAGEIF(表格1_3[[#This Row],[跨共評]:[跨共評10]],"&lt;&gt;")</f>
        <v>#DIV/0!</v>
      </c>
      <c r="G20" s="3" t="e">
        <f>AVERAGEIF(表格1_3[[#This Row],[複評]:[複評10]],"&lt;&gt;")</f>
        <v>#DIV/0!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>
      <c r="A21" s="5" t="s">
        <v>147</v>
      </c>
      <c r="B21" s="4" t="s">
        <v>21</v>
      </c>
      <c r="C21" s="6" t="s">
        <v>265</v>
      </c>
      <c r="D21" s="4" t="s">
        <v>283</v>
      </c>
      <c r="E21" s="8" t="e">
        <f>AVERAGEIF(表格1_3[[#This Row],[部內分數]:[部內分數11]],"&lt;&gt;")</f>
        <v>#DIV/0!</v>
      </c>
      <c r="F21" s="3" t="e">
        <f>AVERAGEIF(表格1_3[[#This Row],[跨共評]:[跨共評10]],"&lt;&gt;")</f>
        <v>#DIV/0!</v>
      </c>
      <c r="G21" s="3" t="e">
        <f>AVERAGEIF(表格1_3[[#This Row],[複評]:[複評10]],"&lt;&gt;")</f>
        <v>#DIV/0!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>
      <c r="A22" s="5" t="s">
        <v>145</v>
      </c>
      <c r="B22" s="4" t="s">
        <v>19</v>
      </c>
      <c r="C22" s="6" t="s">
        <v>265</v>
      </c>
      <c r="D22" s="4" t="s">
        <v>285</v>
      </c>
      <c r="E22" s="8" t="e">
        <f>AVERAGEIF(表格1_3[[#This Row],[部內分數]:[部內分數11]],"&lt;&gt;")</f>
        <v>#DIV/0!</v>
      </c>
      <c r="F22" s="3" t="e">
        <f>AVERAGEIF(表格1_3[[#This Row],[跨共評]:[跨共評10]],"&lt;&gt;")</f>
        <v>#DIV/0!</v>
      </c>
      <c r="G22" s="3" t="e">
        <f>AVERAGEIF(表格1_3[[#This Row],[複評]:[複評10]],"&lt;&gt;")</f>
        <v>#DIV/0!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>
      <c r="A23" s="5" t="s">
        <v>148</v>
      </c>
      <c r="B23" s="4" t="s">
        <v>313</v>
      </c>
      <c r="C23" s="6" t="s">
        <v>265</v>
      </c>
      <c r="D23" s="4" t="s">
        <v>5</v>
      </c>
      <c r="E23" s="8" t="e">
        <f>AVERAGEIF(表格1_3[[#This Row],[部內分數]:[部內分數11]],"&lt;&gt;")</f>
        <v>#DIV/0!</v>
      </c>
      <c r="F23" s="3" t="e">
        <f>AVERAGEIF(表格1_3[[#This Row],[跨共評]:[跨共評10]],"&lt;&gt;")</f>
        <v>#DIV/0!</v>
      </c>
      <c r="G23" s="3" t="e">
        <f>AVERAGEIF(表格1_3[[#This Row],[複評]:[複評10]],"&lt;&gt;")</f>
        <v>#DIV/0!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>
      <c r="A24" s="5" t="s">
        <v>149</v>
      </c>
      <c r="B24" s="4" t="s">
        <v>22</v>
      </c>
      <c r="C24" s="6" t="s">
        <v>265</v>
      </c>
      <c r="D24" s="4" t="s">
        <v>283</v>
      </c>
      <c r="E24" s="8" t="e">
        <f>AVERAGEIF(表格1_3[[#This Row],[部內分數]:[部內分數11]],"&lt;&gt;")</f>
        <v>#DIV/0!</v>
      </c>
      <c r="F24" s="3" t="e">
        <f>AVERAGEIF(表格1_3[[#This Row],[跨共評]:[跨共評10]],"&lt;&gt;")</f>
        <v>#DIV/0!</v>
      </c>
      <c r="G24" s="3" t="e">
        <f>AVERAGEIF(表格1_3[[#This Row],[複評]:[複評10]],"&lt;&gt;")</f>
        <v>#DIV/0!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>
      <c r="A25" s="5" t="s">
        <v>151</v>
      </c>
      <c r="B25" s="4" t="s">
        <v>24</v>
      </c>
      <c r="C25" s="6" t="s">
        <v>266</v>
      </c>
      <c r="D25" s="4" t="s">
        <v>283</v>
      </c>
      <c r="E25" s="8" t="e">
        <f>AVERAGEIF(表格1_3[[#This Row],[部內分數]:[部內分數11]],"&lt;&gt;")</f>
        <v>#DIV/0!</v>
      </c>
      <c r="F25" s="3" t="e">
        <f>AVERAGEIF(表格1_3[[#This Row],[跨共評]:[跨共評10]],"&lt;&gt;")</f>
        <v>#DIV/0!</v>
      </c>
      <c r="G25" s="3" t="e">
        <f>AVERAGEIF(表格1_3[[#This Row],[複評]:[複評10]],"&lt;&gt;")</f>
        <v>#DIV/0!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>
      <c r="A26" s="5" t="s">
        <v>152</v>
      </c>
      <c r="B26" s="4" t="s">
        <v>25</v>
      </c>
      <c r="C26" s="6" t="s">
        <v>266</v>
      </c>
      <c r="D26" s="4" t="s">
        <v>283</v>
      </c>
      <c r="E26" s="8" t="e">
        <f>AVERAGEIF(表格1_3[[#This Row],[部內分數]:[部內分數11]],"&lt;&gt;")</f>
        <v>#DIV/0!</v>
      </c>
      <c r="F26" s="3" t="e">
        <f>AVERAGEIF(表格1_3[[#This Row],[跨共評]:[跨共評10]],"&lt;&gt;")</f>
        <v>#DIV/0!</v>
      </c>
      <c r="G26" s="3" t="e">
        <f>AVERAGEIF(表格1_3[[#This Row],[複評]:[複評10]],"&lt;&gt;")</f>
        <v>#DIV/0!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5" t="s">
        <v>157</v>
      </c>
      <c r="B27" s="4" t="s">
        <v>30</v>
      </c>
      <c r="C27" s="6" t="s">
        <v>266</v>
      </c>
      <c r="D27" s="4" t="s">
        <v>283</v>
      </c>
      <c r="E27" s="8" t="e">
        <f>AVERAGEIF(表格1_3[[#This Row],[部內分數]:[部內分數11]],"&lt;&gt;")</f>
        <v>#DIV/0!</v>
      </c>
      <c r="F27" s="3" t="e">
        <f>AVERAGEIF(表格1_3[[#This Row],[跨共評]:[跨共評10]],"&lt;&gt;")</f>
        <v>#DIV/0!</v>
      </c>
      <c r="G27" s="3" t="e">
        <f>AVERAGEIF(表格1_3[[#This Row],[複評]:[複評10]],"&lt;&gt;")</f>
        <v>#DIV/0!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>
      <c r="A28" s="5" t="s">
        <v>153</v>
      </c>
      <c r="B28" s="4" t="s">
        <v>26</v>
      </c>
      <c r="C28" s="6" t="s">
        <v>266</v>
      </c>
      <c r="D28" s="4" t="s">
        <v>283</v>
      </c>
      <c r="E28" s="8" t="e">
        <f>AVERAGEIF(表格1_3[[#This Row],[部內分數]:[部內分數11]],"&lt;&gt;")</f>
        <v>#DIV/0!</v>
      </c>
      <c r="F28" s="3" t="e">
        <f>AVERAGEIF(表格1_3[[#This Row],[跨共評]:[跨共評10]],"&lt;&gt;")</f>
        <v>#DIV/0!</v>
      </c>
      <c r="G28" s="3" t="e">
        <f>AVERAGEIF(表格1_3[[#This Row],[複評]:[複評10]],"&lt;&gt;")</f>
        <v>#DIV/0!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>
      <c r="A29" s="5" t="s">
        <v>154</v>
      </c>
      <c r="B29" s="4" t="s">
        <v>27</v>
      </c>
      <c r="C29" s="6" t="s">
        <v>266</v>
      </c>
      <c r="D29" s="4" t="s">
        <v>283</v>
      </c>
      <c r="E29" s="8" t="e">
        <f>AVERAGEIF(表格1_3[[#This Row],[部內分數]:[部內分數11]],"&lt;&gt;")</f>
        <v>#DIV/0!</v>
      </c>
      <c r="F29" s="3" t="e">
        <f>AVERAGEIF(表格1_3[[#This Row],[跨共評]:[跨共評10]],"&lt;&gt;")</f>
        <v>#DIV/0!</v>
      </c>
      <c r="G29" s="3" t="e">
        <f>AVERAGEIF(表格1_3[[#This Row],[複評]:[複評10]],"&lt;&gt;")</f>
        <v>#DIV/0!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>
      <c r="A30" s="5" t="s">
        <v>156</v>
      </c>
      <c r="B30" s="4" t="s">
        <v>29</v>
      </c>
      <c r="C30" s="6" t="s">
        <v>266</v>
      </c>
      <c r="D30" s="4" t="s">
        <v>283</v>
      </c>
      <c r="E30" s="8" t="e">
        <f>AVERAGEIF(表格1_3[[#This Row],[部內分數]:[部內分數11]],"&lt;&gt;")</f>
        <v>#DIV/0!</v>
      </c>
      <c r="F30" s="3" t="e">
        <f>AVERAGEIF(表格1_3[[#This Row],[跨共評]:[跨共評10]],"&lt;&gt;")</f>
        <v>#DIV/0!</v>
      </c>
      <c r="G30" s="3" t="e">
        <f>AVERAGEIF(表格1_3[[#This Row],[複評]:[複評10]],"&lt;&gt;")</f>
        <v>#DIV/0!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>
      <c r="A31" s="5" t="s">
        <v>155</v>
      </c>
      <c r="B31" s="4" t="s">
        <v>28</v>
      </c>
      <c r="C31" s="6" t="s">
        <v>266</v>
      </c>
      <c r="D31" s="4" t="s">
        <v>283</v>
      </c>
      <c r="E31" s="8" t="e">
        <f>AVERAGEIF(表格1_3[[#This Row],[部內分數]:[部內分數11]],"&lt;&gt;")</f>
        <v>#DIV/0!</v>
      </c>
      <c r="F31" s="3" t="e">
        <f>AVERAGEIF(表格1_3[[#This Row],[跨共評]:[跨共評10]],"&lt;&gt;")</f>
        <v>#DIV/0!</v>
      </c>
      <c r="G31" s="3" t="e">
        <f>AVERAGEIF(表格1_3[[#This Row],[複評]:[複評10]],"&lt;&gt;")</f>
        <v>#DIV/0!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>
      <c r="A32" s="5" t="s">
        <v>158</v>
      </c>
      <c r="B32" s="4" t="s">
        <v>31</v>
      </c>
      <c r="C32" s="6" t="s">
        <v>266</v>
      </c>
      <c r="D32" s="4" t="s">
        <v>283</v>
      </c>
      <c r="E32" s="8" t="e">
        <f>AVERAGEIF(表格1_3[[#This Row],[部內分數]:[部內分數11]],"&lt;&gt;")</f>
        <v>#DIV/0!</v>
      </c>
      <c r="F32" s="3" t="e">
        <f>AVERAGEIF(表格1_3[[#This Row],[跨共評]:[跨共評10]],"&lt;&gt;")</f>
        <v>#DIV/0!</v>
      </c>
      <c r="G32" s="3" t="e">
        <f>AVERAGEIF(表格1_3[[#This Row],[複評]:[複評10]],"&lt;&gt;")</f>
        <v>#DIV/0!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>
      <c r="A33" s="5" t="s">
        <v>160</v>
      </c>
      <c r="B33" s="4"/>
      <c r="C33" s="6"/>
      <c r="D33" s="4"/>
      <c r="E33" s="8" t="e">
        <f>AVERAGEIF(表格1_3[[#This Row],[部內分數]:[部內分數11]],"&lt;&gt;")</f>
        <v>#DIV/0!</v>
      </c>
      <c r="F33" s="3" t="e">
        <f>AVERAGEIF(表格1_3[[#This Row],[跨共評]:[跨共評10]],"&lt;&gt;")</f>
        <v>#DIV/0!</v>
      </c>
      <c r="G33" s="3" t="e">
        <f>AVERAGEIF(表格1_3[[#This Row],[複評]:[複評10]],"&lt;&gt;")</f>
        <v>#DIV/0!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>
      <c r="A34" s="5" t="s">
        <v>159</v>
      </c>
      <c r="B34" s="4" t="s">
        <v>32</v>
      </c>
      <c r="C34" s="6" t="s">
        <v>266</v>
      </c>
      <c r="D34" s="4" t="s">
        <v>283</v>
      </c>
      <c r="E34" s="8" t="e">
        <f>AVERAGEIF(表格1_3[[#This Row],[部內分數]:[部內分數11]],"&lt;&gt;")</f>
        <v>#DIV/0!</v>
      </c>
      <c r="F34" s="3" t="e">
        <f>AVERAGEIF(表格1_3[[#This Row],[跨共評]:[跨共評10]],"&lt;&gt;")</f>
        <v>#DIV/0!</v>
      </c>
      <c r="G34" s="3" t="e">
        <f>AVERAGEIF(表格1_3[[#This Row],[複評]:[複評10]],"&lt;&gt;")</f>
        <v>#DIV/0!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>
      <c r="A35" s="5" t="s">
        <v>161</v>
      </c>
      <c r="B35" s="4" t="s">
        <v>34</v>
      </c>
      <c r="C35" s="6" t="s">
        <v>266</v>
      </c>
      <c r="D35" s="4" t="s">
        <v>283</v>
      </c>
      <c r="E35" s="8" t="e">
        <f>AVERAGEIF(表格1_3[[#This Row],[部內分數]:[部內分數11]],"&lt;&gt;")</f>
        <v>#DIV/0!</v>
      </c>
      <c r="F35" s="3" t="e">
        <f>AVERAGEIF(表格1_3[[#This Row],[跨共評]:[跨共評10]],"&lt;&gt;")</f>
        <v>#DIV/0!</v>
      </c>
      <c r="G35" s="3" t="e">
        <f>AVERAGEIF(表格1_3[[#This Row],[複評]:[複評10]],"&lt;&gt;")</f>
        <v>#DIV/0!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>
      <c r="A36" s="5" t="s">
        <v>314</v>
      </c>
      <c r="B36" s="4" t="s">
        <v>315</v>
      </c>
      <c r="C36" s="6" t="s">
        <v>266</v>
      </c>
      <c r="D36" s="4" t="s">
        <v>283</v>
      </c>
      <c r="E36" s="8" t="e">
        <f>AVERAGEIF(表格1_3[[#This Row],[部內分數]:[部內分數11]],"&lt;&gt;")</f>
        <v>#DIV/0!</v>
      </c>
      <c r="F36" s="3" t="e">
        <f>AVERAGEIF(表格1_3[[#This Row],[跨共評]:[跨共評10]],"&lt;&gt;")</f>
        <v>#DIV/0!</v>
      </c>
      <c r="G36" s="3" t="e">
        <f>AVERAGEIF(表格1_3[[#This Row],[複評]:[複評10]],"&lt;&gt;")</f>
        <v>#DIV/0!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>
      <c r="A37" s="5" t="s">
        <v>162</v>
      </c>
      <c r="B37" s="4" t="s">
        <v>35</v>
      </c>
      <c r="C37" s="6" t="s">
        <v>266</v>
      </c>
      <c r="D37" s="4" t="s">
        <v>286</v>
      </c>
      <c r="E37" s="8" t="e">
        <f>AVERAGEIF(表格1_3[[#This Row],[部內分數]:[部內分數11]],"&lt;&gt;")</f>
        <v>#DIV/0!</v>
      </c>
      <c r="F37" s="3" t="e">
        <f>AVERAGEIF(表格1_3[[#This Row],[跨共評]:[跨共評10]],"&lt;&gt;")</f>
        <v>#DIV/0!</v>
      </c>
      <c r="G37" s="3" t="e">
        <f>AVERAGEIF(表格1_3[[#This Row],[複評]:[複評10]],"&lt;&gt;")</f>
        <v>#DIV/0!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>
      <c r="A38" s="5" t="s">
        <v>163</v>
      </c>
      <c r="B38" s="4" t="s">
        <v>36</v>
      </c>
      <c r="C38" s="6" t="s">
        <v>267</v>
      </c>
      <c r="D38" s="4" t="s">
        <v>283</v>
      </c>
      <c r="E38" s="8" t="e">
        <f>AVERAGEIF(表格1_3[[#This Row],[部內分數]:[部內分數11]],"&lt;&gt;")</f>
        <v>#DIV/0!</v>
      </c>
      <c r="F38" s="3" t="e">
        <f>AVERAGEIF(表格1_3[[#This Row],[跨共評]:[跨共評10]],"&lt;&gt;")</f>
        <v>#DIV/0!</v>
      </c>
      <c r="G38" s="3" t="e">
        <f>AVERAGEIF(表格1_3[[#This Row],[複評]:[複評10]],"&lt;&gt;")</f>
        <v>#DIV/0!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>
      <c r="A39" s="5" t="s">
        <v>165</v>
      </c>
      <c r="B39" s="4" t="s">
        <v>38</v>
      </c>
      <c r="C39" s="6" t="s">
        <v>267</v>
      </c>
      <c r="D39" s="4" t="s">
        <v>286</v>
      </c>
      <c r="E39" s="8" t="e">
        <f>AVERAGEIF(表格1_3[[#This Row],[部內分數]:[部內分數11]],"&lt;&gt;")</f>
        <v>#DIV/0!</v>
      </c>
      <c r="F39" s="3" t="e">
        <f>AVERAGEIF(表格1_3[[#This Row],[跨共評]:[跨共評10]],"&lt;&gt;")</f>
        <v>#DIV/0!</v>
      </c>
      <c r="G39" s="3" t="e">
        <f>AVERAGEIF(表格1_3[[#This Row],[複評]:[複評10]],"&lt;&gt;")</f>
        <v>#DIV/0!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>
      <c r="A40" s="5" t="s">
        <v>164</v>
      </c>
      <c r="B40" s="4" t="s">
        <v>37</v>
      </c>
      <c r="C40" s="6" t="s">
        <v>267</v>
      </c>
      <c r="D40" s="4" t="s">
        <v>285</v>
      </c>
      <c r="E40" s="8" t="e">
        <f>AVERAGEIF(表格1_3[[#This Row],[部內分數]:[部內分數11]],"&lt;&gt;")</f>
        <v>#DIV/0!</v>
      </c>
      <c r="F40" s="3" t="e">
        <f>AVERAGEIF(表格1_3[[#This Row],[跨共評]:[跨共評10]],"&lt;&gt;")</f>
        <v>#DIV/0!</v>
      </c>
      <c r="G40" s="3" t="e">
        <f>AVERAGEIF(表格1_3[[#This Row],[複評]:[複評10]],"&lt;&gt;")</f>
        <v>#DIV/0!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>
      <c r="A41" s="5" t="s">
        <v>166</v>
      </c>
      <c r="B41" s="4" t="s">
        <v>39</v>
      </c>
      <c r="C41" s="6" t="s">
        <v>267</v>
      </c>
      <c r="D41" s="4" t="s">
        <v>283</v>
      </c>
      <c r="E41" s="8" t="e">
        <f>AVERAGEIF(表格1_3[[#This Row],[部內分數]:[部內分數11]],"&lt;&gt;")</f>
        <v>#DIV/0!</v>
      </c>
      <c r="F41" s="3" t="e">
        <f>AVERAGEIF(表格1_3[[#This Row],[跨共評]:[跨共評10]],"&lt;&gt;")</f>
        <v>#DIV/0!</v>
      </c>
      <c r="G41" s="3" t="e">
        <f>AVERAGEIF(表格1_3[[#This Row],[複評]:[複評10]],"&lt;&gt;")</f>
        <v>#DIV/0!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>
      <c r="A42" s="5" t="s">
        <v>167</v>
      </c>
      <c r="B42" s="4" t="s">
        <v>40</v>
      </c>
      <c r="C42" s="6" t="s">
        <v>267</v>
      </c>
      <c r="D42" s="4" t="s">
        <v>283</v>
      </c>
      <c r="E42" s="8" t="e">
        <f>AVERAGEIF(表格1_3[[#This Row],[部內分數]:[部內分數11]],"&lt;&gt;")</f>
        <v>#DIV/0!</v>
      </c>
      <c r="F42" s="3" t="e">
        <f>AVERAGEIF(表格1_3[[#This Row],[跨共評]:[跨共評10]],"&lt;&gt;")</f>
        <v>#DIV/0!</v>
      </c>
      <c r="G42" s="3" t="e">
        <f>AVERAGEIF(表格1_3[[#This Row],[複評]:[複評10]],"&lt;&gt;")</f>
        <v>#DIV/0!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>
      <c r="A43" s="5" t="s">
        <v>168</v>
      </c>
      <c r="B43" s="4" t="s">
        <v>41</v>
      </c>
      <c r="C43" s="6" t="s">
        <v>267</v>
      </c>
      <c r="D43" s="4" t="s">
        <v>283</v>
      </c>
      <c r="E43" s="8" t="e">
        <f>AVERAGEIF(表格1_3[[#This Row],[部內分數]:[部內分數11]],"&lt;&gt;")</f>
        <v>#DIV/0!</v>
      </c>
      <c r="F43" s="3" t="e">
        <f>AVERAGEIF(表格1_3[[#This Row],[跨共評]:[跨共評10]],"&lt;&gt;")</f>
        <v>#DIV/0!</v>
      </c>
      <c r="G43" s="3" t="e">
        <f>AVERAGEIF(表格1_3[[#This Row],[複評]:[複評10]],"&lt;&gt;")</f>
        <v>#DIV/0!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>
      <c r="A44" s="5" t="s">
        <v>169</v>
      </c>
      <c r="B44" s="4" t="s">
        <v>42</v>
      </c>
      <c r="C44" s="6" t="s">
        <v>268</v>
      </c>
      <c r="D44" s="4" t="s">
        <v>287</v>
      </c>
      <c r="E44" s="8" t="e">
        <f>AVERAGEIF(表格1_3[[#This Row],[部內分數]:[部內分數11]],"&lt;&gt;")</f>
        <v>#DIV/0!</v>
      </c>
      <c r="F44" s="3" t="e">
        <f>AVERAGEIF(表格1_3[[#This Row],[跨共評]:[跨共評10]],"&lt;&gt;")</f>
        <v>#DIV/0!</v>
      </c>
      <c r="G44" s="3" t="e">
        <f>AVERAGEIF(表格1_3[[#This Row],[複評]:[複評10]],"&lt;&gt;")</f>
        <v>#DIV/0!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>
      <c r="A45" s="5" t="s">
        <v>171</v>
      </c>
      <c r="B45" s="4" t="s">
        <v>44</v>
      </c>
      <c r="C45" s="6" t="s">
        <v>268</v>
      </c>
      <c r="D45" s="4" t="s">
        <v>287</v>
      </c>
      <c r="E45" s="8" t="e">
        <f>AVERAGEIF(表格1_3[[#This Row],[部內分數]:[部內分數11]],"&lt;&gt;")</f>
        <v>#DIV/0!</v>
      </c>
      <c r="F45" s="3" t="e">
        <f>AVERAGEIF(表格1_3[[#This Row],[跨共評]:[跨共評10]],"&lt;&gt;")</f>
        <v>#DIV/0!</v>
      </c>
      <c r="G45" s="3" t="e">
        <f>AVERAGEIF(表格1_3[[#This Row],[複評]:[複評10]],"&lt;&gt;")</f>
        <v>#DIV/0!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>
      <c r="A46" s="5" t="s">
        <v>172</v>
      </c>
      <c r="B46" s="4"/>
      <c r="C46" s="6"/>
      <c r="D46" s="4"/>
      <c r="E46" s="8" t="e">
        <f>AVERAGEIF(表格1_3[[#This Row],[部內分數]:[部內分數11]],"&lt;&gt;")</f>
        <v>#DIV/0!</v>
      </c>
      <c r="F46" s="3" t="e">
        <f>AVERAGEIF(表格1_3[[#This Row],[跨共評]:[跨共評10]],"&lt;&gt;")</f>
        <v>#DIV/0!</v>
      </c>
      <c r="G46" s="3" t="e">
        <f>AVERAGEIF(表格1_3[[#This Row],[複評]:[複評10]],"&lt;&gt;")</f>
        <v>#DIV/0!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>
      <c r="A47" s="5" t="s">
        <v>173</v>
      </c>
      <c r="B47" s="4" t="s">
        <v>46</v>
      </c>
      <c r="C47" s="6" t="s">
        <v>268</v>
      </c>
      <c r="D47" s="4" t="s">
        <v>287</v>
      </c>
      <c r="E47" s="8" t="e">
        <f>AVERAGEIF(表格1_3[[#This Row],[部內分數]:[部內分數11]],"&lt;&gt;")</f>
        <v>#DIV/0!</v>
      </c>
      <c r="F47" s="3" t="e">
        <f>AVERAGEIF(表格1_3[[#This Row],[跨共評]:[跨共評10]],"&lt;&gt;")</f>
        <v>#DIV/0!</v>
      </c>
      <c r="G47" s="3" t="e">
        <f>AVERAGEIF(表格1_3[[#This Row],[複評]:[複評10]],"&lt;&gt;")</f>
        <v>#DIV/0!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>
      <c r="A48" s="5" t="s">
        <v>170</v>
      </c>
      <c r="B48" s="4"/>
      <c r="C48" s="6"/>
      <c r="D48" s="4"/>
      <c r="E48" s="8" t="e">
        <f>AVERAGEIF(表格1_3[[#This Row],[部內分數]:[部內分數11]],"&lt;&gt;")</f>
        <v>#DIV/0!</v>
      </c>
      <c r="F48" s="3" t="e">
        <f>AVERAGEIF(表格1_3[[#This Row],[跨共評]:[跨共評10]],"&lt;&gt;")</f>
        <v>#DIV/0!</v>
      </c>
      <c r="G48" s="3" t="e">
        <f>AVERAGEIF(表格1_3[[#This Row],[複評]:[複評10]],"&lt;&gt;")</f>
        <v>#DIV/0!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26">
      <c r="A49" s="5" t="s">
        <v>175</v>
      </c>
      <c r="B49" s="4" t="s">
        <v>48</v>
      </c>
      <c r="C49" s="6" t="s">
        <v>269</v>
      </c>
      <c r="D49" s="4" t="s">
        <v>290</v>
      </c>
      <c r="E49" s="8" t="e">
        <f>AVERAGEIF(表格1_3[[#This Row],[部內分數]:[部內分數11]],"&lt;&gt;")</f>
        <v>#DIV/0!</v>
      </c>
      <c r="F49" s="3" t="e">
        <f>AVERAGEIF(表格1_3[[#This Row],[跨共評]:[跨共評10]],"&lt;&gt;")</f>
        <v>#DIV/0!</v>
      </c>
      <c r="G49" s="3" t="e">
        <f>AVERAGEIF(表格1_3[[#This Row],[複評]:[複評10]],"&lt;&gt;")</f>
        <v>#DIV/0!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>
      <c r="A50" s="5" t="s">
        <v>176</v>
      </c>
      <c r="B50" s="4" t="s">
        <v>49</v>
      </c>
      <c r="C50" s="6" t="s">
        <v>269</v>
      </c>
      <c r="D50" s="4" t="s">
        <v>283</v>
      </c>
      <c r="E50" s="8" t="e">
        <f>AVERAGEIF(表格1_3[[#This Row],[部內分數]:[部內分數11]],"&lt;&gt;")</f>
        <v>#DIV/0!</v>
      </c>
      <c r="F50" s="3" t="e">
        <f>AVERAGEIF(表格1_3[[#This Row],[跨共評]:[跨共評10]],"&lt;&gt;")</f>
        <v>#DIV/0!</v>
      </c>
      <c r="G50" s="3" t="e">
        <f>AVERAGEIF(表格1_3[[#This Row],[複評]:[複評10]],"&lt;&gt;")</f>
        <v>#DIV/0!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>
      <c r="A51" s="5" t="s">
        <v>177</v>
      </c>
      <c r="B51" s="4" t="s">
        <v>50</v>
      </c>
      <c r="C51" s="6" t="s">
        <v>269</v>
      </c>
      <c r="D51" s="4" t="s">
        <v>291</v>
      </c>
      <c r="E51" s="8" t="e">
        <f>AVERAGEIF(表格1_3[[#This Row],[部內分數]:[部內分數11]],"&lt;&gt;")</f>
        <v>#DIV/0!</v>
      </c>
      <c r="F51" s="3" t="e">
        <f>AVERAGEIF(表格1_3[[#This Row],[跨共評]:[跨共評10]],"&lt;&gt;")</f>
        <v>#DIV/0!</v>
      </c>
      <c r="G51" s="3" t="e">
        <f>AVERAGEIF(表格1_3[[#This Row],[複評]:[複評10]],"&lt;&gt;")</f>
        <v>#DIV/0!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>
      <c r="A52" s="5" t="s">
        <v>174</v>
      </c>
      <c r="B52" s="4" t="s">
        <v>47</v>
      </c>
      <c r="C52" s="6" t="s">
        <v>269</v>
      </c>
      <c r="D52" s="4" t="s">
        <v>289</v>
      </c>
      <c r="E52" s="8" t="e">
        <f>AVERAGEIF(表格1_3[[#This Row],[部內分數]:[部內分數11]],"&lt;&gt;")</f>
        <v>#DIV/0!</v>
      </c>
      <c r="F52" s="3" t="e">
        <f>AVERAGEIF(表格1_3[[#This Row],[跨共評]:[跨共評10]],"&lt;&gt;")</f>
        <v>#DIV/0!</v>
      </c>
      <c r="G52" s="3" t="e">
        <f>AVERAGEIF(表格1_3[[#This Row],[複評]:[複評10]],"&lt;&gt;")</f>
        <v>#DIV/0!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>
      <c r="A53" s="5" t="s">
        <v>316</v>
      </c>
      <c r="B53" s="4"/>
      <c r="C53" s="6"/>
      <c r="D53" s="4"/>
      <c r="E53" s="8" t="e">
        <f>AVERAGEIF(表格1_3[[#This Row],[部內分數]:[部內分數11]],"&lt;&gt;")</f>
        <v>#DIV/0!</v>
      </c>
      <c r="F53" s="3" t="e">
        <f>AVERAGEIF(表格1_3[[#This Row],[跨共評]:[跨共評10]],"&lt;&gt;")</f>
        <v>#DIV/0!</v>
      </c>
      <c r="G53" s="3" t="e">
        <f>AVERAGEIF(表格1_3[[#This Row],[複評]:[複評10]],"&lt;&gt;")</f>
        <v>#DIV/0!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>
      <c r="A54" s="5" t="s">
        <v>178</v>
      </c>
      <c r="B54" s="4" t="s">
        <v>51</v>
      </c>
      <c r="C54" s="6" t="s">
        <v>269</v>
      </c>
      <c r="D54" s="4" t="s">
        <v>5</v>
      </c>
      <c r="E54" s="8" t="e">
        <f>AVERAGEIF(表格1_3[[#This Row],[部內分數]:[部內分數11]],"&lt;&gt;")</f>
        <v>#DIV/0!</v>
      </c>
      <c r="F54" s="3" t="e">
        <f>AVERAGEIF(表格1_3[[#This Row],[跨共評]:[跨共評10]],"&lt;&gt;")</f>
        <v>#DIV/0!</v>
      </c>
      <c r="G54" s="3" t="e">
        <f>AVERAGEIF(表格1_3[[#This Row],[複評]:[複評10]],"&lt;&gt;")</f>
        <v>#DIV/0!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>
      <c r="A55" s="5" t="s">
        <v>182</v>
      </c>
      <c r="B55" s="4" t="s">
        <v>55</v>
      </c>
      <c r="C55" s="6" t="s">
        <v>269</v>
      </c>
      <c r="D55" s="4" t="s">
        <v>5</v>
      </c>
      <c r="E55" s="8" t="e">
        <f>AVERAGEIF(表格1_3[[#This Row],[部內分數]:[部內分數11]],"&lt;&gt;")</f>
        <v>#DIV/0!</v>
      </c>
      <c r="F55" s="3" t="e">
        <f>AVERAGEIF(表格1_3[[#This Row],[跨共評]:[跨共評10]],"&lt;&gt;")</f>
        <v>#DIV/0!</v>
      </c>
      <c r="G55" s="3" t="e">
        <f>AVERAGEIF(表格1_3[[#This Row],[複評]:[複評10]],"&lt;&gt;")</f>
        <v>#DIV/0!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>
      <c r="A56" s="5" t="s">
        <v>181</v>
      </c>
      <c r="B56" s="4" t="s">
        <v>54</v>
      </c>
      <c r="C56" s="6" t="s">
        <v>269</v>
      </c>
      <c r="D56" s="4" t="s">
        <v>281</v>
      </c>
      <c r="E56" s="8" t="e">
        <f>AVERAGEIF(表格1_3[[#This Row],[部內分數]:[部內分數11]],"&lt;&gt;")</f>
        <v>#DIV/0!</v>
      </c>
      <c r="F56" s="3" t="e">
        <f>AVERAGEIF(表格1_3[[#This Row],[跨共評]:[跨共評10]],"&lt;&gt;")</f>
        <v>#DIV/0!</v>
      </c>
      <c r="G56" s="3" t="e">
        <f>AVERAGEIF(表格1_3[[#This Row],[複評]:[複評10]],"&lt;&gt;")</f>
        <v>#DIV/0!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>
      <c r="A57" s="5" t="s">
        <v>179</v>
      </c>
      <c r="B57" s="4"/>
      <c r="C57" s="6"/>
      <c r="D57" s="4"/>
      <c r="E57" s="8" t="e">
        <f>AVERAGEIF(表格1_3[[#This Row],[部內分數]:[部內分數11]],"&lt;&gt;")</f>
        <v>#DIV/0!</v>
      </c>
      <c r="F57" s="3" t="e">
        <f>AVERAGEIF(表格1_3[[#This Row],[跨共評]:[跨共評10]],"&lt;&gt;")</f>
        <v>#DIV/0!</v>
      </c>
      <c r="G57" s="3" t="e">
        <f>AVERAGEIF(表格1_3[[#This Row],[複評]:[複評10]],"&lt;&gt;")</f>
        <v>#DIV/0!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>
      <c r="A58" s="5" t="s">
        <v>180</v>
      </c>
      <c r="B58" s="4" t="s">
        <v>53</v>
      </c>
      <c r="C58" s="6" t="s">
        <v>269</v>
      </c>
      <c r="D58" s="4" t="s">
        <v>292</v>
      </c>
      <c r="E58" s="8" t="e">
        <f>AVERAGEIF(表格1_3[[#This Row],[部內分數]:[部內分數11]],"&lt;&gt;")</f>
        <v>#DIV/0!</v>
      </c>
      <c r="F58" s="3" t="e">
        <f>AVERAGEIF(表格1_3[[#This Row],[跨共評]:[跨共評10]],"&lt;&gt;")</f>
        <v>#DIV/0!</v>
      </c>
      <c r="G58" s="3" t="e">
        <f>AVERAGEIF(表格1_3[[#This Row],[複評]:[複評10]],"&lt;&gt;")</f>
        <v>#DIV/0!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>
      <c r="A59" s="5" t="s">
        <v>189</v>
      </c>
      <c r="B59" s="4" t="s">
        <v>62</v>
      </c>
      <c r="C59" s="6" t="s">
        <v>269</v>
      </c>
      <c r="D59" s="4" t="s">
        <v>293</v>
      </c>
      <c r="E59" s="8" t="e">
        <f>AVERAGEIF(表格1_3[[#This Row],[部內分數]:[部內分數11]],"&lt;&gt;")</f>
        <v>#DIV/0!</v>
      </c>
      <c r="F59" s="3" t="e">
        <f>AVERAGEIF(表格1_3[[#This Row],[跨共評]:[跨共評10]],"&lt;&gt;")</f>
        <v>#DIV/0!</v>
      </c>
      <c r="G59" s="3" t="e">
        <f>AVERAGEIF(表格1_3[[#This Row],[複評]:[複評10]],"&lt;&gt;")</f>
        <v>#DIV/0!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>
      <c r="A60" s="5" t="s">
        <v>187</v>
      </c>
      <c r="B60" s="4" t="s">
        <v>60</v>
      </c>
      <c r="C60" s="6" t="s">
        <v>269</v>
      </c>
      <c r="D60" s="4" t="s">
        <v>283</v>
      </c>
      <c r="E60" s="8" t="e">
        <f>AVERAGEIF(表格1_3[[#This Row],[部內分數]:[部內分數11]],"&lt;&gt;")</f>
        <v>#DIV/0!</v>
      </c>
      <c r="F60" s="3" t="e">
        <f>AVERAGEIF(表格1_3[[#This Row],[跨共評]:[跨共評10]],"&lt;&gt;")</f>
        <v>#DIV/0!</v>
      </c>
      <c r="G60" s="3" t="e">
        <f>AVERAGEIF(表格1_3[[#This Row],[複評]:[複評10]],"&lt;&gt;")</f>
        <v>#DIV/0!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>
      <c r="A61" s="5" t="s">
        <v>188</v>
      </c>
      <c r="B61" s="4" t="s">
        <v>61</v>
      </c>
      <c r="C61" s="6" t="s">
        <v>269</v>
      </c>
      <c r="D61" s="4" t="s">
        <v>283</v>
      </c>
      <c r="E61" s="8" t="e">
        <f>AVERAGEIF(表格1_3[[#This Row],[部內分數]:[部內分數11]],"&lt;&gt;")</f>
        <v>#DIV/0!</v>
      </c>
      <c r="F61" s="3" t="e">
        <f>AVERAGEIF(表格1_3[[#This Row],[跨共評]:[跨共評10]],"&lt;&gt;")</f>
        <v>#DIV/0!</v>
      </c>
      <c r="G61" s="3" t="e">
        <f>AVERAGEIF(表格1_3[[#This Row],[複評]:[複評10]],"&lt;&gt;")</f>
        <v>#DIV/0!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>
      <c r="A62" s="5" t="s">
        <v>183</v>
      </c>
      <c r="B62" s="4" t="s">
        <v>56</v>
      </c>
      <c r="C62" s="6" t="s">
        <v>269</v>
      </c>
      <c r="D62" s="4" t="s">
        <v>283</v>
      </c>
      <c r="E62" s="8" t="e">
        <f>AVERAGEIF(表格1_3[[#This Row],[部內分數]:[部內分數11]],"&lt;&gt;")</f>
        <v>#DIV/0!</v>
      </c>
      <c r="F62" s="3" t="e">
        <f>AVERAGEIF(表格1_3[[#This Row],[跨共評]:[跨共評10]],"&lt;&gt;")</f>
        <v>#DIV/0!</v>
      </c>
      <c r="G62" s="3" t="e">
        <f>AVERAGEIF(表格1_3[[#This Row],[複評]:[複評10]],"&lt;&gt;")</f>
        <v>#DIV/0!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>
      <c r="A63" s="5" t="s">
        <v>184</v>
      </c>
      <c r="B63" s="4" t="s">
        <v>57</v>
      </c>
      <c r="C63" s="6" t="s">
        <v>269</v>
      </c>
      <c r="D63" s="4" t="s">
        <v>283</v>
      </c>
      <c r="E63" s="8" t="e">
        <f>AVERAGEIF(表格1_3[[#This Row],[部內分數]:[部內分數11]],"&lt;&gt;")</f>
        <v>#DIV/0!</v>
      </c>
      <c r="F63" s="3" t="e">
        <f>AVERAGEIF(表格1_3[[#This Row],[跨共評]:[跨共評10]],"&lt;&gt;")</f>
        <v>#DIV/0!</v>
      </c>
      <c r="G63" s="3" t="e">
        <f>AVERAGEIF(表格1_3[[#This Row],[複評]:[複評10]],"&lt;&gt;")</f>
        <v>#DIV/0!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>
      <c r="A64" s="5" t="s">
        <v>185</v>
      </c>
      <c r="B64" s="4" t="s">
        <v>58</v>
      </c>
      <c r="C64" s="6" t="s">
        <v>269</v>
      </c>
      <c r="D64" s="4" t="s">
        <v>285</v>
      </c>
      <c r="E64" s="8" t="e">
        <f>AVERAGEIF(表格1_3[[#This Row],[部內分數]:[部內分數11]],"&lt;&gt;")</f>
        <v>#DIV/0!</v>
      </c>
      <c r="F64" s="3" t="e">
        <f>AVERAGEIF(表格1_3[[#This Row],[跨共評]:[跨共評10]],"&lt;&gt;")</f>
        <v>#DIV/0!</v>
      </c>
      <c r="G64" s="3" t="e">
        <f>AVERAGEIF(表格1_3[[#This Row],[複評]:[複評10]],"&lt;&gt;")</f>
        <v>#DIV/0!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>
      <c r="A65" s="5" t="s">
        <v>186</v>
      </c>
      <c r="B65" s="4" t="s">
        <v>59</v>
      </c>
      <c r="C65" s="6" t="s">
        <v>269</v>
      </c>
      <c r="D65" s="4" t="s">
        <v>293</v>
      </c>
      <c r="E65" s="8" t="e">
        <f>AVERAGEIF(表格1_3[[#This Row],[部內分數]:[部內分數11]],"&lt;&gt;")</f>
        <v>#DIV/0!</v>
      </c>
      <c r="F65" s="3" t="e">
        <f>AVERAGEIF(表格1_3[[#This Row],[跨共評]:[跨共評10]],"&lt;&gt;")</f>
        <v>#DIV/0!</v>
      </c>
      <c r="G65" s="3" t="e">
        <f>AVERAGEIF(表格1_3[[#This Row],[複評]:[複評10]],"&lt;&gt;")</f>
        <v>#DIV/0!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>
      <c r="A66" s="5" t="s">
        <v>196</v>
      </c>
      <c r="B66" s="4" t="s">
        <v>69</v>
      </c>
      <c r="C66" s="6" t="s">
        <v>270</v>
      </c>
      <c r="D66" s="4" t="s">
        <v>5</v>
      </c>
      <c r="E66" s="8" t="e">
        <f>AVERAGEIF(表格1_3[[#This Row],[部內分數]:[部內分數11]],"&lt;&gt;")</f>
        <v>#DIV/0!</v>
      </c>
      <c r="F66" s="3" t="e">
        <f>AVERAGEIF(表格1_3[[#This Row],[跨共評]:[跨共評10]],"&lt;&gt;")</f>
        <v>#DIV/0!</v>
      </c>
      <c r="G66" s="3" t="e">
        <f>AVERAGEIF(表格1_3[[#This Row],[複評]:[複評10]],"&lt;&gt;")</f>
        <v>#DIV/0!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>
      <c r="A67" s="5" t="s">
        <v>197</v>
      </c>
      <c r="B67" s="4" t="s">
        <v>70</v>
      </c>
      <c r="C67" s="6" t="s">
        <v>270</v>
      </c>
      <c r="D67" s="4" t="s">
        <v>283</v>
      </c>
      <c r="E67" s="8" t="e">
        <f>AVERAGEIF(表格1_3[[#This Row],[部內分數]:[部內分數11]],"&lt;&gt;")</f>
        <v>#DIV/0!</v>
      </c>
      <c r="F67" s="3" t="e">
        <f>AVERAGEIF(表格1_3[[#This Row],[跨共評]:[跨共評10]],"&lt;&gt;")</f>
        <v>#DIV/0!</v>
      </c>
      <c r="G67" s="3" t="e">
        <f>AVERAGEIF(表格1_3[[#This Row],[複評]:[複評10]],"&lt;&gt;")</f>
        <v>#DIV/0!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>
      <c r="A68" s="5" t="s">
        <v>190</v>
      </c>
      <c r="B68" s="4" t="s">
        <v>63</v>
      </c>
      <c r="C68" s="6" t="s">
        <v>270</v>
      </c>
      <c r="D68" s="4" t="s">
        <v>286</v>
      </c>
      <c r="E68" s="8" t="e">
        <f>AVERAGEIF(表格1_3[[#This Row],[部內分數]:[部內分數11]],"&lt;&gt;")</f>
        <v>#DIV/0!</v>
      </c>
      <c r="F68" s="3" t="e">
        <f>AVERAGEIF(表格1_3[[#This Row],[跨共評]:[跨共評10]],"&lt;&gt;")</f>
        <v>#DIV/0!</v>
      </c>
      <c r="G68" s="3" t="e">
        <f>AVERAGEIF(表格1_3[[#This Row],[複評]:[複評10]],"&lt;&gt;")</f>
        <v>#DIV/0!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>
      <c r="A69" s="5" t="s">
        <v>191</v>
      </c>
      <c r="B69" s="4"/>
      <c r="C69" s="6"/>
      <c r="D69" s="4"/>
      <c r="E69" s="8" t="e">
        <f>AVERAGEIF(表格1_3[[#This Row],[部內分數]:[部內分數11]],"&lt;&gt;")</f>
        <v>#DIV/0!</v>
      </c>
      <c r="F69" s="3" t="e">
        <f>AVERAGEIF(表格1_3[[#This Row],[跨共評]:[跨共評10]],"&lt;&gt;")</f>
        <v>#DIV/0!</v>
      </c>
      <c r="G69" s="3" t="e">
        <f>AVERAGEIF(表格1_3[[#This Row],[複評]:[複評10]],"&lt;&gt;")</f>
        <v>#DIV/0!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>
      <c r="A70" s="5" t="s">
        <v>192</v>
      </c>
      <c r="B70" s="4"/>
      <c r="C70" s="6"/>
      <c r="D70" s="4"/>
      <c r="E70" s="8" t="e">
        <f>AVERAGEIF(表格1_3[[#This Row],[部內分數]:[部內分數11]],"&lt;&gt;")</f>
        <v>#DIV/0!</v>
      </c>
      <c r="F70" s="3" t="e">
        <f>AVERAGEIF(表格1_3[[#This Row],[跨共評]:[跨共評10]],"&lt;&gt;")</f>
        <v>#DIV/0!</v>
      </c>
      <c r="G70" s="3" t="e">
        <f>AVERAGEIF(表格1_3[[#This Row],[複評]:[複評10]],"&lt;&gt;")</f>
        <v>#DIV/0!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>
      <c r="A71" s="5" t="s">
        <v>194</v>
      </c>
      <c r="B71" s="4" t="s">
        <v>67</v>
      </c>
      <c r="C71" s="6" t="s">
        <v>270</v>
      </c>
      <c r="D71" s="4" t="s">
        <v>283</v>
      </c>
      <c r="E71" s="8" t="e">
        <f>AVERAGEIF(表格1_3[[#This Row],[部內分數]:[部內分數11]],"&lt;&gt;")</f>
        <v>#DIV/0!</v>
      </c>
      <c r="F71" s="3" t="e">
        <f>AVERAGEIF(表格1_3[[#This Row],[跨共評]:[跨共評10]],"&lt;&gt;")</f>
        <v>#DIV/0!</v>
      </c>
      <c r="G71" s="3" t="e">
        <f>AVERAGEIF(表格1_3[[#This Row],[複評]:[複評10]],"&lt;&gt;")</f>
        <v>#DIV/0!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>
      <c r="A72" s="5" t="s">
        <v>195</v>
      </c>
      <c r="B72" s="4" t="s">
        <v>68</v>
      </c>
      <c r="C72" s="6" t="s">
        <v>270</v>
      </c>
      <c r="D72" s="4" t="s">
        <v>283</v>
      </c>
      <c r="E72" s="8" t="e">
        <f>AVERAGEIF(表格1_3[[#This Row],[部內分數]:[部內分數11]],"&lt;&gt;")</f>
        <v>#DIV/0!</v>
      </c>
      <c r="F72" s="3" t="e">
        <f>AVERAGEIF(表格1_3[[#This Row],[跨共評]:[跨共評10]],"&lt;&gt;")</f>
        <v>#DIV/0!</v>
      </c>
      <c r="G72" s="3" t="e">
        <f>AVERAGEIF(表格1_3[[#This Row],[複評]:[複評10]],"&lt;&gt;")</f>
        <v>#DIV/0!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>
      <c r="A73" s="5" t="s">
        <v>193</v>
      </c>
      <c r="B73" s="4" t="s">
        <v>66</v>
      </c>
      <c r="C73" s="6" t="s">
        <v>270</v>
      </c>
      <c r="D73" s="4" t="s">
        <v>283</v>
      </c>
      <c r="E73" s="8" t="e">
        <f>AVERAGEIF(表格1_3[[#This Row],[部內分數]:[部內分數11]],"&lt;&gt;")</f>
        <v>#DIV/0!</v>
      </c>
      <c r="F73" s="3" t="e">
        <f>AVERAGEIF(表格1_3[[#This Row],[跨共評]:[跨共評10]],"&lt;&gt;")</f>
        <v>#DIV/0!</v>
      </c>
      <c r="G73" s="3" t="e">
        <f>AVERAGEIF(表格1_3[[#This Row],[複評]:[複評10]],"&lt;&gt;")</f>
        <v>#DIV/0!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>
      <c r="A74" s="5" t="s">
        <v>198</v>
      </c>
      <c r="B74" s="4" t="s">
        <v>71</v>
      </c>
      <c r="C74" s="6" t="s">
        <v>270</v>
      </c>
      <c r="D74" s="4" t="s">
        <v>283</v>
      </c>
      <c r="E74" s="8" t="e">
        <f>AVERAGEIF(表格1_3[[#This Row],[部內分數]:[部內分數11]],"&lt;&gt;")</f>
        <v>#DIV/0!</v>
      </c>
      <c r="F74" s="3" t="e">
        <f>AVERAGEIF(表格1_3[[#This Row],[跨共評]:[跨共評10]],"&lt;&gt;")</f>
        <v>#DIV/0!</v>
      </c>
      <c r="G74" s="3" t="e">
        <f>AVERAGEIF(表格1_3[[#This Row],[複評]:[複評10]],"&lt;&gt;")</f>
        <v>#DIV/0!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>
      <c r="A75" s="5" t="s">
        <v>318</v>
      </c>
      <c r="B75" s="4" t="s">
        <v>437</v>
      </c>
      <c r="C75" s="6" t="s">
        <v>270</v>
      </c>
      <c r="D75" s="4" t="s">
        <v>283</v>
      </c>
      <c r="E75" s="8" t="e">
        <f>AVERAGEIF(表格1_3[[#This Row],[部內分數]:[部內分數11]],"&lt;&gt;")</f>
        <v>#DIV/0!</v>
      </c>
      <c r="F75" s="3" t="e">
        <f>AVERAGEIF(表格1_3[[#This Row],[跨共評]:[跨共評10]],"&lt;&gt;")</f>
        <v>#DIV/0!</v>
      </c>
      <c r="G75" s="3" t="e">
        <f>AVERAGEIF(表格1_3[[#This Row],[複評]:[複評10]],"&lt;&gt;")</f>
        <v>#DIV/0!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26">
      <c r="A76" s="5" t="s">
        <v>319</v>
      </c>
      <c r="B76" s="4" t="s">
        <v>423</v>
      </c>
      <c r="C76" s="6" t="s">
        <v>270</v>
      </c>
      <c r="D76" s="4" t="s">
        <v>283</v>
      </c>
      <c r="E76" s="8" t="e">
        <f>AVERAGEIF(表格1_3[[#This Row],[部內分數]:[部內分數11]],"&lt;&gt;")</f>
        <v>#DIV/0!</v>
      </c>
      <c r="F76" s="3" t="e">
        <f>AVERAGEIF(表格1_3[[#This Row],[跨共評]:[跨共評10]],"&lt;&gt;")</f>
        <v>#DIV/0!</v>
      </c>
      <c r="G76" s="3" t="e">
        <f>AVERAGEIF(表格1_3[[#This Row],[複評]:[複評10]],"&lt;&gt;")</f>
        <v>#DIV/0!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>
      <c r="A77" s="5" t="s">
        <v>199</v>
      </c>
      <c r="B77" s="4" t="s">
        <v>424</v>
      </c>
      <c r="C77" s="6" t="s">
        <v>270</v>
      </c>
      <c r="D77" s="4" t="s">
        <v>283</v>
      </c>
      <c r="E77" s="8" t="e">
        <f>AVERAGEIF(表格1_3[[#This Row],[部內分數]:[部內分數11]],"&lt;&gt;")</f>
        <v>#DIV/0!</v>
      </c>
      <c r="F77" s="3" t="e">
        <f>AVERAGEIF(表格1_3[[#This Row],[跨共評]:[跨共評10]],"&lt;&gt;")</f>
        <v>#DIV/0!</v>
      </c>
      <c r="G77" s="3" t="e">
        <f>AVERAGEIF(表格1_3[[#This Row],[複評]:[複評10]],"&lt;&gt;")</f>
        <v>#DIV/0!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>
      <c r="A78" s="5" t="s">
        <v>200</v>
      </c>
      <c r="B78" s="4" t="s">
        <v>425</v>
      </c>
      <c r="C78" s="6" t="s">
        <v>270</v>
      </c>
      <c r="D78" s="4" t="s">
        <v>283</v>
      </c>
      <c r="E78" s="8" t="e">
        <f>AVERAGEIF(表格1_3[[#This Row],[部內分數]:[部內分數11]],"&lt;&gt;")</f>
        <v>#DIV/0!</v>
      </c>
      <c r="F78" s="3" t="e">
        <f>AVERAGEIF(表格1_3[[#This Row],[跨共評]:[跨共評10]],"&lt;&gt;")</f>
        <v>#DIV/0!</v>
      </c>
      <c r="G78" s="3" t="e">
        <f>AVERAGEIF(表格1_3[[#This Row],[複評]:[複評10]],"&lt;&gt;")</f>
        <v>#DIV/0!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>
      <c r="A79" s="5" t="s">
        <v>203</v>
      </c>
      <c r="B79" s="4" t="s">
        <v>73</v>
      </c>
      <c r="C79" s="6" t="s">
        <v>271</v>
      </c>
      <c r="D79" s="4" t="s">
        <v>294</v>
      </c>
      <c r="E79" s="8" t="e">
        <f>AVERAGEIF(表格1_3[[#This Row],[部內分數]:[部內分數11]],"&lt;&gt;")</f>
        <v>#DIV/0!</v>
      </c>
      <c r="F79" s="3" t="e">
        <f>AVERAGEIF(表格1_3[[#This Row],[跨共評]:[跨共評10]],"&lt;&gt;")</f>
        <v>#DIV/0!</v>
      </c>
      <c r="G79" s="3" t="e">
        <f>AVERAGEIF(表格1_3[[#This Row],[複評]:[複評10]],"&lt;&gt;")</f>
        <v>#DIV/0!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>
      <c r="A80" s="5" t="s">
        <v>202</v>
      </c>
      <c r="B80" s="4" t="s">
        <v>72</v>
      </c>
      <c r="C80" s="6" t="s">
        <v>271</v>
      </c>
      <c r="D80" s="4" t="s">
        <v>288</v>
      </c>
      <c r="E80" s="8" t="e">
        <f>AVERAGEIF(表格1_3[[#This Row],[部內分數]:[部內分數11]],"&lt;&gt;")</f>
        <v>#DIV/0!</v>
      </c>
      <c r="F80" s="3" t="e">
        <f>AVERAGEIF(表格1_3[[#This Row],[跨共評]:[跨共評10]],"&lt;&gt;")</f>
        <v>#DIV/0!</v>
      </c>
      <c r="G80" s="3" t="e">
        <f>AVERAGEIF(表格1_3[[#This Row],[複評]:[複評10]],"&lt;&gt;")</f>
        <v>#DIV/0!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>
      <c r="A81" s="5" t="s">
        <v>204</v>
      </c>
      <c r="B81" s="4" t="s">
        <v>74</v>
      </c>
      <c r="C81" s="6" t="s">
        <v>271</v>
      </c>
      <c r="D81" s="4" t="s">
        <v>4</v>
      </c>
      <c r="E81" s="8" t="e">
        <f>AVERAGEIF(表格1_3[[#This Row],[部內分數]:[部內分數11]],"&lt;&gt;")</f>
        <v>#DIV/0!</v>
      </c>
      <c r="F81" s="3" t="e">
        <f>AVERAGEIF(表格1_3[[#This Row],[跨共評]:[跨共評10]],"&lt;&gt;")</f>
        <v>#DIV/0!</v>
      </c>
      <c r="G81" s="3" t="e">
        <f>AVERAGEIF(表格1_3[[#This Row],[複評]:[複評10]],"&lt;&gt;")</f>
        <v>#DIV/0!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>
      <c r="A82" s="5" t="s">
        <v>205</v>
      </c>
      <c r="B82" s="4" t="s">
        <v>75</v>
      </c>
      <c r="C82" s="6" t="s">
        <v>271</v>
      </c>
      <c r="D82" s="4" t="s">
        <v>283</v>
      </c>
      <c r="E82" s="8" t="e">
        <f>AVERAGEIF(表格1_3[[#This Row],[部內分數]:[部內分數11]],"&lt;&gt;")</f>
        <v>#DIV/0!</v>
      </c>
      <c r="F82" s="3" t="e">
        <f>AVERAGEIF(表格1_3[[#This Row],[跨共評]:[跨共評10]],"&lt;&gt;")</f>
        <v>#DIV/0!</v>
      </c>
      <c r="G82" s="3" t="e">
        <f>AVERAGEIF(表格1_3[[#This Row],[複評]:[複評10]],"&lt;&gt;")</f>
        <v>#DIV/0!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>
      <c r="A83" s="5" t="s">
        <v>206</v>
      </c>
      <c r="B83" s="4" t="s">
        <v>76</v>
      </c>
      <c r="C83" s="6" t="s">
        <v>272</v>
      </c>
      <c r="D83" s="4" t="s">
        <v>288</v>
      </c>
      <c r="E83" s="8" t="e">
        <f>AVERAGEIF(表格1_3[[#This Row],[部內分數]:[部內分數11]],"&lt;&gt;")</f>
        <v>#DIV/0!</v>
      </c>
      <c r="F83" s="3" t="e">
        <f>AVERAGEIF(表格1_3[[#This Row],[跨共評]:[跨共評10]],"&lt;&gt;")</f>
        <v>#DIV/0!</v>
      </c>
      <c r="G83" s="3" t="e">
        <f>AVERAGEIF(表格1_3[[#This Row],[複評]:[複評10]],"&lt;&gt;")</f>
        <v>#DIV/0!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>
      <c r="A84" s="5" t="s">
        <v>207</v>
      </c>
      <c r="B84" s="4" t="s">
        <v>77</v>
      </c>
      <c r="C84" s="6" t="s">
        <v>272</v>
      </c>
      <c r="D84" s="4" t="s">
        <v>292</v>
      </c>
      <c r="E84" s="8" t="e">
        <f>AVERAGEIF(表格1_3[[#This Row],[部內分數]:[部內分數11]],"&lt;&gt;")</f>
        <v>#DIV/0!</v>
      </c>
      <c r="F84" s="3" t="e">
        <f>AVERAGEIF(表格1_3[[#This Row],[跨共評]:[跨共評10]],"&lt;&gt;")</f>
        <v>#DIV/0!</v>
      </c>
      <c r="G84" s="3" t="e">
        <f>AVERAGEIF(表格1_3[[#This Row],[複評]:[複評10]],"&lt;&gt;")</f>
        <v>#DIV/0!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>
      <c r="A85" s="5" t="s">
        <v>208</v>
      </c>
      <c r="B85" s="4" t="s">
        <v>78</v>
      </c>
      <c r="C85" s="6" t="s">
        <v>272</v>
      </c>
      <c r="D85" s="4" t="s">
        <v>293</v>
      </c>
      <c r="E85" s="8" t="e">
        <f>AVERAGEIF(表格1_3[[#This Row],[部內分數]:[部內分數11]],"&lt;&gt;")</f>
        <v>#DIV/0!</v>
      </c>
      <c r="F85" s="3" t="e">
        <f>AVERAGEIF(表格1_3[[#This Row],[跨共評]:[跨共評10]],"&lt;&gt;")</f>
        <v>#DIV/0!</v>
      </c>
      <c r="G85" s="3" t="e">
        <f>AVERAGEIF(表格1_3[[#This Row],[複評]:[複評10]],"&lt;&gt;")</f>
        <v>#DIV/0!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>
      <c r="A86" s="5" t="s">
        <v>209</v>
      </c>
      <c r="B86" s="4" t="s">
        <v>79</v>
      </c>
      <c r="C86" s="6" t="s">
        <v>273</v>
      </c>
      <c r="D86" s="4" t="s">
        <v>295</v>
      </c>
      <c r="E86" s="8" t="e">
        <f>AVERAGEIF(表格1_3[[#This Row],[部內分數]:[部內分數11]],"&lt;&gt;")</f>
        <v>#DIV/0!</v>
      </c>
      <c r="F86" s="3" t="e">
        <f>AVERAGEIF(表格1_3[[#This Row],[跨共評]:[跨共評10]],"&lt;&gt;")</f>
        <v>#DIV/0!</v>
      </c>
      <c r="G86" s="3" t="e">
        <f>AVERAGEIF(表格1_3[[#This Row],[複評]:[複評10]],"&lt;&gt;")</f>
        <v>#DIV/0!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>
      <c r="A87" s="5" t="s">
        <v>210</v>
      </c>
      <c r="B87" s="4" t="s">
        <v>80</v>
      </c>
      <c r="C87" s="6" t="s">
        <v>274</v>
      </c>
      <c r="D87" s="4" t="s">
        <v>296</v>
      </c>
      <c r="E87" s="8" t="e">
        <f>AVERAGEIF(表格1_3[[#This Row],[部內分數]:[部內分數11]],"&lt;&gt;")</f>
        <v>#DIV/0!</v>
      </c>
      <c r="F87" s="3" t="e">
        <f>AVERAGEIF(表格1_3[[#This Row],[跨共評]:[跨共評10]],"&lt;&gt;")</f>
        <v>#DIV/0!</v>
      </c>
      <c r="G87" s="3" t="e">
        <f>AVERAGEIF(表格1_3[[#This Row],[複評]:[複評10]],"&lt;&gt;")</f>
        <v>#DIV/0!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>
      <c r="A88" s="5" t="s">
        <v>211</v>
      </c>
      <c r="B88" s="4" t="s">
        <v>81</v>
      </c>
      <c r="C88" s="6" t="s">
        <v>274</v>
      </c>
      <c r="D88" s="4" t="s">
        <v>296</v>
      </c>
      <c r="E88" s="8" t="e">
        <f>AVERAGEIF(表格1_3[[#This Row],[部內分數]:[部內分數11]],"&lt;&gt;")</f>
        <v>#DIV/0!</v>
      </c>
      <c r="F88" s="3" t="e">
        <f>AVERAGEIF(表格1_3[[#This Row],[跨共評]:[跨共評10]],"&lt;&gt;")</f>
        <v>#DIV/0!</v>
      </c>
      <c r="G88" s="3" t="e">
        <f>AVERAGEIF(表格1_3[[#This Row],[複評]:[複評10]],"&lt;&gt;")</f>
        <v>#DIV/0!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>
      <c r="A89" s="5" t="s">
        <v>212</v>
      </c>
      <c r="B89" s="4"/>
      <c r="C89" s="6"/>
      <c r="D89" s="4"/>
      <c r="E89" s="8" t="e">
        <f>AVERAGEIF(表格1_3[[#This Row],[部內分數]:[部內分數11]],"&lt;&gt;")</f>
        <v>#DIV/0!</v>
      </c>
      <c r="F89" s="3" t="e">
        <f>AVERAGEIF(表格1_3[[#This Row],[跨共評]:[跨共評10]],"&lt;&gt;")</f>
        <v>#DIV/0!</v>
      </c>
      <c r="G89" s="3" t="e">
        <f>AVERAGEIF(表格1_3[[#This Row],[複評]:[複評10]],"&lt;&gt;")</f>
        <v>#DIV/0!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>
      <c r="A90" s="5" t="s">
        <v>213</v>
      </c>
      <c r="B90" s="4" t="s">
        <v>83</v>
      </c>
      <c r="C90" s="6" t="s">
        <v>275</v>
      </c>
      <c r="D90" s="4" t="s">
        <v>283</v>
      </c>
      <c r="E90" s="8" t="e">
        <f>AVERAGEIF(表格1_3[[#This Row],[部內分數]:[部內分數11]],"&lt;&gt;")</f>
        <v>#DIV/0!</v>
      </c>
      <c r="F90" s="3" t="e">
        <f>AVERAGEIF(表格1_3[[#This Row],[跨共評]:[跨共評10]],"&lt;&gt;")</f>
        <v>#DIV/0!</v>
      </c>
      <c r="G90" s="3" t="e">
        <f>AVERAGEIF(表格1_3[[#This Row],[複評]:[複評10]],"&lt;&gt;")</f>
        <v>#DIV/0!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>
      <c r="A91" s="5" t="s">
        <v>215</v>
      </c>
      <c r="B91" s="4" t="s">
        <v>84</v>
      </c>
      <c r="C91" s="6" t="s">
        <v>275</v>
      </c>
      <c r="D91" s="4" t="s">
        <v>283</v>
      </c>
      <c r="E91" s="8" t="e">
        <f>AVERAGEIF(表格1_3[[#This Row],[部內分數]:[部內分數11]],"&lt;&gt;")</f>
        <v>#DIV/0!</v>
      </c>
      <c r="F91" s="3" t="e">
        <f>AVERAGEIF(表格1_3[[#This Row],[跨共評]:[跨共評10]],"&lt;&gt;")</f>
        <v>#DIV/0!</v>
      </c>
      <c r="G91" s="3" t="e">
        <f>AVERAGEIF(表格1_3[[#This Row],[複評]:[複評10]],"&lt;&gt;")</f>
        <v>#DIV/0!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>
      <c r="A92" s="5" t="s">
        <v>219</v>
      </c>
      <c r="B92" s="4" t="s">
        <v>88</v>
      </c>
      <c r="C92" s="6" t="s">
        <v>275</v>
      </c>
      <c r="D92" s="4" t="s">
        <v>283</v>
      </c>
      <c r="E92" s="8" t="e">
        <f>AVERAGEIF(表格1_3[[#This Row],[部內分數]:[部內分數11]],"&lt;&gt;")</f>
        <v>#DIV/0!</v>
      </c>
      <c r="F92" s="3" t="e">
        <f>AVERAGEIF(表格1_3[[#This Row],[跨共評]:[跨共評10]],"&lt;&gt;")</f>
        <v>#DIV/0!</v>
      </c>
      <c r="G92" s="3" t="e">
        <f>AVERAGEIF(表格1_3[[#This Row],[複評]:[複評10]],"&lt;&gt;")</f>
        <v>#DIV/0!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>
      <c r="A93" s="5" t="s">
        <v>216</v>
      </c>
      <c r="B93" s="4" t="s">
        <v>85</v>
      </c>
      <c r="C93" s="6" t="s">
        <v>275</v>
      </c>
      <c r="D93" s="4" t="s">
        <v>283</v>
      </c>
      <c r="E93" s="8" t="e">
        <f>AVERAGEIF(表格1_3[[#This Row],[部內分數]:[部內分數11]],"&lt;&gt;")</f>
        <v>#DIV/0!</v>
      </c>
      <c r="F93" s="3" t="e">
        <f>AVERAGEIF(表格1_3[[#This Row],[跨共評]:[跨共評10]],"&lt;&gt;")</f>
        <v>#DIV/0!</v>
      </c>
      <c r="G93" s="3" t="e">
        <f>AVERAGEIF(表格1_3[[#This Row],[複評]:[複評10]],"&lt;&gt;")</f>
        <v>#DIV/0!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>
      <c r="A94" s="5" t="s">
        <v>217</v>
      </c>
      <c r="B94" s="4" t="s">
        <v>86</v>
      </c>
      <c r="C94" s="6" t="s">
        <v>275</v>
      </c>
      <c r="D94" s="4" t="s">
        <v>283</v>
      </c>
      <c r="E94" s="8" t="e">
        <f>AVERAGEIF(表格1_3[[#This Row],[部內分數]:[部內分數11]],"&lt;&gt;")</f>
        <v>#DIV/0!</v>
      </c>
      <c r="F94" s="3" t="e">
        <f>AVERAGEIF(表格1_3[[#This Row],[跨共評]:[跨共評10]],"&lt;&gt;")</f>
        <v>#DIV/0!</v>
      </c>
      <c r="G94" s="3" t="e">
        <f>AVERAGEIF(表格1_3[[#This Row],[複評]:[複評10]],"&lt;&gt;")</f>
        <v>#DIV/0!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>
      <c r="A95" s="5" t="s">
        <v>218</v>
      </c>
      <c r="B95" s="4" t="s">
        <v>87</v>
      </c>
      <c r="C95" s="6" t="s">
        <v>275</v>
      </c>
      <c r="D95" s="4" t="s">
        <v>283</v>
      </c>
      <c r="E95" s="8" t="e">
        <f>AVERAGEIF(表格1_3[[#This Row],[部內分數]:[部內分數11]],"&lt;&gt;")</f>
        <v>#DIV/0!</v>
      </c>
      <c r="F95" s="3" t="e">
        <f>AVERAGEIF(表格1_3[[#This Row],[跨共評]:[跨共評10]],"&lt;&gt;")</f>
        <v>#DIV/0!</v>
      </c>
      <c r="G95" s="3" t="e">
        <f>AVERAGEIF(表格1_3[[#This Row],[複評]:[複評10]],"&lt;&gt;")</f>
        <v>#DIV/0!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>
      <c r="A96" s="5" t="s">
        <v>247</v>
      </c>
      <c r="B96" s="4"/>
      <c r="C96" s="6"/>
      <c r="D96" s="4"/>
      <c r="E96" s="8" t="e">
        <f>AVERAGEIF(表格1_3[[#This Row],[部內分數]:[部內分數11]],"&lt;&gt;")</f>
        <v>#DIV/0!</v>
      </c>
      <c r="F96" s="3" t="e">
        <f>AVERAGEIF(表格1_3[[#This Row],[跨共評]:[跨共評10]],"&lt;&gt;")</f>
        <v>#DIV/0!</v>
      </c>
      <c r="G96" s="3" t="e">
        <f>AVERAGEIF(表格1_3[[#This Row],[複評]:[複評10]],"&lt;&gt;")</f>
        <v>#DIV/0!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>
      <c r="A97" s="5" t="s">
        <v>220</v>
      </c>
      <c r="B97" s="4" t="s">
        <v>428</v>
      </c>
      <c r="C97" s="6" t="s">
        <v>275</v>
      </c>
      <c r="D97" s="4" t="s">
        <v>283</v>
      </c>
      <c r="E97" s="8" t="e">
        <f>AVERAGEIF(表格1_3[[#This Row],[部內分數]:[部內分數11]],"&lt;&gt;")</f>
        <v>#DIV/0!</v>
      </c>
      <c r="F97" s="3" t="e">
        <f>AVERAGEIF(表格1_3[[#This Row],[跨共評]:[跨共評10]],"&lt;&gt;")</f>
        <v>#DIV/0!</v>
      </c>
      <c r="G97" s="3" t="e">
        <f>AVERAGEIF(表格1_3[[#This Row],[複評]:[複評10]],"&lt;&gt;")</f>
        <v>#DIV/0!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>
      <c r="A98" s="5" t="s">
        <v>221</v>
      </c>
      <c r="B98" s="4" t="s">
        <v>90</v>
      </c>
      <c r="C98" s="6" t="s">
        <v>275</v>
      </c>
      <c r="D98" s="4" t="s">
        <v>283</v>
      </c>
      <c r="E98" s="8" t="e">
        <f>AVERAGEIF(表格1_3[[#This Row],[部內分數]:[部內分數11]],"&lt;&gt;")</f>
        <v>#DIV/0!</v>
      </c>
      <c r="F98" s="3" t="e">
        <f>AVERAGEIF(表格1_3[[#This Row],[跨共評]:[跨共評10]],"&lt;&gt;")</f>
        <v>#DIV/0!</v>
      </c>
      <c r="G98" s="3" t="e">
        <f>AVERAGEIF(表格1_3[[#This Row],[複評]:[複評10]],"&lt;&gt;")</f>
        <v>#DIV/0!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26">
      <c r="A99" s="5" t="s">
        <v>320</v>
      </c>
      <c r="B99" s="4" t="s">
        <v>427</v>
      </c>
      <c r="C99" s="6" t="s">
        <v>275</v>
      </c>
      <c r="D99" s="4" t="s">
        <v>283</v>
      </c>
      <c r="E99" s="8" t="e">
        <f>AVERAGEIF(表格1_3[[#This Row],[部內分數]:[部內分數11]],"&lt;&gt;")</f>
        <v>#DIV/0!</v>
      </c>
      <c r="F99" s="3" t="e">
        <f>AVERAGEIF(表格1_3[[#This Row],[跨共評]:[跨共評10]],"&lt;&gt;")</f>
        <v>#DIV/0!</v>
      </c>
      <c r="G99" s="3" t="e">
        <f>AVERAGEIF(表格1_3[[#This Row],[複評]:[複評10]],"&lt;&gt;")</f>
        <v>#DIV/0!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26">
      <c r="A100" s="5" t="s">
        <v>322</v>
      </c>
      <c r="B100" s="4" t="s">
        <v>426</v>
      </c>
      <c r="C100" s="6" t="s">
        <v>275</v>
      </c>
      <c r="D100" s="4" t="s">
        <v>283</v>
      </c>
      <c r="E100" s="8" t="e">
        <f>AVERAGEIF(表格1_3[[#This Row],[部內分數]:[部內分數11]],"&lt;&gt;")</f>
        <v>#DIV/0!</v>
      </c>
      <c r="F100" s="3" t="e">
        <f>AVERAGEIF(表格1_3[[#This Row],[跨共評]:[跨共評10]],"&lt;&gt;")</f>
        <v>#DIV/0!</v>
      </c>
      <c r="G100" s="3" t="e">
        <f>AVERAGEIF(表格1_3[[#This Row],[複評]:[複評10]],"&lt;&gt;")</f>
        <v>#DIV/0!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>
      <c r="A101" s="5" t="s">
        <v>222</v>
      </c>
      <c r="B101" s="4" t="s">
        <v>91</v>
      </c>
      <c r="C101" s="6" t="s">
        <v>276</v>
      </c>
      <c r="D101" s="4" t="s">
        <v>296</v>
      </c>
      <c r="E101" s="8" t="e">
        <f>AVERAGEIF(表格1_3[[#This Row],[部內分數]:[部內分數11]],"&lt;&gt;")</f>
        <v>#DIV/0!</v>
      </c>
      <c r="F101" s="3" t="e">
        <f>AVERAGEIF(表格1_3[[#This Row],[跨共評]:[跨共評10]],"&lt;&gt;")</f>
        <v>#DIV/0!</v>
      </c>
      <c r="G101" s="3" t="e">
        <f>AVERAGEIF(表格1_3[[#This Row],[複評]:[複評10]],"&lt;&gt;")</f>
        <v>#DIV/0!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>
      <c r="A102" s="5" t="s">
        <v>223</v>
      </c>
      <c r="B102" s="4" t="s">
        <v>92</v>
      </c>
      <c r="C102" s="6" t="s">
        <v>276</v>
      </c>
      <c r="D102" s="4" t="s">
        <v>296</v>
      </c>
      <c r="E102" s="8" t="e">
        <f>AVERAGEIF(表格1_3[[#This Row],[部內分數]:[部內分數11]],"&lt;&gt;")</f>
        <v>#DIV/0!</v>
      </c>
      <c r="F102" s="3" t="e">
        <f>AVERAGEIF(表格1_3[[#This Row],[跨共評]:[跨共評10]],"&lt;&gt;")</f>
        <v>#DIV/0!</v>
      </c>
      <c r="G102" s="3" t="e">
        <f>AVERAGEIF(表格1_3[[#This Row],[複評]:[複評10]],"&lt;&gt;")</f>
        <v>#DIV/0!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>
      <c r="A103" s="5" t="s">
        <v>225</v>
      </c>
      <c r="B103" s="4" t="s">
        <v>94</v>
      </c>
      <c r="C103" s="6" t="s">
        <v>276</v>
      </c>
      <c r="D103" s="4" t="s">
        <v>293</v>
      </c>
      <c r="E103" s="8" t="e">
        <f>AVERAGEIF(表格1_3[[#This Row],[部內分數]:[部內分數11]],"&lt;&gt;")</f>
        <v>#DIV/0!</v>
      </c>
      <c r="F103" s="3" t="e">
        <f>AVERAGEIF(表格1_3[[#This Row],[跨共評]:[跨共評10]],"&lt;&gt;")</f>
        <v>#DIV/0!</v>
      </c>
      <c r="G103" s="3" t="e">
        <f>AVERAGEIF(表格1_3[[#This Row],[複評]:[複評10]],"&lt;&gt;")</f>
        <v>#DIV/0!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>
      <c r="A104" s="5" t="s">
        <v>224</v>
      </c>
      <c r="B104" s="4" t="s">
        <v>93</v>
      </c>
      <c r="C104" s="6" t="s">
        <v>276</v>
      </c>
      <c r="D104" s="4" t="s">
        <v>288</v>
      </c>
      <c r="E104" s="8" t="e">
        <f>AVERAGEIF(表格1_3[[#This Row],[部內分數]:[部內分數11]],"&lt;&gt;")</f>
        <v>#DIV/0!</v>
      </c>
      <c r="F104" s="3" t="e">
        <f>AVERAGEIF(表格1_3[[#This Row],[跨共評]:[跨共評10]],"&lt;&gt;")</f>
        <v>#DIV/0!</v>
      </c>
      <c r="G104" s="3" t="e">
        <f>AVERAGEIF(表格1_3[[#This Row],[複評]:[複評10]],"&lt;&gt;")</f>
        <v>#DIV/0!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>
      <c r="A105" s="5" t="s">
        <v>226</v>
      </c>
      <c r="B105" s="4" t="s">
        <v>95</v>
      </c>
      <c r="C105" s="6" t="s">
        <v>276</v>
      </c>
      <c r="D105" s="4" t="s">
        <v>283</v>
      </c>
      <c r="E105" s="8" t="e">
        <f>AVERAGEIF(表格1_3[[#This Row],[部內分數]:[部內分數11]],"&lt;&gt;")</f>
        <v>#DIV/0!</v>
      </c>
      <c r="F105" s="3" t="e">
        <f>AVERAGEIF(表格1_3[[#This Row],[跨共評]:[跨共評10]],"&lt;&gt;")</f>
        <v>#DIV/0!</v>
      </c>
      <c r="G105" s="3" t="e">
        <f>AVERAGEIF(表格1_3[[#This Row],[複評]:[複評10]],"&lt;&gt;")</f>
        <v>#DIV/0!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>
      <c r="A106" s="5" t="s">
        <v>227</v>
      </c>
      <c r="B106" s="4" t="s">
        <v>96</v>
      </c>
      <c r="C106" s="6" t="s">
        <v>277</v>
      </c>
      <c r="D106" s="4" t="s">
        <v>283</v>
      </c>
      <c r="E106" s="8" t="e">
        <f>AVERAGEIF(表格1_3[[#This Row],[部內分數]:[部內分數11]],"&lt;&gt;")</f>
        <v>#DIV/0!</v>
      </c>
      <c r="F106" s="3" t="e">
        <f>AVERAGEIF(表格1_3[[#This Row],[跨共評]:[跨共評10]],"&lt;&gt;")</f>
        <v>#DIV/0!</v>
      </c>
      <c r="G106" s="3" t="e">
        <f>AVERAGEIF(表格1_3[[#This Row],[複評]:[複評10]],"&lt;&gt;")</f>
        <v>#DIV/0!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>
      <c r="A107" s="5" t="s">
        <v>236</v>
      </c>
      <c r="B107" s="4" t="s">
        <v>105</v>
      </c>
      <c r="C107" s="6" t="s">
        <v>277</v>
      </c>
      <c r="D107" s="4" t="s">
        <v>283</v>
      </c>
      <c r="E107" s="8" t="e">
        <f>AVERAGEIF(表格1_3[[#This Row],[部內分數]:[部內分數11]],"&lt;&gt;")</f>
        <v>#DIV/0!</v>
      </c>
      <c r="F107" s="3" t="e">
        <f>AVERAGEIF(表格1_3[[#This Row],[跨共評]:[跨共評10]],"&lt;&gt;")</f>
        <v>#DIV/0!</v>
      </c>
      <c r="G107" s="3" t="e">
        <f>AVERAGEIF(表格1_3[[#This Row],[複評]:[複評10]],"&lt;&gt;")</f>
        <v>#DIV/0!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>
      <c r="A108" s="5" t="s">
        <v>237</v>
      </c>
      <c r="B108" s="4" t="s">
        <v>106</v>
      </c>
      <c r="C108" s="6" t="s">
        <v>277</v>
      </c>
      <c r="D108" s="4" t="s">
        <v>283</v>
      </c>
      <c r="E108" s="8" t="e">
        <f>AVERAGEIF(表格1_3[[#This Row],[部內分數]:[部內分數11]],"&lt;&gt;")</f>
        <v>#DIV/0!</v>
      </c>
      <c r="F108" s="3" t="e">
        <f>AVERAGEIF(表格1_3[[#This Row],[跨共評]:[跨共評10]],"&lt;&gt;")</f>
        <v>#DIV/0!</v>
      </c>
      <c r="G108" s="3" t="e">
        <f>AVERAGEIF(表格1_3[[#This Row],[複評]:[複評10]],"&lt;&gt;")</f>
        <v>#DIV/0!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>
      <c r="A109" s="5" t="s">
        <v>230</v>
      </c>
      <c r="B109" s="4" t="s">
        <v>99</v>
      </c>
      <c r="C109" s="6" t="s">
        <v>277</v>
      </c>
      <c r="D109" s="4" t="s">
        <v>285</v>
      </c>
      <c r="E109" s="8" t="e">
        <f>AVERAGEIF(表格1_3[[#This Row],[部內分數]:[部內分數11]],"&lt;&gt;")</f>
        <v>#DIV/0!</v>
      </c>
      <c r="F109" s="3" t="e">
        <f>AVERAGEIF(表格1_3[[#This Row],[跨共評]:[跨共評10]],"&lt;&gt;")</f>
        <v>#DIV/0!</v>
      </c>
      <c r="G109" s="3" t="e">
        <f>AVERAGEIF(表格1_3[[#This Row],[複評]:[複評10]],"&lt;&gt;")</f>
        <v>#DIV/0!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>
      <c r="A110" s="5" t="s">
        <v>228</v>
      </c>
      <c r="B110" s="4" t="s">
        <v>97</v>
      </c>
      <c r="C110" s="6" t="s">
        <v>277</v>
      </c>
      <c r="D110" s="4" t="s">
        <v>283</v>
      </c>
      <c r="E110" s="8" t="e">
        <f>AVERAGEIF(表格1_3[[#This Row],[部內分數]:[部內分數11]],"&lt;&gt;")</f>
        <v>#DIV/0!</v>
      </c>
      <c r="F110" s="3" t="e">
        <f>AVERAGEIF(表格1_3[[#This Row],[跨共評]:[跨共評10]],"&lt;&gt;")</f>
        <v>#DIV/0!</v>
      </c>
      <c r="G110" s="3" t="e">
        <f>AVERAGEIF(表格1_3[[#This Row],[複評]:[複評10]],"&lt;&gt;")</f>
        <v>#DIV/0!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>
      <c r="A111" s="5" t="s">
        <v>229</v>
      </c>
      <c r="B111" s="4" t="s">
        <v>98</v>
      </c>
      <c r="C111" s="6" t="s">
        <v>277</v>
      </c>
      <c r="D111" s="4" t="s">
        <v>283</v>
      </c>
      <c r="E111" s="8" t="e">
        <f>AVERAGEIF(表格1_3[[#This Row],[部內分數]:[部內分數11]],"&lt;&gt;")</f>
        <v>#DIV/0!</v>
      </c>
      <c r="F111" s="3" t="e">
        <f>AVERAGEIF(表格1_3[[#This Row],[跨共評]:[跨共評10]],"&lt;&gt;")</f>
        <v>#DIV/0!</v>
      </c>
      <c r="G111" s="3" t="e">
        <f>AVERAGEIF(表格1_3[[#This Row],[複評]:[複評10]],"&lt;&gt;")</f>
        <v>#DIV/0!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>
      <c r="A112" s="5" t="s">
        <v>235</v>
      </c>
      <c r="B112" s="4" t="s">
        <v>104</v>
      </c>
      <c r="C112" s="6" t="s">
        <v>277</v>
      </c>
      <c r="D112" s="4" t="s">
        <v>283</v>
      </c>
      <c r="E112" s="8" t="e">
        <f>AVERAGEIF(表格1_3[[#This Row],[部內分數]:[部內分數11]],"&lt;&gt;")</f>
        <v>#DIV/0!</v>
      </c>
      <c r="F112" s="3" t="e">
        <f>AVERAGEIF(表格1_3[[#This Row],[跨共評]:[跨共評10]],"&lt;&gt;")</f>
        <v>#DIV/0!</v>
      </c>
      <c r="G112" s="3" t="e">
        <f>AVERAGEIF(表格1_3[[#This Row],[複評]:[複評10]],"&lt;&gt;")</f>
        <v>#DIV/0!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>
      <c r="A113" s="5" t="s">
        <v>240</v>
      </c>
      <c r="B113" s="4" t="s">
        <v>109</v>
      </c>
      <c r="C113" s="6" t="s">
        <v>277</v>
      </c>
      <c r="D113" s="4" t="s">
        <v>283</v>
      </c>
      <c r="E113" s="8" t="e">
        <f>AVERAGEIF(表格1_3[[#This Row],[部內分數]:[部內分數11]],"&lt;&gt;")</f>
        <v>#DIV/0!</v>
      </c>
      <c r="F113" s="3" t="e">
        <f>AVERAGEIF(表格1_3[[#This Row],[跨共評]:[跨共評10]],"&lt;&gt;")</f>
        <v>#DIV/0!</v>
      </c>
      <c r="G113" s="3" t="e">
        <f>AVERAGEIF(表格1_3[[#This Row],[複評]:[複評10]],"&lt;&gt;")</f>
        <v>#DIV/0!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>
      <c r="A114" s="5" t="s">
        <v>238</v>
      </c>
      <c r="B114" s="4" t="s">
        <v>107</v>
      </c>
      <c r="C114" s="6" t="s">
        <v>277</v>
      </c>
      <c r="D114" s="4" t="s">
        <v>283</v>
      </c>
      <c r="E114" s="8" t="e">
        <f>AVERAGEIF(表格1_3[[#This Row],[部內分數]:[部內分數11]],"&lt;&gt;")</f>
        <v>#DIV/0!</v>
      </c>
      <c r="F114" s="3" t="e">
        <f>AVERAGEIF(表格1_3[[#This Row],[跨共評]:[跨共評10]],"&lt;&gt;")</f>
        <v>#DIV/0!</v>
      </c>
      <c r="G114" s="3" t="e">
        <f>AVERAGEIF(表格1_3[[#This Row],[複評]:[複評10]],"&lt;&gt;")</f>
        <v>#DIV/0!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>
      <c r="A115" s="5" t="s">
        <v>239</v>
      </c>
      <c r="B115" s="4" t="s">
        <v>108</v>
      </c>
      <c r="C115" s="6" t="s">
        <v>277</v>
      </c>
      <c r="D115" s="4" t="s">
        <v>283</v>
      </c>
      <c r="E115" s="8" t="e">
        <f>AVERAGEIF(表格1_3[[#This Row],[部內分數]:[部內分數11]],"&lt;&gt;")</f>
        <v>#DIV/0!</v>
      </c>
      <c r="F115" s="3" t="e">
        <f>AVERAGEIF(表格1_3[[#This Row],[跨共評]:[跨共評10]],"&lt;&gt;")</f>
        <v>#DIV/0!</v>
      </c>
      <c r="G115" s="3" t="e">
        <f>AVERAGEIF(表格1_3[[#This Row],[複評]:[複評10]],"&lt;&gt;")</f>
        <v>#DIV/0!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26">
      <c r="A116" s="5" t="s">
        <v>201</v>
      </c>
      <c r="B116" s="4" t="s">
        <v>420</v>
      </c>
      <c r="C116" s="6" t="s">
        <v>277</v>
      </c>
      <c r="D116" s="4" t="s">
        <v>283</v>
      </c>
      <c r="E116" s="8" t="e">
        <f>AVERAGEIF(表格1_3[[#This Row],[部內分數]:[部內分數11]],"&lt;&gt;")</f>
        <v>#DIV/0!</v>
      </c>
      <c r="F116" s="3" t="e">
        <f>AVERAGEIF(表格1_3[[#This Row],[跨共評]:[跨共評10]],"&lt;&gt;")</f>
        <v>#DIV/0!</v>
      </c>
      <c r="G116" s="3" t="e">
        <f>AVERAGEIF(表格1_3[[#This Row],[複評]:[複評10]],"&lt;&gt;")</f>
        <v>#DIV/0!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>
      <c r="A117" s="5" t="s">
        <v>232</v>
      </c>
      <c r="B117" s="4" t="s">
        <v>101</v>
      </c>
      <c r="C117" s="6" t="s">
        <v>277</v>
      </c>
      <c r="D117" s="4" t="s">
        <v>283</v>
      </c>
      <c r="E117" s="8" t="e">
        <f>AVERAGEIF(表格1_3[[#This Row],[部內分數]:[部內分數11]],"&lt;&gt;")</f>
        <v>#DIV/0!</v>
      </c>
      <c r="F117" s="3" t="e">
        <f>AVERAGEIF(表格1_3[[#This Row],[跨共評]:[跨共評10]],"&lt;&gt;")</f>
        <v>#DIV/0!</v>
      </c>
      <c r="G117" s="3" t="e">
        <f>AVERAGEIF(表格1_3[[#This Row],[複評]:[複評10]],"&lt;&gt;")</f>
        <v>#DIV/0!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>
      <c r="A118" s="5" t="s">
        <v>234</v>
      </c>
      <c r="B118" s="4" t="s">
        <v>103</v>
      </c>
      <c r="C118" s="6" t="s">
        <v>277</v>
      </c>
      <c r="D118" s="4" t="s">
        <v>283</v>
      </c>
      <c r="E118" s="8" t="e">
        <f>AVERAGEIF(表格1_3[[#This Row],[部內分數]:[部內分數11]],"&lt;&gt;")</f>
        <v>#DIV/0!</v>
      </c>
      <c r="F118" s="3" t="e">
        <f>AVERAGEIF(表格1_3[[#This Row],[跨共評]:[跨共評10]],"&lt;&gt;")</f>
        <v>#DIV/0!</v>
      </c>
      <c r="G118" s="3" t="e">
        <f>AVERAGEIF(表格1_3[[#This Row],[複評]:[複評10]],"&lt;&gt;")</f>
        <v>#DIV/0!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>
      <c r="A119" s="5" t="s">
        <v>233</v>
      </c>
      <c r="B119" s="4" t="s">
        <v>102</v>
      </c>
      <c r="C119" s="6" t="s">
        <v>277</v>
      </c>
      <c r="D119" s="4" t="s">
        <v>297</v>
      </c>
      <c r="E119" s="8" t="e">
        <f>AVERAGEIF(表格1_3[[#This Row],[部內分數]:[部內分數11]],"&lt;&gt;")</f>
        <v>#DIV/0!</v>
      </c>
      <c r="F119" s="3" t="e">
        <f>AVERAGEIF(表格1_3[[#This Row],[跨共評]:[跨共評10]],"&lt;&gt;")</f>
        <v>#DIV/0!</v>
      </c>
      <c r="G119" s="3" t="e">
        <f>AVERAGEIF(表格1_3[[#This Row],[複評]:[複評10]],"&lt;&gt;")</f>
        <v>#DIV/0!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>
      <c r="A120" s="5" t="s">
        <v>214</v>
      </c>
      <c r="B120" s="4"/>
      <c r="C120" s="6"/>
      <c r="D120" s="4"/>
      <c r="E120" s="8" t="e">
        <f>AVERAGEIF(表格1_3[[#This Row],[部內分數]:[部內分數11]],"&lt;&gt;")</f>
        <v>#DIV/0!</v>
      </c>
      <c r="F120" s="3" t="e">
        <f>AVERAGEIF(表格1_3[[#This Row],[跨共評]:[跨共評10]],"&lt;&gt;")</f>
        <v>#DIV/0!</v>
      </c>
      <c r="G120" s="3" t="e">
        <f>AVERAGEIF(表格1_3[[#This Row],[複評]:[複評10]],"&lt;&gt;")</f>
        <v>#DIV/0!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>
      <c r="A121" s="5" t="s">
        <v>231</v>
      </c>
      <c r="B121" s="4" t="s">
        <v>100</v>
      </c>
      <c r="C121" s="6" t="s">
        <v>277</v>
      </c>
      <c r="D121" s="4" t="s">
        <v>283</v>
      </c>
      <c r="E121" s="8" t="e">
        <f>AVERAGEIF(表格1_3[[#This Row],[部內分數]:[部內分數11]],"&lt;&gt;")</f>
        <v>#DIV/0!</v>
      </c>
      <c r="F121" s="3" t="e">
        <f>AVERAGEIF(表格1_3[[#This Row],[跨共評]:[跨共評10]],"&lt;&gt;")</f>
        <v>#DIV/0!</v>
      </c>
      <c r="G121" s="3" t="e">
        <f>AVERAGEIF(表格1_3[[#This Row],[複評]:[複評10]],"&lt;&gt;")</f>
        <v>#DIV/0!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>
      <c r="A122" s="5" t="s">
        <v>244</v>
      </c>
      <c r="B122" s="4" t="s">
        <v>113</v>
      </c>
      <c r="C122" s="6" t="s">
        <v>277</v>
      </c>
      <c r="D122" s="4" t="s">
        <v>283</v>
      </c>
      <c r="E122" s="8" t="e">
        <f>AVERAGEIF(表格1_3[[#This Row],[部內分數]:[部內分數11]],"&lt;&gt;")</f>
        <v>#DIV/0!</v>
      </c>
      <c r="F122" s="3" t="e">
        <f>AVERAGEIF(表格1_3[[#This Row],[跨共評]:[跨共評10]],"&lt;&gt;")</f>
        <v>#DIV/0!</v>
      </c>
      <c r="G122" s="3" t="e">
        <f>AVERAGEIF(表格1_3[[#This Row],[複評]:[複評10]],"&lt;&gt;")</f>
        <v>#DIV/0!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>
      <c r="A123" s="5" t="s">
        <v>242</v>
      </c>
      <c r="B123" s="4" t="s">
        <v>111</v>
      </c>
      <c r="C123" s="6" t="s">
        <v>277</v>
      </c>
      <c r="D123" s="4" t="s">
        <v>283</v>
      </c>
      <c r="E123" s="8" t="e">
        <f>AVERAGEIF(表格1_3[[#This Row],[部內分數]:[部內分數11]],"&lt;&gt;")</f>
        <v>#DIV/0!</v>
      </c>
      <c r="F123" s="3" t="e">
        <f>AVERAGEIF(表格1_3[[#This Row],[跨共評]:[跨共評10]],"&lt;&gt;")</f>
        <v>#DIV/0!</v>
      </c>
      <c r="G123" s="3" t="e">
        <f>AVERAGEIF(表格1_3[[#This Row],[複評]:[複評10]],"&lt;&gt;")</f>
        <v>#DIV/0!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>
      <c r="A124" s="5" t="s">
        <v>243</v>
      </c>
      <c r="B124" s="4" t="s">
        <v>112</v>
      </c>
      <c r="C124" s="6" t="s">
        <v>277</v>
      </c>
      <c r="D124" s="4" t="s">
        <v>283</v>
      </c>
      <c r="E124" s="8" t="e">
        <f>AVERAGEIF(表格1_3[[#This Row],[部內分數]:[部內分數11]],"&lt;&gt;")</f>
        <v>#DIV/0!</v>
      </c>
      <c r="F124" s="3" t="e">
        <f>AVERAGEIF(表格1_3[[#This Row],[跨共評]:[跨共評10]],"&lt;&gt;")</f>
        <v>#DIV/0!</v>
      </c>
      <c r="G124" s="3" t="e">
        <f>AVERAGEIF(表格1_3[[#This Row],[複評]:[複評10]],"&lt;&gt;")</f>
        <v>#DIV/0!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>
      <c r="A125" s="5" t="s">
        <v>241</v>
      </c>
      <c r="B125" s="4" t="s">
        <v>110</v>
      </c>
      <c r="C125" s="6" t="s">
        <v>277</v>
      </c>
      <c r="D125" s="4" t="s">
        <v>283</v>
      </c>
      <c r="E125" s="8" t="e">
        <f>AVERAGEIF(表格1_3[[#This Row],[部內分數]:[部內分數11]],"&lt;&gt;")</f>
        <v>#DIV/0!</v>
      </c>
      <c r="F125" s="3" t="e">
        <f>AVERAGEIF(表格1_3[[#This Row],[跨共評]:[跨共評10]],"&lt;&gt;")</f>
        <v>#DIV/0!</v>
      </c>
      <c r="G125" s="3" t="e">
        <f>AVERAGEIF(表格1_3[[#This Row],[複評]:[複評10]],"&lt;&gt;")</f>
        <v>#DIV/0!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>
      <c r="A126" s="5" t="s">
        <v>245</v>
      </c>
      <c r="B126" s="4" t="s">
        <v>415</v>
      </c>
      <c r="C126" s="6" t="s">
        <v>277</v>
      </c>
      <c r="D126" s="4" t="s">
        <v>283</v>
      </c>
      <c r="E126" s="8" t="e">
        <f>AVERAGEIF(表格1_3[[#This Row],[部內分數]:[部內分數11]],"&lt;&gt;")</f>
        <v>#DIV/0!</v>
      </c>
      <c r="F126" s="3" t="e">
        <f>AVERAGEIF(表格1_3[[#This Row],[跨共評]:[跨共評10]],"&lt;&gt;")</f>
        <v>#DIV/0!</v>
      </c>
      <c r="G126" s="3" t="e">
        <f>AVERAGEIF(表格1_3[[#This Row],[複評]:[複評10]],"&lt;&gt;")</f>
        <v>#DIV/0!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>
      <c r="A127" s="5" t="s">
        <v>246</v>
      </c>
      <c r="B127" s="4" t="s">
        <v>114</v>
      </c>
      <c r="C127" s="6" t="s">
        <v>277</v>
      </c>
      <c r="D127" s="4" t="s">
        <v>283</v>
      </c>
      <c r="E127" s="8" t="e">
        <f>AVERAGEIF(表格1_3[[#This Row],[部內分數]:[部內分數11]],"&lt;&gt;")</f>
        <v>#DIV/0!</v>
      </c>
      <c r="F127" s="3" t="e">
        <f>AVERAGEIF(表格1_3[[#This Row],[跨共評]:[跨共評10]],"&lt;&gt;")</f>
        <v>#DIV/0!</v>
      </c>
      <c r="G127" s="3" t="e">
        <f>AVERAGEIF(表格1_3[[#This Row],[複評]:[複評10]],"&lt;&gt;")</f>
        <v>#DIV/0!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26">
      <c r="A128" s="5" t="s">
        <v>250</v>
      </c>
      <c r="B128" s="4" t="s">
        <v>416</v>
      </c>
      <c r="C128" s="6" t="s">
        <v>277</v>
      </c>
      <c r="D128" s="4" t="s">
        <v>283</v>
      </c>
      <c r="E128" s="8" t="e">
        <f>AVERAGEIF(表格1_3[[#This Row],[部內分數]:[部內分數11]],"&lt;&gt;")</f>
        <v>#DIV/0!</v>
      </c>
      <c r="F128" s="3" t="e">
        <f>AVERAGEIF(表格1_3[[#This Row],[跨共評]:[跨共評10]],"&lt;&gt;")</f>
        <v>#DIV/0!</v>
      </c>
      <c r="G128" s="3" t="e">
        <f>AVERAGEIF(表格1_3[[#This Row],[複評]:[複評10]],"&lt;&gt;")</f>
        <v>#DIV/0!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>
      <c r="A129" s="5" t="s">
        <v>251</v>
      </c>
      <c r="B129" s="4" t="s">
        <v>417</v>
      </c>
      <c r="C129" s="6" t="s">
        <v>277</v>
      </c>
      <c r="D129" s="4" t="s">
        <v>283</v>
      </c>
      <c r="E129" s="8" t="e">
        <f>AVERAGEIF(表格1_3[[#This Row],[部內分數]:[部內分數11]],"&lt;&gt;")</f>
        <v>#DIV/0!</v>
      </c>
      <c r="F129" s="3" t="e">
        <f>AVERAGEIF(表格1_3[[#This Row],[跨共評]:[跨共評10]],"&lt;&gt;")</f>
        <v>#DIV/0!</v>
      </c>
      <c r="G129" s="3" t="e">
        <f>AVERAGEIF(表格1_3[[#This Row],[複評]:[複評10]],"&lt;&gt;")</f>
        <v>#DIV/0!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>
      <c r="A130" s="5" t="s">
        <v>249</v>
      </c>
      <c r="B130" s="4" t="s">
        <v>116</v>
      </c>
      <c r="C130" s="6" t="s">
        <v>277</v>
      </c>
      <c r="D130" s="4" t="s">
        <v>283</v>
      </c>
      <c r="E130" s="8" t="e">
        <f>AVERAGEIF(表格1_3[[#This Row],[部內分數]:[部內分數11]],"&lt;&gt;")</f>
        <v>#DIV/0!</v>
      </c>
      <c r="F130" s="3" t="e">
        <f>AVERAGEIF(表格1_3[[#This Row],[跨共評]:[跨共評10]],"&lt;&gt;")</f>
        <v>#DIV/0!</v>
      </c>
      <c r="G130" s="3" t="e">
        <f>AVERAGEIF(表格1_3[[#This Row],[複評]:[複評10]],"&lt;&gt;")</f>
        <v>#DIV/0!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>
      <c r="A131" s="5" t="s">
        <v>324</v>
      </c>
      <c r="B131" s="4" t="s">
        <v>418</v>
      </c>
      <c r="C131" s="6" t="s">
        <v>277</v>
      </c>
      <c r="D131" s="4" t="s">
        <v>283</v>
      </c>
      <c r="E131" s="8" t="e">
        <f>AVERAGEIF(表格1_3[[#This Row],[部內分數]:[部內分數11]],"&lt;&gt;")</f>
        <v>#DIV/0!</v>
      </c>
      <c r="F131" s="3" t="e">
        <f>AVERAGEIF(表格1_3[[#This Row],[跨共評]:[跨共評10]],"&lt;&gt;")</f>
        <v>#DIV/0!</v>
      </c>
      <c r="G131" s="3" t="e">
        <f>AVERAGEIF(表格1_3[[#This Row],[複評]:[複評10]],"&lt;&gt;")</f>
        <v>#DIV/0!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>
      <c r="A132" s="5" t="s">
        <v>325</v>
      </c>
      <c r="B132" s="4" t="s">
        <v>419</v>
      </c>
      <c r="C132" s="6" t="s">
        <v>277</v>
      </c>
      <c r="D132" s="4" t="s">
        <v>283</v>
      </c>
      <c r="E132" s="8" t="e">
        <f>AVERAGEIF(表格1_3[[#This Row],[部內分數]:[部內分數11]],"&lt;&gt;")</f>
        <v>#DIV/0!</v>
      </c>
      <c r="F132" s="3" t="e">
        <f>AVERAGEIF(表格1_3[[#This Row],[跨共評]:[跨共評10]],"&lt;&gt;")</f>
        <v>#DIV/0!</v>
      </c>
      <c r="G132" s="3" t="e">
        <f>AVERAGEIF(表格1_3[[#This Row],[複評]:[複評10]],"&lt;&gt;")</f>
        <v>#DIV/0!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26">
      <c r="A133" s="5" t="s">
        <v>326</v>
      </c>
      <c r="B133" s="4" t="s">
        <v>430</v>
      </c>
      <c r="C133" s="6" t="s">
        <v>277</v>
      </c>
      <c r="D133" s="4" t="s">
        <v>283</v>
      </c>
      <c r="E133" s="8" t="e">
        <f>AVERAGEIF(表格1_3[[#This Row],[部內分數]:[部內分數11]],"&lt;&gt;")</f>
        <v>#DIV/0!</v>
      </c>
      <c r="F133" s="3" t="e">
        <f>AVERAGEIF(表格1_3[[#This Row],[跨共評]:[跨共評10]],"&lt;&gt;")</f>
        <v>#DIV/0!</v>
      </c>
      <c r="G133" s="3" t="e">
        <f>AVERAGEIF(表格1_3[[#This Row],[複評]:[複評10]],"&lt;&gt;")</f>
        <v>#DIV/0!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>
      <c r="A134" s="5" t="s">
        <v>248</v>
      </c>
      <c r="B134" s="4" t="s">
        <v>115</v>
      </c>
      <c r="C134" s="6" t="s">
        <v>277</v>
      </c>
      <c r="D134" s="4" t="s">
        <v>283</v>
      </c>
      <c r="E134" s="8" t="e">
        <f>AVERAGEIF(表格1_3[[#This Row],[部內分數]:[部內分數11]],"&lt;&gt;")</f>
        <v>#DIV/0!</v>
      </c>
      <c r="F134" s="3" t="e">
        <f>AVERAGEIF(表格1_3[[#This Row],[跨共評]:[跨共評10]],"&lt;&gt;")</f>
        <v>#DIV/0!</v>
      </c>
      <c r="G134" s="3" t="e">
        <f>AVERAGEIF(表格1_3[[#This Row],[複評]:[複評10]],"&lt;&gt;")</f>
        <v>#DIV/0!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>
      <c r="A135" s="5" t="s">
        <v>252</v>
      </c>
      <c r="B135" s="4" t="s">
        <v>117</v>
      </c>
      <c r="C135" s="6" t="s">
        <v>277</v>
      </c>
      <c r="D135" s="4" t="s">
        <v>283</v>
      </c>
      <c r="E135" s="8" t="e">
        <f>AVERAGEIF(表格1_3[[#This Row],[部內分數]:[部內分數11]],"&lt;&gt;")</f>
        <v>#DIV/0!</v>
      </c>
      <c r="F135" s="3" t="e">
        <f>AVERAGEIF(表格1_3[[#This Row],[跨共評]:[跨共評10]],"&lt;&gt;")</f>
        <v>#DIV/0!</v>
      </c>
      <c r="G135" s="3" t="e">
        <f>AVERAGEIF(表格1_3[[#This Row],[複評]:[複評10]],"&lt;&gt;")</f>
        <v>#DIV/0!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>
      <c r="A136" s="5" t="s">
        <v>253</v>
      </c>
      <c r="B136" s="4" t="s">
        <v>118</v>
      </c>
      <c r="C136" s="6" t="s">
        <v>278</v>
      </c>
      <c r="D136" s="4" t="s">
        <v>298</v>
      </c>
      <c r="E136" s="8" t="e">
        <f>AVERAGEIF(表格1_3[[#This Row],[部內分數]:[部內分數11]],"&lt;&gt;")</f>
        <v>#DIV/0!</v>
      </c>
      <c r="F136" s="3" t="e">
        <f>AVERAGEIF(表格1_3[[#This Row],[跨共評]:[跨共評10]],"&lt;&gt;")</f>
        <v>#DIV/0!</v>
      </c>
      <c r="G136" s="3" t="e">
        <f>AVERAGEIF(表格1_3[[#This Row],[複評]:[複評10]],"&lt;&gt;")</f>
        <v>#DIV/0!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>
      <c r="A137" s="5" t="s">
        <v>255</v>
      </c>
      <c r="B137" s="4" t="s">
        <v>120</v>
      </c>
      <c r="C137" s="6" t="s">
        <v>279</v>
      </c>
      <c r="D137" s="4" t="s">
        <v>300</v>
      </c>
      <c r="E137" s="8" t="e">
        <f>AVERAGEIF(表格1_3[[#This Row],[部內分數]:[部內分數11]],"&lt;&gt;")</f>
        <v>#DIV/0!</v>
      </c>
      <c r="F137" s="3" t="e">
        <f>AVERAGEIF(表格1_3[[#This Row],[跨共評]:[跨共評10]],"&lt;&gt;")</f>
        <v>#DIV/0!</v>
      </c>
      <c r="G137" s="3" t="e">
        <f>AVERAGEIF(表格1_3[[#This Row],[複評]:[複評10]],"&lt;&gt;")</f>
        <v>#DIV/0!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>
      <c r="A138" s="5" t="s">
        <v>254</v>
      </c>
      <c r="B138" s="4" t="s">
        <v>119</v>
      </c>
      <c r="C138" s="6" t="s">
        <v>279</v>
      </c>
      <c r="D138" s="4" t="s">
        <v>299</v>
      </c>
      <c r="E138" s="8" t="e">
        <f>AVERAGEIF(表格1_3[[#This Row],[部內分數]:[部內分數11]],"&lt;&gt;")</f>
        <v>#DIV/0!</v>
      </c>
      <c r="F138" s="3" t="e">
        <f>AVERAGEIF(表格1_3[[#This Row],[跨共評]:[跨共評10]],"&lt;&gt;")</f>
        <v>#DIV/0!</v>
      </c>
      <c r="G138" s="3" t="e">
        <f>AVERAGEIF(表格1_3[[#This Row],[複評]:[複評10]],"&lt;&gt;")</f>
        <v>#DIV/0!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>
      <c r="A139" s="5" t="s">
        <v>256</v>
      </c>
      <c r="B139" s="4" t="s">
        <v>121</v>
      </c>
      <c r="C139" s="6" t="s">
        <v>279</v>
      </c>
      <c r="D139" s="4" t="s">
        <v>301</v>
      </c>
      <c r="E139" s="8" t="e">
        <f>AVERAGEIF(表格1_3[[#This Row],[部內分數]:[部內分數11]],"&lt;&gt;")</f>
        <v>#DIV/0!</v>
      </c>
      <c r="F139" s="3" t="e">
        <f>AVERAGEIF(表格1_3[[#This Row],[跨共評]:[跨共評10]],"&lt;&gt;")</f>
        <v>#DIV/0!</v>
      </c>
      <c r="G139" s="3" t="e">
        <f>AVERAGEIF(表格1_3[[#This Row],[複評]:[複評10]],"&lt;&gt;")</f>
        <v>#DIV/0!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>
      <c r="A140" s="5" t="s">
        <v>257</v>
      </c>
      <c r="B140" s="4" t="s">
        <v>122</v>
      </c>
      <c r="C140" s="6" t="s">
        <v>279</v>
      </c>
      <c r="D140" s="4" t="s">
        <v>301</v>
      </c>
      <c r="E140" s="8" t="e">
        <f>AVERAGEIF(表格1_3[[#This Row],[部內分數]:[部內分數11]],"&lt;&gt;")</f>
        <v>#DIV/0!</v>
      </c>
      <c r="F140" s="3" t="e">
        <f>AVERAGEIF(表格1_3[[#This Row],[跨共評]:[跨共評10]],"&lt;&gt;")</f>
        <v>#DIV/0!</v>
      </c>
      <c r="G140" s="3" t="e">
        <f>AVERAGEIF(表格1_3[[#This Row],[複評]:[複評10]],"&lt;&gt;")</f>
        <v>#DIV/0!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>
      <c r="A141" s="5" t="s">
        <v>259</v>
      </c>
      <c r="B141" s="4" t="s">
        <v>124</v>
      </c>
      <c r="C141" s="6" t="s">
        <v>280</v>
      </c>
      <c r="D141" s="4" t="s">
        <v>281</v>
      </c>
      <c r="E141" s="8" t="e">
        <f>AVERAGEIF(表格1_3[[#This Row],[部內分數]:[部內分數11]],"&lt;&gt;")</f>
        <v>#DIV/0!</v>
      </c>
      <c r="F141" s="3" t="e">
        <f>AVERAGEIF(表格1_3[[#This Row],[跨共評]:[跨共評10]],"&lt;&gt;")</f>
        <v>#DIV/0!</v>
      </c>
      <c r="G141" s="3" t="e">
        <f>AVERAGEIF(表格1_3[[#This Row],[複評]:[複評10]],"&lt;&gt;")</f>
        <v>#DIV/0!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>
      <c r="A142" s="5" t="s">
        <v>260</v>
      </c>
      <c r="B142" s="4"/>
      <c r="C142" s="6"/>
      <c r="D142" s="4"/>
      <c r="E142" s="8" t="e">
        <f>AVERAGEIF(表格1_3[[#This Row],[部內分數]:[部內分數11]],"&lt;&gt;")</f>
        <v>#DIV/0!</v>
      </c>
      <c r="F142" s="3" t="e">
        <f>AVERAGEIF(表格1_3[[#This Row],[跨共評]:[跨共評10]],"&lt;&gt;")</f>
        <v>#DIV/0!</v>
      </c>
      <c r="G142" s="3" t="e">
        <f>AVERAGEIF(表格1_3[[#This Row],[複評]:[複評10]],"&lt;&gt;")</f>
        <v>#DIV/0!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>
      <c r="A143" s="5" t="s">
        <v>258</v>
      </c>
      <c r="B143" s="4" t="s">
        <v>123</v>
      </c>
      <c r="C143" s="6" t="s">
        <v>280</v>
      </c>
      <c r="D143" s="4" t="s">
        <v>302</v>
      </c>
      <c r="E143" s="8" t="e">
        <f>AVERAGEIF(表格1_3[[#This Row],[部內分數]:[部內分數11]],"&lt;&gt;")</f>
        <v>#DIV/0!</v>
      </c>
      <c r="F143" s="3" t="e">
        <f>AVERAGEIF(表格1_3[[#This Row],[跨共評]:[跨共評10]],"&lt;&gt;")</f>
        <v>#DIV/0!</v>
      </c>
      <c r="G143" s="3" t="e">
        <f>AVERAGEIF(表格1_3[[#This Row],[複評]:[複評10]],"&lt;&gt;")</f>
        <v>#DIV/0!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>
      <c r="A144" s="5" t="s">
        <v>261</v>
      </c>
      <c r="B144" s="4" t="s">
        <v>126</v>
      </c>
      <c r="C144" s="6" t="s">
        <v>280</v>
      </c>
      <c r="D144" s="4" t="s">
        <v>281</v>
      </c>
      <c r="E144" s="8" t="e">
        <f>AVERAGEIF(表格1_3[[#This Row],[部內分數]:[部內分數11]],"&lt;&gt;")</f>
        <v>#DIV/0!</v>
      </c>
      <c r="F144" s="3" t="e">
        <f>AVERAGEIF(表格1_3[[#This Row],[跨共評]:[跨共評10]],"&lt;&gt;")</f>
        <v>#DIV/0!</v>
      </c>
      <c r="G144" s="3" t="e">
        <f>AVERAGEIF(表格1_3[[#This Row],[複評]:[複評10]],"&lt;&gt;")</f>
        <v>#DIV/0!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>
      <c r="A145" s="5" t="s">
        <v>262</v>
      </c>
      <c r="B145" s="4" t="s">
        <v>127</v>
      </c>
      <c r="C145" s="6" t="s">
        <v>280</v>
      </c>
      <c r="D145" s="4" t="s">
        <v>293</v>
      </c>
      <c r="E145" s="8" t="e">
        <f>AVERAGEIF(表格1_3[[#This Row],[部內分數]:[部內分數11]],"&lt;&gt;")</f>
        <v>#DIV/0!</v>
      </c>
      <c r="F145" s="3" t="e">
        <f>AVERAGEIF(表格1_3[[#This Row],[跨共評]:[跨共評10]],"&lt;&gt;")</f>
        <v>#DIV/0!</v>
      </c>
      <c r="G145" s="3" t="e">
        <f>AVERAGEIF(表格1_3[[#This Row],[複評]:[複評10]],"&lt;&gt;")</f>
        <v>#DIV/0!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>
      <c r="A146" s="5" t="s">
        <v>263</v>
      </c>
      <c r="B146" s="4" t="s">
        <v>128</v>
      </c>
      <c r="C146" s="6" t="s">
        <v>511</v>
      </c>
      <c r="D146" s="4" t="s">
        <v>512</v>
      </c>
      <c r="E146" s="8" t="e">
        <f>AVERAGEIF(表格1_3[[#This Row],[部內分數]:[部內分數11]],"&lt;&gt;")</f>
        <v>#DIV/0!</v>
      </c>
      <c r="F146" s="3" t="e">
        <f>AVERAGEIF(表格1_3[[#This Row],[跨共評]:[跨共評10]],"&lt;&gt;")</f>
        <v>#DIV/0!</v>
      </c>
      <c r="G146" s="3" t="e">
        <f>AVERAGEIF(表格1_3[[#This Row],[複評]:[複評10]],"&lt;&gt;")</f>
        <v>#DIV/0!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6"/>
  <sheetViews>
    <sheetView showGridLines="0" zoomScale="120" zoomScaleNormal="120" workbookViewId="0">
      <selection activeCell="V62" sqref="V62:V63"/>
    </sheetView>
  </sheetViews>
  <sheetFormatPr defaultRowHeight="14"/>
  <cols>
    <col min="1" max="1" width="11" style="10" customWidth="1"/>
    <col min="2" max="2" width="9.1796875" style="2" customWidth="1"/>
    <col min="3" max="5" width="8.7265625" style="2"/>
    <col min="6" max="6" width="10.453125" style="2" hidden="1" customWidth="1"/>
    <col min="7" max="7" width="15.7265625" style="38" hidden="1" customWidth="1"/>
    <col min="8" max="8" width="10.453125" style="43" hidden="1" customWidth="1"/>
    <col min="9" max="9" width="12.54296875" style="43" hidden="1" customWidth="1"/>
    <col min="10" max="10" width="20.90625" style="37" customWidth="1"/>
    <col min="11" max="11" width="14.1796875" style="10" customWidth="1"/>
    <col min="12" max="12" width="15.36328125" style="10" hidden="1" customWidth="1"/>
    <col min="13" max="13" width="17.36328125" style="2" hidden="1" customWidth="1"/>
    <col min="14" max="14" width="13.6328125" style="10" hidden="1" customWidth="1"/>
    <col min="15" max="15" width="27" style="10" hidden="1" customWidth="1"/>
    <col min="16" max="16" width="14" style="10" hidden="1" customWidth="1"/>
    <col min="17" max="21" width="14" style="2" hidden="1" customWidth="1"/>
    <col min="22" max="22" width="14" style="2" customWidth="1"/>
    <col min="23" max="23" width="12.54296875" style="38" customWidth="1"/>
    <col min="24" max="24" width="8.7265625" style="2" customWidth="1"/>
    <col min="25" max="16384" width="8.7265625" style="2"/>
  </cols>
  <sheetData>
    <row r="1" spans="1:24">
      <c r="A1" s="10" t="s">
        <v>333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328</v>
      </c>
      <c r="G1" s="40" t="s">
        <v>489</v>
      </c>
      <c r="H1" s="42" t="s">
        <v>485</v>
      </c>
      <c r="I1" s="42" t="s">
        <v>487</v>
      </c>
      <c r="J1" s="35" t="s">
        <v>304</v>
      </c>
      <c r="K1" s="11" t="s">
        <v>486</v>
      </c>
      <c r="L1" s="11" t="s">
        <v>488</v>
      </c>
      <c r="M1" s="11" t="s">
        <v>307</v>
      </c>
      <c r="N1" s="11" t="s">
        <v>305</v>
      </c>
      <c r="O1" s="11" t="s">
        <v>306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414</v>
      </c>
      <c r="V1" s="1" t="s">
        <v>308</v>
      </c>
      <c r="W1" s="38" t="s">
        <v>484</v>
      </c>
    </row>
    <row r="2" spans="1:24" ht="30" hidden="1" customHeight="1">
      <c r="A2" s="10" t="s">
        <v>384</v>
      </c>
      <c r="B2" s="44" t="s">
        <v>493</v>
      </c>
      <c r="C2" s="4" t="s">
        <v>6</v>
      </c>
      <c r="D2" s="6" t="s">
        <v>264</v>
      </c>
      <c r="E2" s="4" t="s">
        <v>281</v>
      </c>
      <c r="F2" s="4" t="s">
        <v>310</v>
      </c>
      <c r="G2" s="41" t="e">
        <f>表格1_6[[#This Row],[加權後總分]]-表格1_6[[#This Row],[獎懲分數]]</f>
        <v>#DIV/0!</v>
      </c>
      <c r="H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" s="39" t="e">
        <f>_xlfn.RANK.EQ(G2,$G$2:$G$146,0)</f>
        <v>#DIV/0!</v>
      </c>
      <c r="J2" s="36" t="e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>#DIV/0!</v>
      </c>
      <c r="K2" s="8" t="e">
        <f>IF(J2&gt;=90,"A",
 IF(J2&gt;=80,"B",
 IF(J2&gt;=70,"C",
 IF(J2&gt;=60,"D","E"))))</f>
        <v>#DIV/0!</v>
      </c>
      <c r="L2" s="8" t="e">
        <f>_xlfn.RANK.EQ(J2,$J$2:$J$146,0)</f>
        <v>#DIV/0!</v>
      </c>
      <c r="M2" s="8" t="e">
        <f>表格1_3[[#This Row],[部內平均]]</f>
        <v>#DIV/0!</v>
      </c>
      <c r="N2" s="8" t="e">
        <f>表格1_3[[#This Row],[共評平均]]</f>
        <v>#DIV/0!</v>
      </c>
      <c r="O2" s="8" t="e">
        <f>表格1_3[[#This Row],[複評平均]]</f>
        <v>#DIV/0!</v>
      </c>
      <c r="P2" s="3"/>
      <c r="Q2" s="3"/>
      <c r="R2" s="3"/>
      <c r="S2" s="3"/>
      <c r="T2" s="3"/>
      <c r="U2" s="3"/>
      <c r="V2" s="3"/>
      <c r="W2" s="38" t="e">
        <v>#DIV/0!</v>
      </c>
    </row>
    <row r="3" spans="1:24" hidden="1">
      <c r="A3" s="10" t="s">
        <v>383</v>
      </c>
      <c r="B3" s="5" t="s">
        <v>130</v>
      </c>
      <c r="C3" s="4" t="s">
        <v>309</v>
      </c>
      <c r="D3" s="6" t="s">
        <v>264</v>
      </c>
      <c r="E3" s="4" t="s">
        <v>282</v>
      </c>
      <c r="F3" s="4" t="s">
        <v>310</v>
      </c>
      <c r="G3" s="41" t="e">
        <f>表格1_6[[#This Row],[加權後總分]]-表格1_6[[#This Row],[獎懲分數]]</f>
        <v>#DIV/0!</v>
      </c>
      <c r="H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" s="39" t="e">
        <f t="shared" ref="I3:I66" si="0">_xlfn.RANK.EQ(G3,$G$2:$G$146,0)</f>
        <v>#DIV/0!</v>
      </c>
      <c r="J3" s="36" t="e">
        <f t="shared" ref="J3:J47" si="1"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>#DIV/0!</v>
      </c>
      <c r="K3" s="8" t="e">
        <f t="shared" ref="K3:K47" si="2">IF(J3&gt;=90,"A",
 IF(J3&gt;=80,"B",
 IF(J3&gt;=70,"C",
 IF(J3&gt;=60,"D","E"))))</f>
        <v>#DIV/0!</v>
      </c>
      <c r="L3" s="8" t="e">
        <f t="shared" ref="L3:L66" si="3">_xlfn.RANK.EQ(J3,$J$2:$J$146,0)</f>
        <v>#DIV/0!</v>
      </c>
      <c r="M3" s="8" t="e">
        <f>表格1_3[[#This Row],[部內平均]]</f>
        <v>#DIV/0!</v>
      </c>
      <c r="N3" s="8" t="e">
        <f>表格1_3[[#This Row],[共評平均]]</f>
        <v>#DIV/0!</v>
      </c>
      <c r="O3" s="8" t="e">
        <f>表格1_3[[#This Row],[複評平均]]</f>
        <v>#DIV/0!</v>
      </c>
      <c r="P3" s="3"/>
      <c r="Q3" s="3"/>
      <c r="R3" s="3"/>
      <c r="S3" s="3"/>
      <c r="T3" s="3"/>
      <c r="U3" s="3"/>
      <c r="V3" s="3"/>
      <c r="W3" s="38">
        <v>109.61904761904762</v>
      </c>
      <c r="X3" s="2">
        <v>1</v>
      </c>
    </row>
    <row r="4" spans="1:24" hidden="1">
      <c r="A4" s="10" t="s">
        <v>382</v>
      </c>
      <c r="B4" s="5" t="s">
        <v>131</v>
      </c>
      <c r="C4" s="4" t="s">
        <v>310</v>
      </c>
      <c r="D4" s="6" t="s">
        <v>264</v>
      </c>
      <c r="E4" s="4" t="s">
        <v>5</v>
      </c>
      <c r="F4" s="4" t="s">
        <v>119</v>
      </c>
      <c r="G4" s="41" t="e">
        <f>表格1_6[[#This Row],[加權後總分]]-表格1_6[[#This Row],[獎懲分數]]</f>
        <v>#DIV/0!</v>
      </c>
      <c r="H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" s="39" t="e">
        <f t="shared" si="0"/>
        <v>#DIV/0!</v>
      </c>
      <c r="J4" s="36" t="e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V4+1
)</f>
        <v>#DIV/0!</v>
      </c>
      <c r="K4" s="8" t="e">
        <f t="shared" si="2"/>
        <v>#DIV/0!</v>
      </c>
      <c r="L4" s="8" t="e">
        <f t="shared" si="3"/>
        <v>#DIV/0!</v>
      </c>
      <c r="M4" s="8" t="e">
        <f>表格1_3[[#This Row],[部內平均]]</f>
        <v>#DIV/0!</v>
      </c>
      <c r="N4" s="8" t="e">
        <f>表格1_3[[#This Row],[共評平均]]</f>
        <v>#DIV/0!</v>
      </c>
      <c r="O4" s="8"/>
      <c r="P4" s="3"/>
      <c r="Q4" s="3"/>
      <c r="R4" s="3"/>
      <c r="S4" s="3"/>
      <c r="T4" s="3"/>
      <c r="U4" s="3"/>
      <c r="V4" s="3"/>
      <c r="W4" s="38">
        <v>87.6</v>
      </c>
      <c r="X4" s="2">
        <v>2</v>
      </c>
    </row>
    <row r="5" spans="1:24" ht="26" hidden="1">
      <c r="A5" s="10" t="s">
        <v>335</v>
      </c>
      <c r="B5" s="5" t="s">
        <v>133</v>
      </c>
      <c r="C5" s="4" t="s">
        <v>7</v>
      </c>
      <c r="D5" s="6" t="s">
        <v>265</v>
      </c>
      <c r="E5" s="4" t="s">
        <v>284</v>
      </c>
      <c r="F5" s="4" t="s">
        <v>313</v>
      </c>
      <c r="G5" s="41" t="e">
        <f>表格1_6[[#This Row],[加權後總分]]-表格1_6[[#This Row],[獎懲分數]]</f>
        <v>#DIV/0!</v>
      </c>
      <c r="H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" s="39" t="e">
        <f t="shared" si="0"/>
        <v>#DIV/0!</v>
      </c>
      <c r="J5" s="36" t="e">
        <f t="shared" si="1"/>
        <v>#DIV/0!</v>
      </c>
      <c r="K5" s="8" t="e">
        <f t="shared" si="2"/>
        <v>#DIV/0!</v>
      </c>
      <c r="L5" s="8" t="e">
        <f t="shared" si="3"/>
        <v>#DIV/0!</v>
      </c>
      <c r="M5" s="8" t="e">
        <f>表格1_3[[#This Row],[部內平均]]</f>
        <v>#DIV/0!</v>
      </c>
      <c r="N5" s="8"/>
      <c r="O5" s="8" t="e">
        <f>表格1_3[[#This Row],[複評平均]]</f>
        <v>#DIV/0!</v>
      </c>
      <c r="P5" s="3"/>
      <c r="Q5" s="3"/>
      <c r="R5" s="3"/>
      <c r="S5" s="3"/>
      <c r="T5" s="3"/>
      <c r="U5" s="3"/>
      <c r="V5" s="3"/>
      <c r="W5" s="38">
        <v>87.2</v>
      </c>
      <c r="X5" s="2">
        <v>3</v>
      </c>
    </row>
    <row r="6" spans="1:24" hidden="1">
      <c r="A6" s="10" t="s">
        <v>396</v>
      </c>
      <c r="B6" s="5" t="s">
        <v>311</v>
      </c>
      <c r="C6" s="14" t="s">
        <v>434</v>
      </c>
      <c r="D6" s="6" t="s">
        <v>265</v>
      </c>
      <c r="E6" s="4" t="s">
        <v>283</v>
      </c>
      <c r="F6" s="4" t="s">
        <v>313</v>
      </c>
      <c r="G6" s="41" t="e">
        <f>表格1_6[[#This Row],[加權後總分]]-表格1_6[[#This Row],[獎懲分數]]</f>
        <v>#DIV/0!</v>
      </c>
      <c r="H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" s="39" t="e">
        <f t="shared" si="0"/>
        <v>#DIV/0!</v>
      </c>
      <c r="J6" s="36" t="e">
        <f t="shared" si="1"/>
        <v>#DIV/0!</v>
      </c>
      <c r="K6" s="8" t="e">
        <f t="shared" si="2"/>
        <v>#DIV/0!</v>
      </c>
      <c r="L6" s="8" t="e">
        <f t="shared" si="3"/>
        <v>#DIV/0!</v>
      </c>
      <c r="M6" s="8" t="e">
        <f>表格1_3[[#This Row],[部內平均]]</f>
        <v>#DIV/0!</v>
      </c>
      <c r="N6" s="8"/>
      <c r="O6" s="8" t="e">
        <f>表格1_3[[#This Row],[複評平均]]</f>
        <v>#DIV/0!</v>
      </c>
      <c r="P6" s="3"/>
      <c r="Q6" s="3"/>
      <c r="R6" s="3"/>
      <c r="S6" s="3"/>
      <c r="T6" s="3"/>
      <c r="U6" s="3"/>
      <c r="V6" s="3"/>
      <c r="W6" s="38">
        <v>86</v>
      </c>
      <c r="X6" s="2">
        <v>4</v>
      </c>
    </row>
    <row r="7" spans="1:24" hidden="1">
      <c r="A7" s="10" t="s">
        <v>396</v>
      </c>
      <c r="B7" s="5" t="s">
        <v>136</v>
      </c>
      <c r="C7" s="13" t="s">
        <v>10</v>
      </c>
      <c r="D7" s="6" t="s">
        <v>265</v>
      </c>
      <c r="E7" s="4" t="s">
        <v>283</v>
      </c>
      <c r="F7" s="4" t="s">
        <v>313</v>
      </c>
      <c r="G7" s="41" t="e">
        <f>表格1_6[[#This Row],[加權後總分]]-表格1_6[[#This Row],[獎懲分數]]</f>
        <v>#DIV/0!</v>
      </c>
      <c r="H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7" s="39" t="e">
        <f t="shared" si="0"/>
        <v>#DIV/0!</v>
      </c>
      <c r="J7" s="36" t="e">
        <f t="shared" si="1"/>
        <v>#DIV/0!</v>
      </c>
      <c r="K7" s="8" t="e">
        <f t="shared" si="2"/>
        <v>#DIV/0!</v>
      </c>
      <c r="L7" s="8" t="e">
        <f t="shared" si="3"/>
        <v>#DIV/0!</v>
      </c>
      <c r="M7" s="8" t="e">
        <f>表格1_3[[#This Row],[部內平均]]</f>
        <v>#DIV/0!</v>
      </c>
      <c r="N7" s="8"/>
      <c r="O7" s="8" t="e">
        <f>表格1_3[[#This Row],[複評平均]]</f>
        <v>#DIV/0!</v>
      </c>
      <c r="P7" s="3"/>
      <c r="Q7" s="3"/>
      <c r="R7" s="3"/>
      <c r="S7" s="3"/>
      <c r="T7" s="3"/>
      <c r="U7" s="3"/>
      <c r="V7" s="3"/>
      <c r="W7" s="38">
        <v>85.8</v>
      </c>
      <c r="X7" s="2">
        <v>5</v>
      </c>
    </row>
    <row r="8" spans="1:24" hidden="1">
      <c r="A8" s="10" t="s">
        <v>396</v>
      </c>
      <c r="B8" s="5" t="s">
        <v>137</v>
      </c>
      <c r="C8" s="13" t="s">
        <v>11</v>
      </c>
      <c r="D8" s="6" t="s">
        <v>265</v>
      </c>
      <c r="E8" s="4" t="s">
        <v>283</v>
      </c>
      <c r="F8" s="4" t="s">
        <v>313</v>
      </c>
      <c r="G8" s="41" t="e">
        <f>表格1_6[[#This Row],[加權後總分]]-表格1_6[[#This Row],[獎懲分數]]</f>
        <v>#DIV/0!</v>
      </c>
      <c r="H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" s="39" t="e">
        <f t="shared" si="0"/>
        <v>#DIV/0!</v>
      </c>
      <c r="J8" s="36" t="e">
        <f t="shared" si="1"/>
        <v>#DIV/0!</v>
      </c>
      <c r="K8" s="8" t="e">
        <f t="shared" si="2"/>
        <v>#DIV/0!</v>
      </c>
      <c r="L8" s="8" t="e">
        <f t="shared" si="3"/>
        <v>#DIV/0!</v>
      </c>
      <c r="M8" s="8" t="e">
        <f>表格1_3[[#This Row],[部內平均]]</f>
        <v>#DIV/0!</v>
      </c>
      <c r="N8" s="8"/>
      <c r="O8" s="8" t="e">
        <f>表格1_3[[#This Row],[複評平均]]</f>
        <v>#DIV/0!</v>
      </c>
      <c r="P8" s="3"/>
      <c r="Q8" s="3"/>
      <c r="R8" s="3"/>
      <c r="S8" s="3"/>
      <c r="T8" s="3"/>
      <c r="U8" s="3"/>
      <c r="V8" s="3"/>
      <c r="W8" s="38">
        <v>84.86666666666666</v>
      </c>
      <c r="X8" s="2">
        <v>6</v>
      </c>
    </row>
    <row r="9" spans="1:24" hidden="1">
      <c r="A9" s="10" t="s">
        <v>396</v>
      </c>
      <c r="B9" s="5" t="s">
        <v>138</v>
      </c>
      <c r="C9" s="4" t="s">
        <v>12</v>
      </c>
      <c r="D9" s="6" t="s">
        <v>265</v>
      </c>
      <c r="E9" s="4" t="s">
        <v>283</v>
      </c>
      <c r="F9" s="4" t="s">
        <v>93</v>
      </c>
      <c r="G9" s="41" t="e">
        <f>表格1_6[[#This Row],[加權後總分]]-表格1_6[[#This Row],[獎懲分數]]</f>
        <v>#DIV/0!</v>
      </c>
      <c r="H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" s="39" t="e">
        <f t="shared" si="0"/>
        <v>#DIV/0!</v>
      </c>
      <c r="J9" s="36" t="e">
        <f t="shared" si="1"/>
        <v>#DIV/0!</v>
      </c>
      <c r="K9" s="8" t="e">
        <f t="shared" si="2"/>
        <v>#DIV/0!</v>
      </c>
      <c r="L9" s="8" t="e">
        <f t="shared" si="3"/>
        <v>#DIV/0!</v>
      </c>
      <c r="M9" s="8" t="e">
        <f>表格1_3[[#This Row],[部內平均]]</f>
        <v>#DIV/0!</v>
      </c>
      <c r="N9" s="8"/>
      <c r="O9" s="8" t="e">
        <f>表格1_3[[#This Row],[複評平均]]</f>
        <v>#DIV/0!</v>
      </c>
      <c r="P9" s="3"/>
      <c r="Q9" s="3"/>
      <c r="R9" s="3"/>
      <c r="S9" s="3"/>
      <c r="T9" s="3"/>
      <c r="U9" s="3"/>
      <c r="V9" s="3"/>
      <c r="W9" s="38">
        <v>84.8</v>
      </c>
      <c r="X9" s="2">
        <v>7</v>
      </c>
    </row>
    <row r="10" spans="1:24" hidden="1">
      <c r="A10" s="10" t="s">
        <v>396</v>
      </c>
      <c r="B10" s="5" t="s">
        <v>139</v>
      </c>
      <c r="C10" s="4" t="s">
        <v>13</v>
      </c>
      <c r="D10" s="6" t="s">
        <v>265</v>
      </c>
      <c r="E10" s="4" t="s">
        <v>283</v>
      </c>
      <c r="F10" s="4" t="s">
        <v>93</v>
      </c>
      <c r="G10" s="41" t="e">
        <f>表格1_6[[#This Row],[加權後總分]]-表格1_6[[#This Row],[獎懲分數]]</f>
        <v>#DIV/0!</v>
      </c>
      <c r="H1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" s="39" t="e">
        <f t="shared" si="0"/>
        <v>#DIV/0!</v>
      </c>
      <c r="J10" s="36" t="e">
        <f t="shared" si="1"/>
        <v>#DIV/0!</v>
      </c>
      <c r="K10" s="8" t="e">
        <f t="shared" si="2"/>
        <v>#DIV/0!</v>
      </c>
      <c r="L10" s="8" t="e">
        <f t="shared" si="3"/>
        <v>#DIV/0!</v>
      </c>
      <c r="M10" s="8" t="e">
        <f>表格1_3[[#This Row],[部內平均]]</f>
        <v>#DIV/0!</v>
      </c>
      <c r="N10" s="8"/>
      <c r="O10" s="8" t="e">
        <f>表格1_3[[#This Row],[複評平均]]</f>
        <v>#DIV/0!</v>
      </c>
      <c r="P10" s="3"/>
      <c r="Q10" s="3"/>
      <c r="R10" s="3"/>
      <c r="S10" s="3"/>
      <c r="T10" s="3"/>
      <c r="U10" s="3"/>
      <c r="V10" s="3"/>
      <c r="W10" s="38">
        <v>83.8</v>
      </c>
      <c r="X10" s="2">
        <v>8</v>
      </c>
    </row>
    <row r="11" spans="1:24" hidden="1">
      <c r="A11" s="10" t="s">
        <v>396</v>
      </c>
      <c r="B11" s="5" t="s">
        <v>132</v>
      </c>
      <c r="C11" s="4" t="s">
        <v>312</v>
      </c>
      <c r="D11" s="6" t="s">
        <v>265</v>
      </c>
      <c r="E11" s="4" t="s">
        <v>283</v>
      </c>
      <c r="F11" s="4" t="s">
        <v>313</v>
      </c>
      <c r="G11" s="41" t="e">
        <f>表格1_6[[#This Row],[加權後總分]]-表格1_6[[#This Row],[獎懲分數]]</f>
        <v>#DIV/0!</v>
      </c>
      <c r="H1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" s="39" t="e">
        <f t="shared" si="0"/>
        <v>#DIV/0!</v>
      </c>
      <c r="J11" s="36" t="e">
        <f t="shared" si="1"/>
        <v>#DIV/0!</v>
      </c>
      <c r="K11" s="8" t="e">
        <f t="shared" si="2"/>
        <v>#DIV/0!</v>
      </c>
      <c r="L11" s="8" t="e">
        <f t="shared" si="3"/>
        <v>#DIV/0!</v>
      </c>
      <c r="M11" s="8" t="e">
        <f>表格1_3[[#This Row],[部內平均]]</f>
        <v>#DIV/0!</v>
      </c>
      <c r="N11" s="8"/>
      <c r="O11" s="8" t="e">
        <f>表格1_3[[#This Row],[複評平均]]</f>
        <v>#DIV/0!</v>
      </c>
      <c r="P11" s="3"/>
      <c r="Q11" s="3"/>
      <c r="R11" s="3"/>
      <c r="S11" s="3"/>
      <c r="T11" s="3"/>
      <c r="U11" s="3"/>
      <c r="V11" s="3"/>
      <c r="W11" s="38">
        <v>83.8</v>
      </c>
      <c r="X11" s="2">
        <v>9</v>
      </c>
    </row>
    <row r="12" spans="1:24" hidden="1">
      <c r="A12" s="10" t="s">
        <v>396</v>
      </c>
      <c r="B12" s="5" t="s">
        <v>144</v>
      </c>
      <c r="C12" s="4" t="s">
        <v>18</v>
      </c>
      <c r="D12" s="6" t="s">
        <v>265</v>
      </c>
      <c r="E12" s="4" t="s">
        <v>283</v>
      </c>
      <c r="F12" s="4" t="s">
        <v>313</v>
      </c>
      <c r="G12" s="41" t="e">
        <f>表格1_6[[#This Row],[加權後總分]]-表格1_6[[#This Row],[獎懲分數]]</f>
        <v>#DIV/0!</v>
      </c>
      <c r="H1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" s="39" t="e">
        <f t="shared" si="0"/>
        <v>#DIV/0!</v>
      </c>
      <c r="J12" s="36" t="e">
        <f t="shared" si="1"/>
        <v>#DIV/0!</v>
      </c>
      <c r="K12" s="8" t="e">
        <f t="shared" si="2"/>
        <v>#DIV/0!</v>
      </c>
      <c r="L12" s="8" t="e">
        <f t="shared" si="3"/>
        <v>#DIV/0!</v>
      </c>
      <c r="M12" s="8" t="e">
        <f>表格1_3[[#This Row],[部內平均]]</f>
        <v>#DIV/0!</v>
      </c>
      <c r="N12" s="8"/>
      <c r="O12" s="8" t="e">
        <f>表格1_3[[#This Row],[複評平均]]</f>
        <v>#DIV/0!</v>
      </c>
      <c r="P12" s="3"/>
      <c r="Q12" s="3"/>
      <c r="R12" s="3"/>
      <c r="S12" s="3"/>
      <c r="T12" s="3"/>
      <c r="U12" s="3"/>
      <c r="V12" s="3"/>
      <c r="W12" s="38">
        <v>83.6</v>
      </c>
      <c r="X12" s="2">
        <v>10</v>
      </c>
    </row>
    <row r="13" spans="1:24" hidden="1">
      <c r="A13" s="10" t="s">
        <v>396</v>
      </c>
      <c r="B13" s="5" t="s">
        <v>143</v>
      </c>
      <c r="C13" s="13" t="s">
        <v>17</v>
      </c>
      <c r="D13" s="6" t="s">
        <v>265</v>
      </c>
      <c r="E13" s="4" t="s">
        <v>283</v>
      </c>
      <c r="F13" s="4" t="s">
        <v>74</v>
      </c>
      <c r="G13" s="41" t="e">
        <f>表格1_6[[#This Row],[加權後總分]]-表格1_6[[#This Row],[獎懲分數]]</f>
        <v>#DIV/0!</v>
      </c>
      <c r="H1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3" s="39" t="e">
        <f t="shared" si="0"/>
        <v>#DIV/0!</v>
      </c>
      <c r="J13" s="36" t="e">
        <f t="shared" si="1"/>
        <v>#DIV/0!</v>
      </c>
      <c r="K13" s="8" t="e">
        <f t="shared" si="2"/>
        <v>#DIV/0!</v>
      </c>
      <c r="L13" s="8" t="e">
        <f t="shared" si="3"/>
        <v>#DIV/0!</v>
      </c>
      <c r="M13" s="8" t="e">
        <f>表格1_3[[#This Row],[部內平均]]</f>
        <v>#DIV/0!</v>
      </c>
      <c r="N13" s="8"/>
      <c r="O13" s="8" t="e">
        <f>表格1_3[[#This Row],[複評平均]]</f>
        <v>#DIV/0!</v>
      </c>
      <c r="P13" s="3"/>
      <c r="Q13" s="3"/>
      <c r="R13" s="3"/>
      <c r="S13" s="3"/>
      <c r="T13" s="3"/>
      <c r="U13" s="3"/>
      <c r="V13" s="3"/>
      <c r="W13" s="38">
        <v>83.6</v>
      </c>
      <c r="X13" s="2">
        <v>11</v>
      </c>
    </row>
    <row r="14" spans="1:24" hidden="1">
      <c r="A14" s="10" t="s">
        <v>396</v>
      </c>
      <c r="B14" s="5" t="s">
        <v>134</v>
      </c>
      <c r="C14" s="13" t="s">
        <v>8</v>
      </c>
      <c r="D14" s="6" t="s">
        <v>265</v>
      </c>
      <c r="E14" s="4" t="s">
        <v>283</v>
      </c>
      <c r="F14" s="4" t="s">
        <v>313</v>
      </c>
      <c r="G14" s="41" t="e">
        <f>表格1_6[[#This Row],[加權後總分]]-表格1_6[[#This Row],[獎懲分數]]</f>
        <v>#DIV/0!</v>
      </c>
      <c r="H1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4" s="39" t="e">
        <f t="shared" si="0"/>
        <v>#DIV/0!</v>
      </c>
      <c r="J14" s="36" t="e">
        <f t="shared" si="1"/>
        <v>#DIV/0!</v>
      </c>
      <c r="K14" s="8" t="e">
        <f t="shared" si="2"/>
        <v>#DIV/0!</v>
      </c>
      <c r="L14" s="8" t="e">
        <f t="shared" si="3"/>
        <v>#DIV/0!</v>
      </c>
      <c r="M14" s="8" t="e">
        <f>表格1_3[[#This Row],[部內平均]]</f>
        <v>#DIV/0!</v>
      </c>
      <c r="N14" s="8"/>
      <c r="O14" s="8" t="e">
        <f>表格1_3[[#This Row],[複評平均]]</f>
        <v>#DIV/0!</v>
      </c>
      <c r="P14" s="3"/>
      <c r="Q14" s="3"/>
      <c r="R14" s="3"/>
      <c r="S14" s="3"/>
      <c r="T14" s="3"/>
      <c r="U14" s="3"/>
      <c r="V14" s="3"/>
      <c r="W14" s="38">
        <v>82.8</v>
      </c>
      <c r="X14" s="2">
        <v>12</v>
      </c>
    </row>
    <row r="15" spans="1:24" hidden="1">
      <c r="A15" s="10" t="s">
        <v>396</v>
      </c>
      <c r="B15" s="5" t="s">
        <v>135</v>
      </c>
      <c r="C15" s="13" t="s">
        <v>9</v>
      </c>
      <c r="D15" s="6" t="s">
        <v>265</v>
      </c>
      <c r="E15" s="4" t="s">
        <v>283</v>
      </c>
      <c r="F15" s="4" t="s">
        <v>74</v>
      </c>
      <c r="G15" s="41" t="e">
        <f>表格1_6[[#This Row],[加權後總分]]-表格1_6[[#This Row],[獎懲分數]]</f>
        <v>#DIV/0!</v>
      </c>
      <c r="H1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5" s="39" t="e">
        <f t="shared" si="0"/>
        <v>#DIV/0!</v>
      </c>
      <c r="J15" s="36" t="e">
        <f t="shared" si="1"/>
        <v>#DIV/0!</v>
      </c>
      <c r="K15" s="8" t="e">
        <f t="shared" si="2"/>
        <v>#DIV/0!</v>
      </c>
      <c r="L15" s="8" t="e">
        <f t="shared" si="3"/>
        <v>#DIV/0!</v>
      </c>
      <c r="M15" s="8" t="e">
        <f>表格1_3[[#This Row],[部內平均]]</f>
        <v>#DIV/0!</v>
      </c>
      <c r="N15" s="8"/>
      <c r="O15" s="8" t="e">
        <f>表格1_3[[#This Row],[複評平均]]</f>
        <v>#DIV/0!</v>
      </c>
      <c r="P15" s="3"/>
      <c r="Q15" s="3"/>
      <c r="R15" s="3"/>
      <c r="S15" s="3"/>
      <c r="T15" s="3"/>
      <c r="U15" s="3"/>
      <c r="V15" s="3"/>
      <c r="W15" s="38">
        <v>82.2</v>
      </c>
      <c r="X15" s="2">
        <v>13</v>
      </c>
    </row>
    <row r="16" spans="1:24" hidden="1">
      <c r="A16" s="10" t="s">
        <v>396</v>
      </c>
      <c r="B16" s="5" t="s">
        <v>146</v>
      </c>
      <c r="C16" s="4" t="s">
        <v>20</v>
      </c>
      <c r="D16" s="6" t="s">
        <v>265</v>
      </c>
      <c r="E16" s="4" t="s">
        <v>283</v>
      </c>
      <c r="F16" s="4" t="s">
        <v>313</v>
      </c>
      <c r="G16" s="41" t="e">
        <f>表格1_6[[#This Row],[加權後總分]]-表格1_6[[#This Row],[獎懲分數]]</f>
        <v>#DIV/0!</v>
      </c>
      <c r="H1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6" s="39" t="e">
        <f t="shared" si="0"/>
        <v>#DIV/0!</v>
      </c>
      <c r="J16" s="36" t="e">
        <f t="shared" si="1"/>
        <v>#DIV/0!</v>
      </c>
      <c r="K16" s="8" t="e">
        <f t="shared" si="2"/>
        <v>#DIV/0!</v>
      </c>
      <c r="L16" s="8" t="e">
        <f t="shared" si="3"/>
        <v>#DIV/0!</v>
      </c>
      <c r="M16" s="8" t="e">
        <f>表格1_3[[#This Row],[部內平均]]</f>
        <v>#DIV/0!</v>
      </c>
      <c r="N16" s="8"/>
      <c r="O16" s="8" t="e">
        <f>表格1_3[[#This Row],[複評平均]]</f>
        <v>#DIV/0!</v>
      </c>
      <c r="P16" s="3"/>
      <c r="Q16" s="3"/>
      <c r="R16" s="3"/>
      <c r="S16" s="3"/>
      <c r="T16" s="3"/>
      <c r="U16" s="3"/>
      <c r="V16" s="3"/>
      <c r="W16" s="38">
        <v>81.400000000000006</v>
      </c>
      <c r="X16" s="2">
        <v>14</v>
      </c>
    </row>
    <row r="17" spans="1:24" hidden="1">
      <c r="A17" s="10" t="s">
        <v>396</v>
      </c>
      <c r="B17" s="5" t="s">
        <v>140</v>
      </c>
      <c r="C17" s="4" t="s">
        <v>14</v>
      </c>
      <c r="D17" s="6" t="s">
        <v>265</v>
      </c>
      <c r="E17" s="4" t="s">
        <v>283</v>
      </c>
      <c r="F17" s="4" t="s">
        <v>329</v>
      </c>
      <c r="G17" s="41" t="e">
        <f>表格1_6[[#This Row],[加權後總分]]-表格1_6[[#This Row],[獎懲分數]]</f>
        <v>#DIV/0!</v>
      </c>
      <c r="H1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7" s="39" t="e">
        <f t="shared" si="0"/>
        <v>#DIV/0!</v>
      </c>
      <c r="J17" s="36" t="e">
        <f t="shared" si="1"/>
        <v>#DIV/0!</v>
      </c>
      <c r="K17" s="8" t="e">
        <f t="shared" si="2"/>
        <v>#DIV/0!</v>
      </c>
      <c r="L17" s="8" t="e">
        <f t="shared" si="3"/>
        <v>#DIV/0!</v>
      </c>
      <c r="M17" s="8" t="e">
        <f>表格1_3[[#This Row],[部內平均]]</f>
        <v>#DIV/0!</v>
      </c>
      <c r="N17" s="8"/>
      <c r="O17" s="8" t="e">
        <f>表格1_3[[#This Row],[複評平均]]</f>
        <v>#DIV/0!</v>
      </c>
      <c r="P17" s="3"/>
      <c r="Q17" s="3"/>
      <c r="R17" s="3"/>
      <c r="S17" s="3"/>
      <c r="T17" s="3"/>
      <c r="U17" s="3"/>
      <c r="V17" s="3"/>
      <c r="W17" s="38">
        <v>81.349999999999994</v>
      </c>
      <c r="X17" s="2">
        <v>15</v>
      </c>
    </row>
    <row r="18" spans="1:24" hidden="1">
      <c r="A18" s="10" t="s">
        <v>396</v>
      </c>
      <c r="B18" s="5" t="s">
        <v>141</v>
      </c>
      <c r="C18" s="13" t="s">
        <v>15</v>
      </c>
      <c r="D18" s="6" t="s">
        <v>265</v>
      </c>
      <c r="E18" s="4" t="s">
        <v>283</v>
      </c>
      <c r="F18" s="4" t="s">
        <v>313</v>
      </c>
      <c r="G18" s="41" t="e">
        <f>表格1_6[[#This Row],[加權後總分]]-表格1_6[[#This Row],[獎懲分數]]</f>
        <v>#DIV/0!</v>
      </c>
      <c r="H1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8" s="39" t="e">
        <f t="shared" si="0"/>
        <v>#DIV/0!</v>
      </c>
      <c r="J18" s="36" t="e">
        <f t="shared" si="1"/>
        <v>#DIV/0!</v>
      </c>
      <c r="K18" s="8" t="e">
        <f t="shared" si="2"/>
        <v>#DIV/0!</v>
      </c>
      <c r="L18" s="8" t="e">
        <f t="shared" si="3"/>
        <v>#DIV/0!</v>
      </c>
      <c r="M18" s="8" t="e">
        <f>表格1_3[[#This Row],[部內平均]]</f>
        <v>#DIV/0!</v>
      </c>
      <c r="N18" s="8"/>
      <c r="O18" s="8" t="e">
        <f>表格1_3[[#This Row],[複評平均]]</f>
        <v>#DIV/0!</v>
      </c>
      <c r="P18" s="3"/>
      <c r="Q18" s="3"/>
      <c r="R18" s="3"/>
      <c r="S18" s="3"/>
      <c r="T18" s="3"/>
      <c r="U18" s="3"/>
      <c r="V18" s="3"/>
      <c r="W18" s="38">
        <v>81.058333333333337</v>
      </c>
      <c r="X18" s="2">
        <v>16</v>
      </c>
    </row>
    <row r="19" spans="1:24" hidden="1">
      <c r="A19" s="10" t="s">
        <v>396</v>
      </c>
      <c r="B19" s="5" t="s">
        <v>142</v>
      </c>
      <c r="C19" s="14" t="s">
        <v>16</v>
      </c>
      <c r="D19" s="6" t="s">
        <v>265</v>
      </c>
      <c r="E19" s="4" t="s">
        <v>283</v>
      </c>
      <c r="F19" s="4" t="s">
        <v>313</v>
      </c>
      <c r="G19" s="41" t="e">
        <f>表格1_6[[#This Row],[加權後總分]]-表格1_6[[#This Row],[獎懲分數]]</f>
        <v>#DIV/0!</v>
      </c>
      <c r="H1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9" s="39" t="e">
        <f t="shared" si="0"/>
        <v>#DIV/0!</v>
      </c>
      <c r="J19" s="36" t="e">
        <f t="shared" si="1"/>
        <v>#DIV/0!</v>
      </c>
      <c r="K19" s="8" t="e">
        <f t="shared" si="2"/>
        <v>#DIV/0!</v>
      </c>
      <c r="L19" s="8" t="e">
        <f t="shared" si="3"/>
        <v>#DIV/0!</v>
      </c>
      <c r="M19" s="8" t="e">
        <f>表格1_3[[#This Row],[部內平均]]</f>
        <v>#DIV/0!</v>
      </c>
      <c r="N19" s="8"/>
      <c r="O19" s="8" t="e">
        <f>表格1_3[[#This Row],[複評平均]]</f>
        <v>#DIV/0!</v>
      </c>
      <c r="P19" s="3"/>
      <c r="Q19" s="3"/>
      <c r="R19" s="3"/>
      <c r="S19" s="3"/>
      <c r="T19" s="3"/>
      <c r="U19" s="3"/>
      <c r="V19" s="3"/>
      <c r="W19" s="38">
        <v>80.693877551020421</v>
      </c>
      <c r="X19" s="2">
        <v>17</v>
      </c>
    </row>
    <row r="20" spans="1:24" hidden="1">
      <c r="A20" s="10" t="s">
        <v>335</v>
      </c>
      <c r="B20" s="5" t="s">
        <v>150</v>
      </c>
      <c r="C20" s="4" t="s">
        <v>23</v>
      </c>
      <c r="D20" s="6" t="s">
        <v>265</v>
      </c>
      <c r="E20" s="4" t="s">
        <v>285</v>
      </c>
      <c r="F20" s="4" t="s">
        <v>313</v>
      </c>
      <c r="G20" s="41" t="e">
        <f>表格1_6[[#This Row],[加權後總分]]-表格1_6[[#This Row],[獎懲分數]]</f>
        <v>#DIV/0!</v>
      </c>
      <c r="H2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0" s="39" t="e">
        <f t="shared" si="0"/>
        <v>#DIV/0!</v>
      </c>
      <c r="J20" s="36" t="e">
        <f t="shared" si="1"/>
        <v>#DIV/0!</v>
      </c>
      <c r="K20" s="8" t="e">
        <f t="shared" si="2"/>
        <v>#DIV/0!</v>
      </c>
      <c r="L20" s="8" t="e">
        <f t="shared" si="3"/>
        <v>#DIV/0!</v>
      </c>
      <c r="M20" s="8" t="e">
        <f>表格1_3[[#This Row],[部內平均]]</f>
        <v>#DIV/0!</v>
      </c>
      <c r="N20" s="8" t="e">
        <f>表格1_3[[#This Row],[共評平均]]</f>
        <v>#DIV/0!</v>
      </c>
      <c r="O20" s="8" t="e">
        <f>表格1_3[[#This Row],[複評平均]]</f>
        <v>#DIV/0!</v>
      </c>
      <c r="P20" s="3"/>
      <c r="Q20" s="3"/>
      <c r="R20" s="3"/>
      <c r="S20" s="3"/>
      <c r="T20" s="3"/>
      <c r="U20" s="3"/>
      <c r="V20" s="3"/>
      <c r="W20" s="38">
        <v>80.599999999999994</v>
      </c>
      <c r="X20" s="2">
        <v>18</v>
      </c>
    </row>
    <row r="21" spans="1:24" hidden="1">
      <c r="A21" s="10" t="s">
        <v>390</v>
      </c>
      <c r="B21" s="5" t="s">
        <v>147</v>
      </c>
      <c r="C21" s="4" t="s">
        <v>21</v>
      </c>
      <c r="D21" s="6" t="s">
        <v>265</v>
      </c>
      <c r="E21" s="4" t="s">
        <v>283</v>
      </c>
      <c r="F21" s="4" t="s">
        <v>313</v>
      </c>
      <c r="G21" s="41" t="e">
        <f>表格1_6[[#This Row],[加權後總分]]-表格1_6[[#This Row],[獎懲分數]]</f>
        <v>#DIV/0!</v>
      </c>
      <c r="H2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1" s="39" t="e">
        <f t="shared" si="0"/>
        <v>#DIV/0!</v>
      </c>
      <c r="J21" s="36" t="e">
        <f t="shared" si="1"/>
        <v>#DIV/0!</v>
      </c>
      <c r="K21" s="8" t="e">
        <f t="shared" si="2"/>
        <v>#DIV/0!</v>
      </c>
      <c r="L21" s="8" t="e">
        <f t="shared" si="3"/>
        <v>#DIV/0!</v>
      </c>
      <c r="M21" s="8" t="e">
        <f>表格1_3[[#This Row],[部內平均]]</f>
        <v>#DIV/0!</v>
      </c>
      <c r="N21" s="8"/>
      <c r="O21" s="8" t="e">
        <f>表格1_3[[#This Row],[複評平均]]</f>
        <v>#DIV/0!</v>
      </c>
      <c r="P21" s="3"/>
      <c r="Q21" s="3"/>
      <c r="R21" s="3"/>
      <c r="S21" s="3"/>
      <c r="T21" s="3"/>
      <c r="U21" s="3"/>
      <c r="V21" s="3"/>
      <c r="W21" s="38">
        <v>80.5</v>
      </c>
      <c r="X21" s="2">
        <v>19</v>
      </c>
    </row>
    <row r="22" spans="1:24" hidden="1">
      <c r="A22" s="10" t="s">
        <v>389</v>
      </c>
      <c r="B22" s="5" t="s">
        <v>145</v>
      </c>
      <c r="C22" s="4" t="s">
        <v>19</v>
      </c>
      <c r="D22" s="6" t="s">
        <v>265</v>
      </c>
      <c r="E22" s="4" t="s">
        <v>285</v>
      </c>
      <c r="F22" s="4" t="s">
        <v>313</v>
      </c>
      <c r="G22" s="41" t="e">
        <f>表格1_6[[#This Row],[加權後總分]]-表格1_6[[#This Row],[獎懲分數]]</f>
        <v>#DIV/0!</v>
      </c>
      <c r="H2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2" s="39" t="e">
        <f t="shared" si="0"/>
        <v>#DIV/0!</v>
      </c>
      <c r="J22" s="36" t="e">
        <f t="shared" si="1"/>
        <v>#DIV/0!</v>
      </c>
      <c r="K22" s="8" t="e">
        <f t="shared" si="2"/>
        <v>#DIV/0!</v>
      </c>
      <c r="L22" s="8" t="e">
        <f t="shared" si="3"/>
        <v>#DIV/0!</v>
      </c>
      <c r="M22" s="8" t="e">
        <f>表格1_3[[#This Row],[部內平均]]</f>
        <v>#DIV/0!</v>
      </c>
      <c r="N22" s="8" t="e">
        <f>表格1_3[[#This Row],[共評平均]]</f>
        <v>#DIV/0!</v>
      </c>
      <c r="O22" s="8" t="e">
        <f>表格1_3[[#This Row],[複評平均]]</f>
        <v>#DIV/0!</v>
      </c>
      <c r="P22" s="3"/>
      <c r="Q22" s="3"/>
      <c r="R22" s="3"/>
      <c r="S22" s="3"/>
      <c r="T22" s="3"/>
      <c r="U22" s="3"/>
      <c r="V22" s="3"/>
      <c r="W22" s="38">
        <v>79.938775510204081</v>
      </c>
      <c r="X22" s="2">
        <v>20</v>
      </c>
    </row>
    <row r="23" spans="1:24" hidden="1">
      <c r="A23" s="10" t="s">
        <v>335</v>
      </c>
      <c r="B23" s="5" t="s">
        <v>148</v>
      </c>
      <c r="C23" s="4" t="s">
        <v>313</v>
      </c>
      <c r="D23" s="6" t="s">
        <v>265</v>
      </c>
      <c r="E23" s="4" t="s">
        <v>5</v>
      </c>
      <c r="F23" s="4" t="s">
        <v>74</v>
      </c>
      <c r="G23" s="41" t="e">
        <f>表格1_6[[#This Row],[加權後總分]]-表格1_6[[#This Row],[獎懲分數]]</f>
        <v>#DIV/0!</v>
      </c>
      <c r="H2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3" s="39" t="e">
        <f t="shared" si="0"/>
        <v>#DIV/0!</v>
      </c>
      <c r="J23" s="36" t="e">
        <f t="shared" si="1"/>
        <v>#DIV/0!</v>
      </c>
      <c r="K23" s="8" t="e">
        <f t="shared" si="2"/>
        <v>#DIV/0!</v>
      </c>
      <c r="L23" s="8" t="e">
        <f t="shared" si="3"/>
        <v>#DIV/0!</v>
      </c>
      <c r="M23" s="8" t="e">
        <f>表格1_3[[#This Row],[部內平均]]</f>
        <v>#DIV/0!</v>
      </c>
      <c r="N23" s="8" t="e">
        <f>表格1_3[[#This Row],[共評平均]]</f>
        <v>#DIV/0!</v>
      </c>
      <c r="O23" s="8" t="e">
        <f>表格1_3[[#This Row],[複評平均]]</f>
        <v>#DIV/0!</v>
      </c>
      <c r="P23" s="3">
        <v>1</v>
      </c>
      <c r="Q23" s="3"/>
      <c r="R23" s="3"/>
      <c r="S23" s="3"/>
      <c r="T23" s="3"/>
      <c r="U23" s="3"/>
      <c r="V23" s="3">
        <v>3</v>
      </c>
      <c r="W23" s="38">
        <v>79.416666666666657</v>
      </c>
      <c r="X23" s="2">
        <v>21</v>
      </c>
    </row>
    <row r="24" spans="1:24" hidden="1">
      <c r="A24" s="10" t="s">
        <v>397</v>
      </c>
      <c r="B24" s="5" t="s">
        <v>149</v>
      </c>
      <c r="C24" s="14" t="s">
        <v>22</v>
      </c>
      <c r="D24" s="6" t="s">
        <v>265</v>
      </c>
      <c r="E24" s="4" t="s">
        <v>283</v>
      </c>
      <c r="F24" s="4" t="s">
        <v>313</v>
      </c>
      <c r="G24" s="41" t="e">
        <f>表格1_6[[#This Row],[加權後總分]]-表格1_6[[#This Row],[獎懲分數]]</f>
        <v>#DIV/0!</v>
      </c>
      <c r="H2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4" s="39" t="e">
        <f t="shared" si="0"/>
        <v>#DIV/0!</v>
      </c>
      <c r="J24" s="36" t="e">
        <f t="shared" si="1"/>
        <v>#DIV/0!</v>
      </c>
      <c r="K24" s="8" t="e">
        <f t="shared" si="2"/>
        <v>#DIV/0!</v>
      </c>
      <c r="L24" s="8" t="e">
        <f t="shared" si="3"/>
        <v>#DIV/0!</v>
      </c>
      <c r="M24" s="8" t="e">
        <f>表格1_3[[#This Row],[部內平均]]</f>
        <v>#DIV/0!</v>
      </c>
      <c r="N24" s="8"/>
      <c r="O24" s="8" t="e">
        <f>表格1_3[[#This Row],[複評平均]]</f>
        <v>#DIV/0!</v>
      </c>
      <c r="P24" s="3"/>
      <c r="Q24" s="3"/>
      <c r="R24" s="3"/>
      <c r="S24" s="3"/>
      <c r="T24" s="3"/>
      <c r="U24" s="3"/>
      <c r="V24" s="3"/>
      <c r="W24" s="38">
        <v>79.285714285714292</v>
      </c>
      <c r="X24" s="2">
        <v>22</v>
      </c>
    </row>
    <row r="25" spans="1:24" hidden="1">
      <c r="A25" s="10" t="s">
        <v>398</v>
      </c>
      <c r="B25" s="5" t="s">
        <v>151</v>
      </c>
      <c r="C25" s="4" t="s">
        <v>24</v>
      </c>
      <c r="D25" s="6" t="s">
        <v>266</v>
      </c>
      <c r="E25" s="4" t="s">
        <v>283</v>
      </c>
      <c r="F25" s="4" t="s">
        <v>329</v>
      </c>
      <c r="G25" s="41" t="e">
        <f>表格1_6[[#This Row],[加權後總分]]-表格1_6[[#This Row],[獎懲分數]]</f>
        <v>#DIV/0!</v>
      </c>
      <c r="H2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5" s="39" t="e">
        <f t="shared" si="0"/>
        <v>#DIV/0!</v>
      </c>
      <c r="J25" s="36" t="e">
        <f t="shared" si="1"/>
        <v>#DIV/0!</v>
      </c>
      <c r="K25" s="8" t="e">
        <f t="shared" si="2"/>
        <v>#DIV/0!</v>
      </c>
      <c r="L25" s="8" t="e">
        <f t="shared" si="3"/>
        <v>#DIV/0!</v>
      </c>
      <c r="M25" s="8" t="e">
        <f>表格1_3[[#This Row],[部內平均]]</f>
        <v>#DIV/0!</v>
      </c>
      <c r="N25" s="8"/>
      <c r="O25" s="8" t="e">
        <f>表格1_3[[#This Row],[複評平均]]</f>
        <v>#DIV/0!</v>
      </c>
      <c r="P25" s="3"/>
      <c r="Q25" s="3"/>
      <c r="R25" s="3"/>
      <c r="S25" s="3"/>
      <c r="T25" s="3"/>
      <c r="U25" s="3"/>
      <c r="V25" s="3"/>
      <c r="W25" s="38">
        <v>79.109090909090895</v>
      </c>
      <c r="X25" s="2">
        <v>23</v>
      </c>
    </row>
    <row r="26" spans="1:24" hidden="1">
      <c r="A26" s="10" t="s">
        <v>397</v>
      </c>
      <c r="B26" s="5" t="s">
        <v>152</v>
      </c>
      <c r="C26" s="4" t="s">
        <v>25</v>
      </c>
      <c r="D26" s="6" t="s">
        <v>266</v>
      </c>
      <c r="E26" s="4" t="s">
        <v>283</v>
      </c>
      <c r="F26" s="4" t="s">
        <v>35</v>
      </c>
      <c r="G26" s="41" t="e">
        <f>表格1_6[[#This Row],[加權後總分]]-表格1_6[[#This Row],[獎懲分數]]</f>
        <v>#DIV/0!</v>
      </c>
      <c r="H2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6" s="39" t="e">
        <f t="shared" si="0"/>
        <v>#DIV/0!</v>
      </c>
      <c r="J26" s="36" t="e">
        <f t="shared" si="1"/>
        <v>#DIV/0!</v>
      </c>
      <c r="K26" s="8" t="e">
        <f t="shared" si="2"/>
        <v>#DIV/0!</v>
      </c>
      <c r="L26" s="8" t="e">
        <f t="shared" si="3"/>
        <v>#DIV/0!</v>
      </c>
      <c r="M26" s="8" t="e">
        <f>表格1_3[[#This Row],[部內平均]]</f>
        <v>#DIV/0!</v>
      </c>
      <c r="N26" s="8"/>
      <c r="O26" s="8" t="e">
        <f>表格1_3[[#This Row],[複評平均]]</f>
        <v>#DIV/0!</v>
      </c>
      <c r="P26" s="3"/>
      <c r="Q26" s="3"/>
      <c r="R26" s="3"/>
      <c r="S26" s="3"/>
      <c r="T26" s="3"/>
      <c r="U26" s="3"/>
      <c r="V26" s="3"/>
      <c r="W26" s="38">
        <v>79</v>
      </c>
      <c r="X26" s="2">
        <v>24</v>
      </c>
    </row>
    <row r="27" spans="1:24" hidden="1">
      <c r="A27" s="10" t="s">
        <v>399</v>
      </c>
      <c r="B27" s="5" t="s">
        <v>157</v>
      </c>
      <c r="C27" s="13" t="s">
        <v>30</v>
      </c>
      <c r="D27" s="6" t="s">
        <v>266</v>
      </c>
      <c r="E27" s="4" t="s">
        <v>283</v>
      </c>
      <c r="F27" s="4" t="s">
        <v>329</v>
      </c>
      <c r="G27" s="41" t="e">
        <f>表格1_6[[#This Row],[加權後總分]]-表格1_6[[#This Row],[獎懲分數]]</f>
        <v>#DIV/0!</v>
      </c>
      <c r="H2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7" s="39" t="e">
        <f t="shared" si="0"/>
        <v>#DIV/0!</v>
      </c>
      <c r="J27" s="36" t="e">
        <f t="shared" si="1"/>
        <v>#DIV/0!</v>
      </c>
      <c r="K27" s="8" t="e">
        <f t="shared" si="2"/>
        <v>#DIV/0!</v>
      </c>
      <c r="L27" s="8" t="e">
        <f t="shared" si="3"/>
        <v>#DIV/0!</v>
      </c>
      <c r="M27" s="8" t="e">
        <f>表格1_3[[#This Row],[部內平均]]</f>
        <v>#DIV/0!</v>
      </c>
      <c r="N27" s="8"/>
      <c r="O27" s="8" t="e">
        <f>表格1_3[[#This Row],[複評平均]]</f>
        <v>#DIV/0!</v>
      </c>
      <c r="P27" s="3"/>
      <c r="Q27" s="3"/>
      <c r="R27" s="3"/>
      <c r="S27" s="3"/>
      <c r="T27" s="3"/>
      <c r="U27" s="3"/>
      <c r="V27" s="3"/>
      <c r="W27" s="38">
        <v>78.957142857142856</v>
      </c>
      <c r="X27" s="2">
        <v>25</v>
      </c>
    </row>
    <row r="28" spans="1:24" hidden="1">
      <c r="A28" s="10" t="s">
        <v>389</v>
      </c>
      <c r="B28" s="5" t="s">
        <v>153</v>
      </c>
      <c r="C28" s="4" t="s">
        <v>26</v>
      </c>
      <c r="D28" s="6" t="s">
        <v>266</v>
      </c>
      <c r="E28" s="4" t="s">
        <v>283</v>
      </c>
      <c r="F28" s="4" t="s">
        <v>329</v>
      </c>
      <c r="G28" s="41" t="e">
        <f>表格1_6[[#This Row],[加權後總分]]-表格1_6[[#This Row],[獎懲分數]]</f>
        <v>#DIV/0!</v>
      </c>
      <c r="H2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8" s="39" t="e">
        <f t="shared" si="0"/>
        <v>#DIV/0!</v>
      </c>
      <c r="J28" s="36" t="e">
        <f t="shared" si="1"/>
        <v>#DIV/0!</v>
      </c>
      <c r="K28" s="8" t="e">
        <f t="shared" si="2"/>
        <v>#DIV/0!</v>
      </c>
      <c r="L28" s="8" t="e">
        <f t="shared" si="3"/>
        <v>#DIV/0!</v>
      </c>
      <c r="M28" s="8" t="e">
        <f>表格1_3[[#This Row],[部內平均]]</f>
        <v>#DIV/0!</v>
      </c>
      <c r="N28" s="8"/>
      <c r="O28" s="8" t="e">
        <f>表格1_3[[#This Row],[複評平均]]</f>
        <v>#DIV/0!</v>
      </c>
      <c r="P28" s="3"/>
      <c r="Q28" s="3"/>
      <c r="R28" s="3"/>
      <c r="S28" s="3"/>
      <c r="T28" s="3"/>
      <c r="U28" s="3"/>
      <c r="V28" s="3"/>
      <c r="W28" s="38">
        <v>78.732142857142861</v>
      </c>
      <c r="X28" s="2">
        <v>26</v>
      </c>
    </row>
    <row r="29" spans="1:24" hidden="1">
      <c r="A29" s="10" t="s">
        <v>399</v>
      </c>
      <c r="B29" s="5" t="s">
        <v>154</v>
      </c>
      <c r="C29" s="4" t="s">
        <v>27</v>
      </c>
      <c r="D29" s="6" t="s">
        <v>266</v>
      </c>
      <c r="E29" s="4" t="s">
        <v>283</v>
      </c>
      <c r="F29" s="4" t="s">
        <v>329</v>
      </c>
      <c r="G29" s="41" t="e">
        <f>表格1_6[[#This Row],[加權後總分]]-表格1_6[[#This Row],[獎懲分數]]</f>
        <v>#DIV/0!</v>
      </c>
      <c r="H2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29" s="39" t="e">
        <f t="shared" si="0"/>
        <v>#DIV/0!</v>
      </c>
      <c r="J29" s="36" t="e">
        <f t="shared" si="1"/>
        <v>#DIV/0!</v>
      </c>
      <c r="K29" s="8" t="e">
        <f t="shared" si="2"/>
        <v>#DIV/0!</v>
      </c>
      <c r="L29" s="8" t="e">
        <f t="shared" si="3"/>
        <v>#DIV/0!</v>
      </c>
      <c r="M29" s="8" t="e">
        <f>表格1_3[[#This Row],[部內平均]]</f>
        <v>#DIV/0!</v>
      </c>
      <c r="N29" s="8"/>
      <c r="O29" s="8" t="e">
        <f>表格1_3[[#This Row],[複評平均]]</f>
        <v>#DIV/0!</v>
      </c>
      <c r="P29" s="3"/>
      <c r="Q29" s="3"/>
      <c r="R29" s="3"/>
      <c r="S29" s="3"/>
      <c r="T29" s="3"/>
      <c r="U29" s="3"/>
      <c r="V29" s="3"/>
      <c r="W29" s="38">
        <v>78.199999999999989</v>
      </c>
      <c r="X29" s="2">
        <v>27</v>
      </c>
    </row>
    <row r="30" spans="1:24" hidden="1">
      <c r="A30" s="10" t="s">
        <v>400</v>
      </c>
      <c r="B30" s="5" t="s">
        <v>156</v>
      </c>
      <c r="C30" s="4" t="s">
        <v>29</v>
      </c>
      <c r="D30" s="6" t="s">
        <v>266</v>
      </c>
      <c r="E30" s="4" t="s">
        <v>283</v>
      </c>
      <c r="F30" s="4" t="s">
        <v>329</v>
      </c>
      <c r="G30" s="41" t="e">
        <f>表格1_6[[#This Row],[加權後總分]]-表格1_6[[#This Row],[獎懲分數]]</f>
        <v>#DIV/0!</v>
      </c>
      <c r="H3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0" s="39" t="e">
        <f t="shared" si="0"/>
        <v>#DIV/0!</v>
      </c>
      <c r="J30" s="36" t="e">
        <f t="shared" si="1"/>
        <v>#DIV/0!</v>
      </c>
      <c r="K30" s="8" t="e">
        <f t="shared" si="2"/>
        <v>#DIV/0!</v>
      </c>
      <c r="L30" s="8" t="e">
        <f t="shared" si="3"/>
        <v>#DIV/0!</v>
      </c>
      <c r="M30" s="8" t="e">
        <f>表格1_3[[#This Row],[部內平均]]</f>
        <v>#DIV/0!</v>
      </c>
      <c r="N30" s="8"/>
      <c r="O30" s="8" t="e">
        <f>表格1_3[[#This Row],[複評平均]]</f>
        <v>#DIV/0!</v>
      </c>
      <c r="P30" s="3"/>
      <c r="Q30" s="3"/>
      <c r="R30" s="3"/>
      <c r="S30" s="3"/>
      <c r="T30" s="3"/>
      <c r="U30" s="3"/>
      <c r="V30" s="3"/>
      <c r="W30" s="38">
        <v>77.8</v>
      </c>
      <c r="X30" s="2">
        <v>28</v>
      </c>
    </row>
    <row r="31" spans="1:24" hidden="1">
      <c r="A31" s="10" t="s">
        <v>397</v>
      </c>
      <c r="B31" s="5" t="s">
        <v>155</v>
      </c>
      <c r="C31" s="4" t="s">
        <v>28</v>
      </c>
      <c r="D31" s="6" t="s">
        <v>266</v>
      </c>
      <c r="E31" s="4" t="s">
        <v>283</v>
      </c>
      <c r="F31" s="4" t="s">
        <v>329</v>
      </c>
      <c r="G31" s="41" t="e">
        <f>表格1_6[[#This Row],[加權後總分]]-表格1_6[[#This Row],[獎懲分數]]</f>
        <v>#DIV/0!</v>
      </c>
      <c r="H3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1" s="39" t="e">
        <f t="shared" si="0"/>
        <v>#DIV/0!</v>
      </c>
      <c r="J31" s="36" t="e">
        <f t="shared" si="1"/>
        <v>#DIV/0!</v>
      </c>
      <c r="K31" s="8" t="e">
        <f t="shared" si="2"/>
        <v>#DIV/0!</v>
      </c>
      <c r="L31" s="8" t="e">
        <f t="shared" si="3"/>
        <v>#DIV/0!</v>
      </c>
      <c r="M31" s="8" t="e">
        <f>表格1_3[[#This Row],[部內平均]]</f>
        <v>#DIV/0!</v>
      </c>
      <c r="N31" s="8"/>
      <c r="O31" s="8" t="e">
        <f>表格1_3[[#This Row],[複評平均]]</f>
        <v>#DIV/0!</v>
      </c>
      <c r="P31" s="3"/>
      <c r="Q31" s="3"/>
      <c r="R31" s="3"/>
      <c r="S31" s="3"/>
      <c r="T31" s="3"/>
      <c r="U31" s="3"/>
      <c r="V31" s="3"/>
      <c r="W31" s="38">
        <v>77.599999999999994</v>
      </c>
      <c r="X31" s="2">
        <v>29</v>
      </c>
    </row>
    <row r="32" spans="1:24" hidden="1">
      <c r="A32" s="10" t="s">
        <v>389</v>
      </c>
      <c r="B32" s="5" t="s">
        <v>158</v>
      </c>
      <c r="C32" s="13" t="s">
        <v>31</v>
      </c>
      <c r="D32" s="6" t="s">
        <v>266</v>
      </c>
      <c r="E32" s="4" t="s">
        <v>283</v>
      </c>
      <c r="F32" s="4" t="s">
        <v>35</v>
      </c>
      <c r="G32" s="41" t="e">
        <f>表格1_6[[#This Row],[加權後總分]]-表格1_6[[#This Row],[獎懲分數]]</f>
        <v>#DIV/0!</v>
      </c>
      <c r="H3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2" s="39" t="e">
        <f t="shared" si="0"/>
        <v>#DIV/0!</v>
      </c>
      <c r="J32" s="36" t="e">
        <f t="shared" si="1"/>
        <v>#DIV/0!</v>
      </c>
      <c r="K32" s="8" t="e">
        <f t="shared" si="2"/>
        <v>#DIV/0!</v>
      </c>
      <c r="L32" s="8" t="e">
        <f t="shared" si="3"/>
        <v>#DIV/0!</v>
      </c>
      <c r="M32" s="8" t="e">
        <f>表格1_3[[#This Row],[部內平均]]</f>
        <v>#DIV/0!</v>
      </c>
      <c r="N32" s="8"/>
      <c r="O32" s="8" t="e">
        <f>表格1_3[[#This Row],[複評平均]]</f>
        <v>#DIV/0!</v>
      </c>
      <c r="P32" s="3"/>
      <c r="Q32" s="3"/>
      <c r="R32" s="3"/>
      <c r="S32" s="3"/>
      <c r="T32" s="3"/>
      <c r="U32" s="3"/>
      <c r="V32" s="3"/>
      <c r="W32" s="38">
        <v>77.400000000000006</v>
      </c>
      <c r="X32" s="2">
        <v>30</v>
      </c>
    </row>
    <row r="33" spans="1:24" hidden="1">
      <c r="A33" s="10" t="s">
        <v>396</v>
      </c>
      <c r="B33" s="5" t="s">
        <v>160</v>
      </c>
      <c r="C33" s="4" t="s">
        <v>33</v>
      </c>
      <c r="D33" s="6" t="s">
        <v>266</v>
      </c>
      <c r="E33" s="4" t="s">
        <v>283</v>
      </c>
      <c r="F33" s="4" t="s">
        <v>329</v>
      </c>
      <c r="G33" s="41" t="e">
        <f>表格1_6[[#This Row],[加權後總分]]-表格1_6[[#This Row],[獎懲分數]]</f>
        <v>#DIV/0!</v>
      </c>
      <c r="H3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3" s="39" t="e">
        <f t="shared" si="0"/>
        <v>#DIV/0!</v>
      </c>
      <c r="J33" s="36" t="e">
        <f t="shared" si="1"/>
        <v>#DIV/0!</v>
      </c>
      <c r="K33" s="8" t="e">
        <f t="shared" si="2"/>
        <v>#DIV/0!</v>
      </c>
      <c r="L33" s="8" t="e">
        <f t="shared" si="3"/>
        <v>#DIV/0!</v>
      </c>
      <c r="M33" s="8" t="e">
        <f>表格1_3[[#This Row],[部內平均]]</f>
        <v>#DIV/0!</v>
      </c>
      <c r="N33" s="8"/>
      <c r="O33" s="8" t="e">
        <f>表格1_3[[#This Row],[複評平均]]</f>
        <v>#DIV/0!</v>
      </c>
      <c r="P33" s="3"/>
      <c r="Q33" s="3"/>
      <c r="R33" s="3"/>
      <c r="S33" s="3"/>
      <c r="T33" s="3"/>
      <c r="U33" s="3"/>
      <c r="V33" s="3"/>
      <c r="W33" s="38">
        <v>77.3</v>
      </c>
      <c r="X33" s="2">
        <v>31</v>
      </c>
    </row>
    <row r="34" spans="1:24" hidden="1">
      <c r="A34" s="10" t="s">
        <v>401</v>
      </c>
      <c r="B34" s="5" t="s">
        <v>159</v>
      </c>
      <c r="C34" s="4" t="s">
        <v>32</v>
      </c>
      <c r="D34" s="6" t="s">
        <v>266</v>
      </c>
      <c r="E34" s="4" t="s">
        <v>283</v>
      </c>
      <c r="F34" s="4" t="s">
        <v>35</v>
      </c>
      <c r="G34" s="41" t="e">
        <f>表格1_6[[#This Row],[加權後總分]]-表格1_6[[#This Row],[獎懲分數]]</f>
        <v>#DIV/0!</v>
      </c>
      <c r="H3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4" s="39" t="e">
        <f t="shared" si="0"/>
        <v>#DIV/0!</v>
      </c>
      <c r="J34" s="36" t="e">
        <f t="shared" si="1"/>
        <v>#DIV/0!</v>
      </c>
      <c r="K34" s="8" t="e">
        <f t="shared" si="2"/>
        <v>#DIV/0!</v>
      </c>
      <c r="L34" s="8" t="e">
        <f t="shared" si="3"/>
        <v>#DIV/0!</v>
      </c>
      <c r="M34" s="8" t="e">
        <f>表格1_3[[#This Row],[部內平均]]</f>
        <v>#DIV/0!</v>
      </c>
      <c r="N34" s="8"/>
      <c r="O34" s="8" t="e">
        <f>表格1_3[[#This Row],[複評平均]]</f>
        <v>#DIV/0!</v>
      </c>
      <c r="P34" s="3"/>
      <c r="Q34" s="3"/>
      <c r="R34" s="3"/>
      <c r="S34" s="3"/>
      <c r="T34" s="3"/>
      <c r="U34" s="3"/>
      <c r="V34" s="3"/>
      <c r="W34" s="38">
        <v>77.125</v>
      </c>
      <c r="X34" s="2">
        <v>32</v>
      </c>
    </row>
    <row r="35" spans="1:24" hidden="1">
      <c r="A35" s="10" t="s">
        <v>389</v>
      </c>
      <c r="B35" s="5" t="s">
        <v>161</v>
      </c>
      <c r="C35" s="13" t="s">
        <v>34</v>
      </c>
      <c r="D35" s="6" t="s">
        <v>266</v>
      </c>
      <c r="E35" s="4" t="s">
        <v>283</v>
      </c>
      <c r="F35" s="4" t="s">
        <v>35</v>
      </c>
      <c r="G35" s="41" t="e">
        <f>表格1_6[[#This Row],[加權後總分]]-表格1_6[[#This Row],[獎懲分數]]</f>
        <v>#DIV/0!</v>
      </c>
      <c r="H3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5" s="39" t="e">
        <f t="shared" si="0"/>
        <v>#DIV/0!</v>
      </c>
      <c r="J35" s="36" t="e">
        <f t="shared" si="1"/>
        <v>#DIV/0!</v>
      </c>
      <c r="K35" s="8" t="e">
        <f t="shared" si="2"/>
        <v>#DIV/0!</v>
      </c>
      <c r="L35" s="8" t="e">
        <f t="shared" si="3"/>
        <v>#DIV/0!</v>
      </c>
      <c r="M35" s="8" t="e">
        <f>表格1_3[[#This Row],[部內平均]]</f>
        <v>#DIV/0!</v>
      </c>
      <c r="N35" s="8"/>
      <c r="O35" s="8" t="e">
        <f>表格1_3[[#This Row],[複評平均]]</f>
        <v>#DIV/0!</v>
      </c>
      <c r="P35" s="3"/>
      <c r="Q35" s="3"/>
      <c r="R35" s="3"/>
      <c r="S35" s="3"/>
      <c r="T35" s="3"/>
      <c r="U35" s="3"/>
      <c r="V35" s="3"/>
      <c r="W35" s="38">
        <v>77.061224489795933</v>
      </c>
      <c r="X35" s="2">
        <v>33</v>
      </c>
    </row>
    <row r="36" spans="1:24" hidden="1">
      <c r="A36" s="10" t="s">
        <v>396</v>
      </c>
      <c r="B36" s="5" t="s">
        <v>314</v>
      </c>
      <c r="C36" s="14" t="s">
        <v>315</v>
      </c>
      <c r="D36" s="6" t="s">
        <v>266</v>
      </c>
      <c r="E36" s="4" t="s">
        <v>283</v>
      </c>
      <c r="F36" s="4" t="s">
        <v>35</v>
      </c>
      <c r="G36" s="41" t="e">
        <f>表格1_6[[#This Row],[加權後總分]]-表格1_6[[#This Row],[獎懲分數]]</f>
        <v>#DIV/0!</v>
      </c>
      <c r="H3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6" s="39" t="e">
        <f t="shared" si="0"/>
        <v>#DIV/0!</v>
      </c>
      <c r="J36" s="36" t="e">
        <f t="shared" si="1"/>
        <v>#DIV/0!</v>
      </c>
      <c r="K36" s="8" t="e">
        <f t="shared" si="2"/>
        <v>#DIV/0!</v>
      </c>
      <c r="L36" s="8" t="e">
        <f t="shared" si="3"/>
        <v>#DIV/0!</v>
      </c>
      <c r="M36" s="8" t="e">
        <f>表格1_3[[#This Row],[部內平均]]</f>
        <v>#DIV/0!</v>
      </c>
      <c r="N36" s="8"/>
      <c r="O36" s="8" t="e">
        <f>表格1_3[[#This Row],[複評平均]]</f>
        <v>#DIV/0!</v>
      </c>
      <c r="P36" s="3"/>
      <c r="Q36" s="3"/>
      <c r="R36" s="3"/>
      <c r="S36" s="3"/>
      <c r="T36" s="3"/>
      <c r="U36" s="3"/>
      <c r="V36" s="3"/>
      <c r="W36" s="38">
        <v>77</v>
      </c>
      <c r="X36" s="2">
        <v>34</v>
      </c>
    </row>
    <row r="37" spans="1:24" hidden="1">
      <c r="A37" s="10" t="s">
        <v>335</v>
      </c>
      <c r="B37" s="5" t="s">
        <v>162</v>
      </c>
      <c r="C37" s="4" t="s">
        <v>35</v>
      </c>
      <c r="D37" s="6" t="s">
        <v>266</v>
      </c>
      <c r="E37" s="4" t="s">
        <v>286</v>
      </c>
      <c r="F37" s="4" t="s">
        <v>77</v>
      </c>
      <c r="G37" s="41" t="e">
        <f>表格1_6[[#This Row],[加權後總分]]-表格1_6[[#This Row],[獎懲分數]]</f>
        <v>#DIV/0!</v>
      </c>
      <c r="H3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7" s="39" t="e">
        <f t="shared" si="0"/>
        <v>#DIV/0!</v>
      </c>
      <c r="J37" s="36" t="e">
        <f t="shared" si="1"/>
        <v>#DIV/0!</v>
      </c>
      <c r="K37" s="8" t="e">
        <f t="shared" si="2"/>
        <v>#DIV/0!</v>
      </c>
      <c r="L37" s="8" t="e">
        <f t="shared" si="3"/>
        <v>#DIV/0!</v>
      </c>
      <c r="M37" s="8" t="e">
        <f>表格1_3[[#This Row],[部內平均]]</f>
        <v>#DIV/0!</v>
      </c>
      <c r="N37" s="8" t="e">
        <f>表格1_3[[#This Row],[共評平均]]</f>
        <v>#DIV/0!</v>
      </c>
      <c r="O37" s="8"/>
      <c r="P37" s="3"/>
      <c r="Q37" s="3"/>
      <c r="R37" s="3"/>
      <c r="S37" s="3"/>
      <c r="T37" s="3"/>
      <c r="U37" s="3"/>
      <c r="V37" s="3"/>
      <c r="W37" s="38">
        <v>77</v>
      </c>
      <c r="X37" s="2">
        <v>35</v>
      </c>
    </row>
    <row r="38" spans="1:24" hidden="1">
      <c r="A38" s="10" t="s">
        <v>402</v>
      </c>
      <c r="B38" s="5" t="s">
        <v>163</v>
      </c>
      <c r="C38" s="4" t="s">
        <v>36</v>
      </c>
      <c r="D38" s="6" t="s">
        <v>267</v>
      </c>
      <c r="E38" s="4" t="s">
        <v>283</v>
      </c>
      <c r="F38" s="4" t="s">
        <v>38</v>
      </c>
      <c r="G38" s="41" t="e">
        <f>表格1_6[[#This Row],[加權後總分]]-表格1_6[[#This Row],[獎懲分數]]</f>
        <v>#DIV/0!</v>
      </c>
      <c r="H3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8" s="39" t="e">
        <f t="shared" si="0"/>
        <v>#DIV/0!</v>
      </c>
      <c r="J38" s="36" t="e">
        <f t="shared" si="1"/>
        <v>#DIV/0!</v>
      </c>
      <c r="K38" s="8" t="e">
        <f t="shared" si="2"/>
        <v>#DIV/0!</v>
      </c>
      <c r="L38" s="8" t="e">
        <f t="shared" si="3"/>
        <v>#DIV/0!</v>
      </c>
      <c r="M38" s="8" t="e">
        <f>表格1_3[[#This Row],[部內平均]]</f>
        <v>#DIV/0!</v>
      </c>
      <c r="N38" s="8"/>
      <c r="O38" s="8" t="e">
        <f>表格1_3[[#This Row],[複評平均]]</f>
        <v>#DIV/0!</v>
      </c>
      <c r="P38" s="3"/>
      <c r="Q38" s="3"/>
      <c r="R38" s="3"/>
      <c r="S38" s="3"/>
      <c r="T38" s="3"/>
      <c r="U38" s="3"/>
      <c r="V38" s="3"/>
      <c r="W38" s="38">
        <v>76.959183673469383</v>
      </c>
      <c r="X38" s="2">
        <v>36</v>
      </c>
    </row>
    <row r="39" spans="1:24" hidden="1">
      <c r="A39" s="10" t="s">
        <v>335</v>
      </c>
      <c r="B39" s="5" t="s">
        <v>165</v>
      </c>
      <c r="C39" s="4" t="s">
        <v>38</v>
      </c>
      <c r="D39" s="6" t="s">
        <v>267</v>
      </c>
      <c r="E39" s="4" t="s">
        <v>286</v>
      </c>
      <c r="F39" s="4" t="s">
        <v>74</v>
      </c>
      <c r="G39" s="41" t="e">
        <f>表格1_6[[#This Row],[加權後總分]]-表格1_6[[#This Row],[獎懲分數]]</f>
        <v>#DIV/0!</v>
      </c>
      <c r="H3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39" s="39" t="e">
        <f t="shared" si="0"/>
        <v>#DIV/0!</v>
      </c>
      <c r="J39" s="36" t="e">
        <f t="shared" si="1"/>
        <v>#DIV/0!</v>
      </c>
      <c r="K39" s="8" t="e">
        <f t="shared" si="2"/>
        <v>#DIV/0!</v>
      </c>
      <c r="L39" s="8" t="e">
        <f t="shared" si="3"/>
        <v>#DIV/0!</v>
      </c>
      <c r="M39" s="8" t="e">
        <f>表格1_3[[#This Row],[部內平均]]</f>
        <v>#DIV/0!</v>
      </c>
      <c r="N39" s="8" t="e">
        <f>表格1_3[[#This Row],[共評平均]]</f>
        <v>#DIV/0!</v>
      </c>
      <c r="O39" s="8"/>
      <c r="P39" s="3"/>
      <c r="Q39" s="3"/>
      <c r="R39" s="3"/>
      <c r="S39" s="3"/>
      <c r="T39" s="3"/>
      <c r="U39" s="3"/>
      <c r="V39" s="3"/>
      <c r="W39" s="38">
        <v>76.816666666666663</v>
      </c>
      <c r="X39" s="2">
        <v>37</v>
      </c>
    </row>
    <row r="40" spans="1:24" hidden="1">
      <c r="A40" s="10" t="s">
        <v>335</v>
      </c>
      <c r="B40" s="5" t="s">
        <v>164</v>
      </c>
      <c r="C40" s="4" t="s">
        <v>37</v>
      </c>
      <c r="D40" s="6" t="s">
        <v>267</v>
      </c>
      <c r="E40" s="4" t="s">
        <v>285</v>
      </c>
      <c r="F40" s="4" t="s">
        <v>38</v>
      </c>
      <c r="G40" s="41" t="e">
        <f>表格1_6[[#This Row],[加權後總分]]-表格1_6[[#This Row],[獎懲分數]]</f>
        <v>#DIV/0!</v>
      </c>
      <c r="H4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0" s="39" t="e">
        <f t="shared" si="0"/>
        <v>#DIV/0!</v>
      </c>
      <c r="J40" s="36" t="e">
        <f t="shared" si="1"/>
        <v>#DIV/0!</v>
      </c>
      <c r="K40" s="8" t="e">
        <f t="shared" si="2"/>
        <v>#DIV/0!</v>
      </c>
      <c r="L40" s="8" t="e">
        <f t="shared" si="3"/>
        <v>#DIV/0!</v>
      </c>
      <c r="M40" s="8" t="e">
        <f>表格1_3[[#This Row],[部內平均]]</f>
        <v>#DIV/0!</v>
      </c>
      <c r="N40" s="8" t="e">
        <f>表格1_3[[#This Row],[共評平均]]</f>
        <v>#DIV/0!</v>
      </c>
      <c r="O40" s="8" t="e">
        <f>表格1_3[[#This Row],[複評平均]]</f>
        <v>#DIV/0!</v>
      </c>
      <c r="P40" s="3"/>
      <c r="Q40" s="3"/>
      <c r="R40" s="3"/>
      <c r="S40" s="3"/>
      <c r="T40" s="3"/>
      <c r="U40" s="3"/>
      <c r="V40" s="3"/>
      <c r="W40" s="38">
        <v>76.800000000000011</v>
      </c>
      <c r="X40" s="2">
        <v>38</v>
      </c>
    </row>
    <row r="41" spans="1:24" hidden="1">
      <c r="A41" s="10" t="s">
        <v>403</v>
      </c>
      <c r="B41" s="5" t="s">
        <v>166</v>
      </c>
      <c r="C41" s="13" t="s">
        <v>39</v>
      </c>
      <c r="D41" s="6" t="s">
        <v>267</v>
      </c>
      <c r="E41" s="4" t="s">
        <v>283</v>
      </c>
      <c r="F41" s="4" t="s">
        <v>93</v>
      </c>
      <c r="G41" s="41" t="e">
        <f>表格1_6[[#This Row],[加權後總分]]-表格1_6[[#This Row],[獎懲分數]]</f>
        <v>#DIV/0!</v>
      </c>
      <c r="H4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1" s="39" t="e">
        <f t="shared" si="0"/>
        <v>#DIV/0!</v>
      </c>
      <c r="J41" s="36" t="e">
        <f t="shared" si="1"/>
        <v>#DIV/0!</v>
      </c>
      <c r="K41" s="8" t="e">
        <f t="shared" si="2"/>
        <v>#DIV/0!</v>
      </c>
      <c r="L41" s="8" t="e">
        <f t="shared" si="3"/>
        <v>#DIV/0!</v>
      </c>
      <c r="M41" s="8" t="e">
        <f>表格1_3[[#This Row],[部內平均]]</f>
        <v>#DIV/0!</v>
      </c>
      <c r="N41" s="8"/>
      <c r="O41" s="8" t="e">
        <f>表格1_3[[#This Row],[複評平均]]</f>
        <v>#DIV/0!</v>
      </c>
      <c r="P41" s="3"/>
      <c r="Q41" s="3"/>
      <c r="R41" s="3"/>
      <c r="S41" s="3"/>
      <c r="T41" s="3"/>
      <c r="U41" s="3"/>
      <c r="V41" s="3"/>
      <c r="W41" s="38">
        <v>76.8</v>
      </c>
      <c r="X41" s="2">
        <v>39</v>
      </c>
    </row>
    <row r="42" spans="1:24" hidden="1">
      <c r="A42" s="10" t="s">
        <v>396</v>
      </c>
      <c r="B42" s="5" t="s">
        <v>167</v>
      </c>
      <c r="C42" s="4" t="s">
        <v>40</v>
      </c>
      <c r="D42" s="6" t="s">
        <v>267</v>
      </c>
      <c r="E42" s="4" t="s">
        <v>283</v>
      </c>
      <c r="F42" s="4" t="s">
        <v>38</v>
      </c>
      <c r="G42" s="41" t="e">
        <f>表格1_6[[#This Row],[加權後總分]]-表格1_6[[#This Row],[獎懲分數]]</f>
        <v>#DIV/0!</v>
      </c>
      <c r="H4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2" s="39" t="e">
        <f t="shared" si="0"/>
        <v>#DIV/0!</v>
      </c>
      <c r="J42" s="36" t="e">
        <f t="shared" si="1"/>
        <v>#DIV/0!</v>
      </c>
      <c r="K42" s="8" t="e">
        <f t="shared" si="2"/>
        <v>#DIV/0!</v>
      </c>
      <c r="L42" s="8" t="e">
        <f t="shared" si="3"/>
        <v>#DIV/0!</v>
      </c>
      <c r="M42" s="8" t="e">
        <f>表格1_3[[#This Row],[部內平均]]</f>
        <v>#DIV/0!</v>
      </c>
      <c r="N42" s="8"/>
      <c r="O42" s="8" t="e">
        <f>表格1_3[[#This Row],[複評平均]]</f>
        <v>#DIV/0!</v>
      </c>
      <c r="P42" s="3"/>
      <c r="Q42" s="3"/>
      <c r="R42" s="3"/>
      <c r="S42" s="3"/>
      <c r="T42" s="3"/>
      <c r="U42" s="3"/>
      <c r="V42" s="3"/>
      <c r="W42" s="38">
        <v>76.400000000000006</v>
      </c>
      <c r="X42" s="2">
        <v>40</v>
      </c>
    </row>
    <row r="43" spans="1:24" hidden="1">
      <c r="A43" s="10" t="s">
        <v>404</v>
      </c>
      <c r="B43" s="5" t="s">
        <v>168</v>
      </c>
      <c r="C43" s="4" t="s">
        <v>41</v>
      </c>
      <c r="D43" s="6" t="s">
        <v>267</v>
      </c>
      <c r="E43" s="4" t="s">
        <v>283</v>
      </c>
      <c r="F43" s="4" t="s">
        <v>38</v>
      </c>
      <c r="G43" s="41" t="e">
        <f>表格1_6[[#This Row],[加權後總分]]-表格1_6[[#This Row],[獎懲分數]]</f>
        <v>#DIV/0!</v>
      </c>
      <c r="H4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3" s="39" t="e">
        <f t="shared" si="0"/>
        <v>#DIV/0!</v>
      </c>
      <c r="J43" s="36" t="e">
        <f t="shared" si="1"/>
        <v>#DIV/0!</v>
      </c>
      <c r="K43" s="8" t="e">
        <f t="shared" si="2"/>
        <v>#DIV/0!</v>
      </c>
      <c r="L43" s="8" t="e">
        <f t="shared" si="3"/>
        <v>#DIV/0!</v>
      </c>
      <c r="M43" s="8" t="e">
        <f>表格1_3[[#This Row],[部內平均]]</f>
        <v>#DIV/0!</v>
      </c>
      <c r="N43" s="8"/>
      <c r="O43" s="8" t="e">
        <f>表格1_3[[#This Row],[複評平均]]</f>
        <v>#DIV/0!</v>
      </c>
      <c r="P43" s="3"/>
      <c r="Q43" s="3"/>
      <c r="R43" s="3"/>
      <c r="S43" s="3"/>
      <c r="T43" s="3"/>
      <c r="U43" s="3"/>
      <c r="V43" s="3"/>
      <c r="W43" s="38">
        <v>76.400000000000006</v>
      </c>
      <c r="X43" s="2">
        <v>41</v>
      </c>
    </row>
    <row r="44" spans="1:24" hidden="1">
      <c r="A44" s="10" t="s">
        <v>383</v>
      </c>
      <c r="B44" s="5" t="s">
        <v>169</v>
      </c>
      <c r="C44" s="4" t="s">
        <v>42</v>
      </c>
      <c r="D44" s="6" t="s">
        <v>268</v>
      </c>
      <c r="E44" s="4" t="s">
        <v>287</v>
      </c>
      <c r="F44" s="4" t="s">
        <v>120</v>
      </c>
      <c r="G44" s="41" t="e">
        <f>表格1_6[[#This Row],[加權後總分]]-表格1_6[[#This Row],[獎懲分數]]</f>
        <v>#DIV/0!</v>
      </c>
      <c r="H4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4" s="39" t="e">
        <f t="shared" si="0"/>
        <v>#DIV/0!</v>
      </c>
      <c r="J44" s="36" t="e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)+3</f>
        <v>#DIV/0!</v>
      </c>
      <c r="K44" s="8" t="e">
        <f t="shared" si="2"/>
        <v>#DIV/0!</v>
      </c>
      <c r="L44" s="8" t="e">
        <f t="shared" si="3"/>
        <v>#DIV/0!</v>
      </c>
      <c r="M44" s="8" t="e">
        <f>表格1_3[[#This Row],[部內平均]]</f>
        <v>#DIV/0!</v>
      </c>
      <c r="N44" s="8" t="e">
        <f>表格1_3[[#This Row],[共評平均]]</f>
        <v>#DIV/0!</v>
      </c>
      <c r="O44" s="8">
        <v>76</v>
      </c>
      <c r="P44" s="3"/>
      <c r="Q44" s="3"/>
      <c r="R44" s="3"/>
      <c r="S44" s="3"/>
      <c r="T44" s="3"/>
      <c r="U44" s="3"/>
      <c r="V44" s="3"/>
      <c r="W44" s="38">
        <v>76</v>
      </c>
      <c r="X44" s="2">
        <v>42</v>
      </c>
    </row>
    <row r="45" spans="1:24" hidden="1">
      <c r="A45" s="10" t="s">
        <v>382</v>
      </c>
      <c r="B45" s="5" t="s">
        <v>171</v>
      </c>
      <c r="C45" s="4" t="s">
        <v>44</v>
      </c>
      <c r="D45" s="6" t="s">
        <v>268</v>
      </c>
      <c r="E45" s="4" t="s">
        <v>287</v>
      </c>
      <c r="F45" s="4" t="s">
        <v>120</v>
      </c>
      <c r="G45" s="41" t="e">
        <f>表格1_6[[#This Row],[加權後總分]]-表格1_6[[#This Row],[獎懲分數]]</f>
        <v>#DIV/0!</v>
      </c>
      <c r="H4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5" s="39" t="e">
        <f t="shared" si="0"/>
        <v>#DIV/0!</v>
      </c>
      <c r="J45" s="36" t="e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>#DIV/0!</v>
      </c>
      <c r="K45" s="8" t="e">
        <f t="shared" si="2"/>
        <v>#DIV/0!</v>
      </c>
      <c r="L45" s="8" t="e">
        <f t="shared" si="3"/>
        <v>#DIV/0!</v>
      </c>
      <c r="M45" s="8" t="e">
        <f>表格1_3[[#This Row],[部內平均]]</f>
        <v>#DIV/0!</v>
      </c>
      <c r="N45" s="8" t="e">
        <f>表格1_3[[#This Row],[共評平均]]</f>
        <v>#DIV/0!</v>
      </c>
      <c r="O45" s="8">
        <v>85</v>
      </c>
      <c r="P45" s="3"/>
      <c r="Q45" s="3"/>
      <c r="R45" s="3"/>
      <c r="S45" s="3"/>
      <c r="T45" s="3"/>
      <c r="U45" s="3"/>
      <c r="V45" s="3"/>
      <c r="W45" s="38">
        <v>76</v>
      </c>
      <c r="X45" s="2">
        <v>43</v>
      </c>
    </row>
    <row r="46" spans="1:24" hidden="1">
      <c r="A46" s="10" t="s">
        <v>380</v>
      </c>
      <c r="B46" s="5" t="s">
        <v>172</v>
      </c>
      <c r="C46" s="4" t="s">
        <v>45</v>
      </c>
      <c r="D46" s="6" t="s">
        <v>268</v>
      </c>
      <c r="E46" s="4" t="s">
        <v>288</v>
      </c>
      <c r="F46" s="4" t="s">
        <v>120</v>
      </c>
      <c r="G46" s="41" t="e">
        <f>表格1_6[[#This Row],[加權後總分]]</f>
        <v>#DIV/0!</v>
      </c>
      <c r="H4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6" s="39" t="e">
        <f t="shared" si="0"/>
        <v>#DIV/0!</v>
      </c>
      <c r="J46" s="36" t="e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)+表格1_6[[#This Row],[獎懲分數]]</f>
        <v>#DIV/0!</v>
      </c>
      <c r="K46" s="8" t="e">
        <f t="shared" si="2"/>
        <v>#DIV/0!</v>
      </c>
      <c r="L46" s="8" t="e">
        <f t="shared" si="3"/>
        <v>#DIV/0!</v>
      </c>
      <c r="M46" s="8" t="e">
        <f>表格1_3[[#This Row],[部內平均]]</f>
        <v>#DIV/0!</v>
      </c>
      <c r="N46" s="8" t="e">
        <f>表格1_3[[#This Row],[共評平均]]</f>
        <v>#DIV/0!</v>
      </c>
      <c r="O46" s="8">
        <v>77.2</v>
      </c>
      <c r="P46" s="3"/>
      <c r="Q46" s="3"/>
      <c r="R46" s="3"/>
      <c r="S46" s="3"/>
      <c r="T46" s="3"/>
      <c r="U46" s="3"/>
      <c r="V46" s="3">
        <v>-10</v>
      </c>
      <c r="W46" s="38">
        <v>75.900000000000006</v>
      </c>
      <c r="X46" s="2">
        <v>44</v>
      </c>
    </row>
    <row r="47" spans="1:24" hidden="1">
      <c r="A47" s="10" t="s">
        <v>380</v>
      </c>
      <c r="B47" s="5" t="s">
        <v>173</v>
      </c>
      <c r="C47" s="4" t="s">
        <v>46</v>
      </c>
      <c r="D47" s="6" t="s">
        <v>268</v>
      </c>
      <c r="E47" s="4" t="s">
        <v>287</v>
      </c>
      <c r="F47" s="4" t="s">
        <v>120</v>
      </c>
      <c r="G47" s="41" t="e">
        <f>表格1_6[[#This Row],[加權後總分]]-表格1_6[[#This Row],[獎懲分數]]</f>
        <v>#DIV/0!</v>
      </c>
      <c r="H4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7" s="39" t="e">
        <f t="shared" si="0"/>
        <v>#DIV/0!</v>
      </c>
      <c r="J47" s="36" t="e">
        <f t="shared" si="1"/>
        <v>#DIV/0!</v>
      </c>
      <c r="K47" s="8" t="e">
        <f t="shared" si="2"/>
        <v>#DIV/0!</v>
      </c>
      <c r="L47" s="8" t="e">
        <f t="shared" si="3"/>
        <v>#DIV/0!</v>
      </c>
      <c r="M47" s="8" t="e">
        <f>表格1_3[[#This Row],[部內平均]]</f>
        <v>#DIV/0!</v>
      </c>
      <c r="N47" s="8" t="e">
        <f>表格1_3[[#This Row],[共評平均]]</f>
        <v>#DIV/0!</v>
      </c>
      <c r="O47" s="8">
        <v>71</v>
      </c>
      <c r="P47" s="3"/>
      <c r="Q47" s="3"/>
      <c r="R47" s="3"/>
      <c r="S47" s="3"/>
      <c r="T47" s="3"/>
      <c r="U47" s="3"/>
      <c r="V47" s="3"/>
      <c r="W47" s="38">
        <v>75.849999999999994</v>
      </c>
      <c r="X47" s="2">
        <v>45</v>
      </c>
    </row>
    <row r="48" spans="1:24" hidden="1">
      <c r="A48" s="10" t="s">
        <v>392</v>
      </c>
      <c r="B48" s="5" t="s">
        <v>170</v>
      </c>
      <c r="C48" s="4" t="s">
        <v>43</v>
      </c>
      <c r="D48" s="6" t="s">
        <v>268</v>
      </c>
      <c r="E48" s="4" t="s">
        <v>287</v>
      </c>
      <c r="F48" s="4" t="s">
        <v>45</v>
      </c>
      <c r="G48" s="41"/>
      <c r="H48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48" s="39" t="e">
        <f t="shared" si="0"/>
        <v>#DIV/0!</v>
      </c>
      <c r="J48" s="36"/>
      <c r="K48" s="8"/>
      <c r="L48" s="8"/>
      <c r="M48" s="8" t="e">
        <f>表格1_3[[#This Row],[部內平均]]</f>
        <v>#DIV/0!</v>
      </c>
      <c r="N48" s="8" t="e">
        <f>表格1_3[[#This Row],[共評平均]]</f>
        <v>#DIV/0!</v>
      </c>
      <c r="O48" s="8" t="e">
        <f>表格1_3[[#This Row],[複評平均]]</f>
        <v>#DIV/0!</v>
      </c>
      <c r="P48" s="3"/>
      <c r="Q48" s="3"/>
      <c r="R48" s="3"/>
      <c r="S48" s="3"/>
      <c r="T48" s="3"/>
      <c r="U48" s="3"/>
      <c r="V48" s="3"/>
      <c r="W48" s="38">
        <v>75.8</v>
      </c>
      <c r="X48" s="2">
        <v>46</v>
      </c>
    </row>
    <row r="49" spans="1:24" ht="26">
      <c r="A49" s="10" t="s">
        <v>383</v>
      </c>
      <c r="B49" s="5" t="s">
        <v>175</v>
      </c>
      <c r="C49" s="4" t="s">
        <v>48</v>
      </c>
      <c r="D49" s="6" t="s">
        <v>269</v>
      </c>
      <c r="E49" s="4" t="s">
        <v>290</v>
      </c>
      <c r="F49" s="4" t="s">
        <v>53</v>
      </c>
      <c r="G49" s="41" t="e">
        <f>表格1_6[[#This Row],[加權後總分]]-表格1_6[[#This Row],[獎懲分數]]</f>
        <v>#DIV/0!</v>
      </c>
      <c r="H4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49" s="39" t="e">
        <f t="shared" si="0"/>
        <v>#DIV/0!</v>
      </c>
      <c r="J49" s="36" t="e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>#DIV/0!</v>
      </c>
      <c r="K49" s="8" t="e">
        <f>IF(J49&gt;=90,"A",
 IF(J49&gt;=80,"B",
 IF(J49&gt;=70,"C",
 IF(J49&gt;=60,"D","E"))))</f>
        <v>#DIV/0!</v>
      </c>
      <c r="L49" s="8" t="e">
        <f t="shared" si="3"/>
        <v>#DIV/0!</v>
      </c>
      <c r="M49" s="8" t="e">
        <f>表格1_3[[#This Row],[部內平均]]</f>
        <v>#DIV/0!</v>
      </c>
      <c r="N49" s="8" t="e">
        <f>表格1_3[[#This Row],[共評平均]]</f>
        <v>#DIV/0!</v>
      </c>
      <c r="O49" s="8" t="e">
        <f>表格1_3[[#This Row],[複評平均]]</f>
        <v>#DIV/0!</v>
      </c>
      <c r="P49" s="3"/>
      <c r="Q49" s="3"/>
      <c r="R49" s="3"/>
      <c r="S49" s="3"/>
      <c r="T49" s="3"/>
      <c r="U49" s="3"/>
      <c r="V49" s="3"/>
      <c r="W49" s="38">
        <v>75.8</v>
      </c>
      <c r="X49" s="2">
        <v>47</v>
      </c>
    </row>
    <row r="50" spans="1:24">
      <c r="A50" s="10" t="s">
        <v>390</v>
      </c>
      <c r="B50" s="5" t="s">
        <v>176</v>
      </c>
      <c r="C50" s="13" t="s">
        <v>49</v>
      </c>
      <c r="D50" s="6" t="s">
        <v>269</v>
      </c>
      <c r="E50" s="4" t="s">
        <v>283</v>
      </c>
      <c r="F50" s="4" t="s">
        <v>93</v>
      </c>
      <c r="G50" s="41" t="e">
        <f>表格1_6[[#This Row],[加權後總分]]-表格1_6[[#This Row],[獎懲分數]]</f>
        <v>#DIV/0!</v>
      </c>
      <c r="H5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0" s="39" t="e">
        <f t="shared" si="0"/>
        <v>#DIV/0!</v>
      </c>
      <c r="J50" s="36" t="e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>#DIV/0!</v>
      </c>
      <c r="K50" s="8" t="e">
        <f>IF(J50&gt;=90,"A",
 IF(J50&gt;=80,"B",
 IF(J50&gt;=70,"C",
 IF(J50&gt;=60,"D","E"))))</f>
        <v>#DIV/0!</v>
      </c>
      <c r="L50" s="8" t="e">
        <f t="shared" si="3"/>
        <v>#DIV/0!</v>
      </c>
      <c r="M50" s="8" t="e">
        <f>表格1_3[[#This Row],[部內平均]]</f>
        <v>#DIV/0!</v>
      </c>
      <c r="N50" s="8" t="e">
        <f>表格1_3[[#This Row],[共評平均]]</f>
        <v>#DIV/0!</v>
      </c>
      <c r="O50" s="8" t="e">
        <f>表格1_3[[#This Row],[複評平均]]</f>
        <v>#DIV/0!</v>
      </c>
      <c r="P50" s="3"/>
      <c r="Q50" s="3"/>
      <c r="R50" s="3"/>
      <c r="S50" s="3"/>
      <c r="T50" s="3"/>
      <c r="U50" s="3"/>
      <c r="V50" s="3"/>
      <c r="W50" s="38">
        <v>75.7</v>
      </c>
      <c r="X50" s="2">
        <v>48</v>
      </c>
    </row>
    <row r="51" spans="1:24">
      <c r="A51" s="10" t="s">
        <v>338</v>
      </c>
      <c r="B51" s="5" t="s">
        <v>177</v>
      </c>
      <c r="C51" s="4" t="s">
        <v>50</v>
      </c>
      <c r="D51" s="6" t="s">
        <v>269</v>
      </c>
      <c r="E51" s="4" t="s">
        <v>291</v>
      </c>
      <c r="F51" s="4" t="s">
        <v>53</v>
      </c>
      <c r="G51" s="41" t="e">
        <f>表格1_6[[#This Row],[加權後總分]]-表格1_6[[#This Row],[獎懲分數]]</f>
        <v>#DIV/0!</v>
      </c>
      <c r="H5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1" s="39" t="e">
        <f t="shared" si="0"/>
        <v>#DIV/0!</v>
      </c>
      <c r="J51" s="36" t="e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>#DIV/0!</v>
      </c>
      <c r="K51" s="8" t="e">
        <f>IF(J51&gt;=90,"A",
 IF(J51&gt;=80,"B",
 IF(J51&gt;=70,"C",
 IF(J51&gt;=60,"D","E"))))</f>
        <v>#DIV/0!</v>
      </c>
      <c r="L51" s="8" t="e">
        <f t="shared" si="3"/>
        <v>#DIV/0!</v>
      </c>
      <c r="M51" s="8" t="e">
        <f>表格1_3[[#This Row],[部內平均]]</f>
        <v>#DIV/0!</v>
      </c>
      <c r="N51" s="8" t="e">
        <f>表格1_3[[#This Row],[共評平均]]</f>
        <v>#DIV/0!</v>
      </c>
      <c r="O51" s="8" t="e">
        <f>表格1_3[[#This Row],[複評平均]]</f>
        <v>#DIV/0!</v>
      </c>
      <c r="P51" s="3"/>
      <c r="Q51" s="3"/>
      <c r="R51" s="3"/>
      <c r="S51" s="3"/>
      <c r="T51" s="3"/>
      <c r="U51" s="3"/>
      <c r="V51" s="3"/>
      <c r="W51" s="38">
        <v>75.599999999999994</v>
      </c>
      <c r="X51" s="2">
        <v>49</v>
      </c>
    </row>
    <row r="52" spans="1:24">
      <c r="A52" s="10" t="s">
        <v>337</v>
      </c>
      <c r="B52" s="5" t="s">
        <v>174</v>
      </c>
      <c r="C52" s="4" t="s">
        <v>47</v>
      </c>
      <c r="D52" s="6" t="s">
        <v>269</v>
      </c>
      <c r="E52" s="4" t="s">
        <v>289</v>
      </c>
      <c r="F52" s="4" t="s">
        <v>53</v>
      </c>
      <c r="G52" s="41" t="e">
        <f>表格1_6[[#This Row],[加權後總分]]-表格1_6[[#This Row],[獎懲分數]]</f>
        <v>#DIV/0!</v>
      </c>
      <c r="H5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2" s="39" t="e">
        <f t="shared" si="0"/>
        <v>#DIV/0!</v>
      </c>
      <c r="J52" s="36" t="e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>#DIV/0!</v>
      </c>
      <c r="K52" s="8" t="e">
        <f>IF(J52&gt;=90,"A",
 IF(J52&gt;=80,"B",
 IF(J52&gt;=70,"C",
 IF(J52&gt;=60,"D","E"))))</f>
        <v>#DIV/0!</v>
      </c>
      <c r="L52" s="8" t="e">
        <f t="shared" si="3"/>
        <v>#DIV/0!</v>
      </c>
      <c r="M52" s="8" t="e">
        <f>表格1_3[[#This Row],[部內平均]]</f>
        <v>#DIV/0!</v>
      </c>
      <c r="N52" s="8" t="e">
        <f>表格1_3[[#This Row],[共評平均]]</f>
        <v>#DIV/0!</v>
      </c>
      <c r="O52" s="8" t="e">
        <f>表格1_3[[#This Row],[複評平均]]</f>
        <v>#DIV/0!</v>
      </c>
      <c r="P52" s="3"/>
      <c r="Q52" s="3"/>
      <c r="R52" s="3"/>
      <c r="S52" s="3"/>
      <c r="T52" s="3"/>
      <c r="U52" s="3"/>
      <c r="V52" s="3"/>
      <c r="W52" s="38">
        <v>75.199999999999989</v>
      </c>
      <c r="X52" s="2">
        <v>50</v>
      </c>
    </row>
    <row r="53" spans="1:24">
      <c r="A53" s="10" t="s">
        <v>387</v>
      </c>
      <c r="B53" s="5" t="s">
        <v>316</v>
      </c>
      <c r="C53" s="9" t="s">
        <v>317</v>
      </c>
      <c r="D53" s="6" t="s">
        <v>269</v>
      </c>
      <c r="E53" s="4" t="s">
        <v>327</v>
      </c>
      <c r="F53" s="4" t="s">
        <v>53</v>
      </c>
      <c r="G53" s="41"/>
      <c r="H53" s="39"/>
      <c r="I53" s="39"/>
      <c r="J53" s="36"/>
      <c r="K53" s="8"/>
      <c r="L53" s="8"/>
      <c r="M53" s="8" t="e">
        <f>表格1_3[[#This Row],[部內平均]]</f>
        <v>#DIV/0!</v>
      </c>
      <c r="N53" s="8" t="e">
        <f>表格1_3[[#This Row],[共評平均]]</f>
        <v>#DIV/0!</v>
      </c>
      <c r="O53" s="8" t="e">
        <f>表格1_3[[#This Row],[複評平均]]</f>
        <v>#DIV/0!</v>
      </c>
      <c r="P53" s="3"/>
      <c r="Q53" s="3"/>
      <c r="R53" s="3"/>
      <c r="S53" s="3"/>
      <c r="T53" s="3"/>
      <c r="U53" s="3"/>
      <c r="V53" s="3"/>
      <c r="W53" s="38">
        <v>75.099999999999994</v>
      </c>
      <c r="X53" s="2">
        <v>51</v>
      </c>
    </row>
    <row r="54" spans="1:24">
      <c r="A54" s="10" t="s">
        <v>339</v>
      </c>
      <c r="B54" s="5" t="s">
        <v>178</v>
      </c>
      <c r="C54" s="4" t="s">
        <v>51</v>
      </c>
      <c r="D54" s="6" t="s">
        <v>269</v>
      </c>
      <c r="E54" s="4" t="s">
        <v>5</v>
      </c>
      <c r="F54" s="4" t="s">
        <v>120</v>
      </c>
      <c r="G54" s="41" t="e">
        <f>表格1_6[[#This Row],[加權後總分]]-表格1_6[[#This Row],[獎懲分數]]</f>
        <v>#DIV/0!</v>
      </c>
      <c r="H5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4" s="39" t="e">
        <f t="shared" si="0"/>
        <v>#DIV/0!</v>
      </c>
      <c r="J54" s="36" t="e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>#DIV/0!</v>
      </c>
      <c r="K54" s="8" t="e">
        <f>IF(J54&gt;=90,"A",
 IF(J54&gt;=80,"B",
 IF(J54&gt;=70,"C",
 IF(J54&gt;=60,"D","E"))))</f>
        <v>#DIV/0!</v>
      </c>
      <c r="L54" s="8" t="e">
        <f t="shared" si="3"/>
        <v>#DIV/0!</v>
      </c>
      <c r="M54" s="8" t="e">
        <f>表格1_3[[#This Row],[部內平均]]</f>
        <v>#DIV/0!</v>
      </c>
      <c r="N54" s="8" t="e">
        <f>表格1_3[[#This Row],[共評平均]]</f>
        <v>#DIV/0!</v>
      </c>
      <c r="O54" s="8"/>
      <c r="P54" s="3"/>
      <c r="Q54" s="3"/>
      <c r="R54" s="3"/>
      <c r="S54" s="3">
        <v>2</v>
      </c>
      <c r="T54" s="3"/>
      <c r="U54" s="3"/>
      <c r="V54" s="3"/>
      <c r="W54" s="38">
        <v>74.826666666666668</v>
      </c>
      <c r="X54" s="2">
        <v>52</v>
      </c>
    </row>
    <row r="55" spans="1:24">
      <c r="A55" s="10" t="s">
        <v>340</v>
      </c>
      <c r="B55" s="5" t="s">
        <v>182</v>
      </c>
      <c r="C55" s="4" t="s">
        <v>55</v>
      </c>
      <c r="D55" s="6" t="s">
        <v>269</v>
      </c>
      <c r="E55" s="4" t="s">
        <v>5</v>
      </c>
      <c r="F55" s="4" t="s">
        <v>53</v>
      </c>
      <c r="G55" s="41" t="e">
        <f>表格1_6[[#This Row],[加權後總分]]-表格1_6[[#This Row],[獎懲分數]]</f>
        <v>#DIV/0!</v>
      </c>
      <c r="H5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5" s="39" t="e">
        <f t="shared" si="0"/>
        <v>#DIV/0!</v>
      </c>
      <c r="J55" s="36" t="e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>#DIV/0!</v>
      </c>
      <c r="K55" s="8" t="e">
        <f>IF(J55&gt;=90,"A",
 IF(J55&gt;=80,"B",
 IF(J55&gt;=70,"C",
 IF(J55&gt;=60,"D","E"))))</f>
        <v>#DIV/0!</v>
      </c>
      <c r="L55" s="8" t="e">
        <f t="shared" si="3"/>
        <v>#DIV/0!</v>
      </c>
      <c r="M55" s="8" t="e">
        <f>表格1_3[[#This Row],[部內平均]]</f>
        <v>#DIV/0!</v>
      </c>
      <c r="N55" s="8" t="e">
        <f>表格1_3[[#This Row],[共評平均]]</f>
        <v>#DIV/0!</v>
      </c>
      <c r="O55" s="8"/>
      <c r="P55" s="3"/>
      <c r="Q55" s="3"/>
      <c r="R55" s="3"/>
      <c r="S55" s="3"/>
      <c r="T55" s="3"/>
      <c r="U55" s="3"/>
      <c r="V55" s="3"/>
      <c r="W55" s="38">
        <v>74.8</v>
      </c>
      <c r="X55" s="2">
        <v>53</v>
      </c>
    </row>
    <row r="56" spans="1:24">
      <c r="A56" s="10" t="s">
        <v>341</v>
      </c>
      <c r="B56" s="5" t="s">
        <v>181</v>
      </c>
      <c r="C56" s="4" t="s">
        <v>54</v>
      </c>
      <c r="D56" s="6" t="s">
        <v>269</v>
      </c>
      <c r="E56" s="4" t="s">
        <v>281</v>
      </c>
      <c r="F56" s="4" t="s">
        <v>53</v>
      </c>
      <c r="G56" s="41" t="e">
        <f>表格1_6[[#This Row],[加權後總分]]-表格1_6[[#This Row],[獎懲分數]]</f>
        <v>#DIV/0!</v>
      </c>
      <c r="H5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6" s="39" t="e">
        <f t="shared" si="0"/>
        <v>#DIV/0!</v>
      </c>
      <c r="J56" s="36" t="e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>#DIV/0!</v>
      </c>
      <c r="K56" s="8" t="e">
        <f>IF(J56&gt;=90,"A",
 IF(J56&gt;=80,"B",
 IF(J56&gt;=70,"C",
 IF(J56&gt;=60,"D","E"))))</f>
        <v>#DIV/0!</v>
      </c>
      <c r="L56" s="8" t="e">
        <f t="shared" si="3"/>
        <v>#DIV/0!</v>
      </c>
      <c r="M56" s="8" t="e">
        <f>表格1_3[[#This Row],[部內平均]]</f>
        <v>#DIV/0!</v>
      </c>
      <c r="N56" s="8" t="e">
        <f>表格1_3[[#This Row],[共評平均]]</f>
        <v>#DIV/0!</v>
      </c>
      <c r="O56" s="8"/>
      <c r="P56" s="3"/>
      <c r="Q56" s="3"/>
      <c r="R56" s="3"/>
      <c r="S56" s="3"/>
      <c r="T56" s="3"/>
      <c r="U56" s="3"/>
      <c r="V56" s="3"/>
      <c r="W56" s="38">
        <v>74.733333333333334</v>
      </c>
      <c r="X56" s="2">
        <v>54</v>
      </c>
    </row>
    <row r="57" spans="1:24">
      <c r="A57" s="10" t="s">
        <v>388</v>
      </c>
      <c r="B57" s="5" t="s">
        <v>179</v>
      </c>
      <c r="C57" s="4" t="s">
        <v>52</v>
      </c>
      <c r="D57" s="6" t="s">
        <v>269</v>
      </c>
      <c r="E57" s="4" t="s">
        <v>285</v>
      </c>
      <c r="F57" s="4" t="s">
        <v>55</v>
      </c>
      <c r="G57" s="41"/>
      <c r="H57" s="39"/>
      <c r="I57" s="39"/>
      <c r="J57" s="36"/>
      <c r="K57" s="8"/>
      <c r="L57" s="8"/>
      <c r="M57" s="8" t="e">
        <f>表格1_3[[#This Row],[部內平均]]</f>
        <v>#DIV/0!</v>
      </c>
      <c r="N57" s="8" t="e">
        <f>表格1_3[[#This Row],[共評平均]]</f>
        <v>#DIV/0!</v>
      </c>
      <c r="O57" s="8"/>
      <c r="P57" s="3"/>
      <c r="Q57" s="3"/>
      <c r="R57" s="3"/>
      <c r="S57" s="3"/>
      <c r="T57" s="3"/>
      <c r="U57" s="3"/>
      <c r="V57" s="3"/>
      <c r="W57" s="38">
        <v>74.7</v>
      </c>
      <c r="X57" s="2">
        <v>55</v>
      </c>
    </row>
    <row r="58" spans="1:24">
      <c r="A58" s="10" t="s">
        <v>342</v>
      </c>
      <c r="B58" s="5" t="s">
        <v>180</v>
      </c>
      <c r="C58" s="4" t="s">
        <v>53</v>
      </c>
      <c r="D58" s="6" t="s">
        <v>269</v>
      </c>
      <c r="E58" s="4" t="s">
        <v>292</v>
      </c>
      <c r="F58" s="4" t="s">
        <v>119</v>
      </c>
      <c r="G58" s="41" t="e">
        <f>表格1_6[[#This Row],[加權後總分]]-表格1_6[[#This Row],[獎懲分數]]</f>
        <v>#DIV/0!</v>
      </c>
      <c r="H5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8" s="39" t="e">
        <f t="shared" si="0"/>
        <v>#DIV/0!</v>
      </c>
      <c r="J58" s="36" t="e">
        <f t="shared" ref="J58:J95" si="4"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>#DIV/0!</v>
      </c>
      <c r="K58" s="8" t="e">
        <f t="shared" ref="K58:K95" si="5">IF(J58&gt;=90,"A",
 IF(J58&gt;=80,"B",
 IF(J58&gt;=70,"C",
 IF(J58&gt;=60,"D","E"))))</f>
        <v>#DIV/0!</v>
      </c>
      <c r="L58" s="8" t="e">
        <f t="shared" si="3"/>
        <v>#DIV/0!</v>
      </c>
      <c r="M58" s="8" t="e">
        <f>表格1_3[[#This Row],[部內平均]]</f>
        <v>#DIV/0!</v>
      </c>
      <c r="N58" s="8" t="e">
        <f>表格1_3[[#This Row],[共評平均]]</f>
        <v>#DIV/0!</v>
      </c>
      <c r="O58" s="8">
        <v>80</v>
      </c>
      <c r="P58" s="3"/>
      <c r="Q58" s="3"/>
      <c r="R58" s="3"/>
      <c r="S58" s="3"/>
      <c r="T58" s="3"/>
      <c r="U58" s="3"/>
      <c r="V58" s="3"/>
      <c r="W58" s="38">
        <v>74.599999999999994</v>
      </c>
      <c r="X58" s="2">
        <v>56</v>
      </c>
    </row>
    <row r="59" spans="1:24">
      <c r="A59" s="10" t="s">
        <v>383</v>
      </c>
      <c r="B59" s="5" t="s">
        <v>189</v>
      </c>
      <c r="C59" s="13" t="s">
        <v>62</v>
      </c>
      <c r="D59" s="6" t="s">
        <v>269</v>
      </c>
      <c r="E59" s="4" t="s">
        <v>293</v>
      </c>
      <c r="F59" s="4" t="s">
        <v>53</v>
      </c>
      <c r="G59" s="41" t="e">
        <f>表格1_6[[#This Row],[加權後總分]]-表格1_6[[#This Row],[獎懲分數]]</f>
        <v>#DIV/0!</v>
      </c>
      <c r="H5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59" s="39" t="e">
        <f t="shared" si="0"/>
        <v>#DIV/0!</v>
      </c>
      <c r="J59" s="36" t="e">
        <f t="shared" si="4"/>
        <v>#DIV/0!</v>
      </c>
      <c r="K59" s="8" t="e">
        <f t="shared" si="5"/>
        <v>#DIV/0!</v>
      </c>
      <c r="L59" s="8" t="e">
        <f t="shared" si="3"/>
        <v>#DIV/0!</v>
      </c>
      <c r="M59" s="8" t="e">
        <f>表格1_3[[#This Row],[部內平均]]</f>
        <v>#DIV/0!</v>
      </c>
      <c r="N59" s="8" t="e">
        <f>表格1_3[[#This Row],[共評平均]]</f>
        <v>#DIV/0!</v>
      </c>
      <c r="O59" s="8" t="e">
        <f>表格1_3[[#This Row],[複評平均]]</f>
        <v>#DIV/0!</v>
      </c>
      <c r="P59" s="3"/>
      <c r="Q59" s="3"/>
      <c r="R59" s="3"/>
      <c r="S59" s="3"/>
      <c r="T59" s="3"/>
      <c r="U59" s="3"/>
      <c r="V59" s="3"/>
      <c r="W59" s="38">
        <v>74.400000000000006</v>
      </c>
      <c r="X59" s="2">
        <v>57</v>
      </c>
    </row>
    <row r="60" spans="1:24">
      <c r="A60" s="10" t="s">
        <v>386</v>
      </c>
      <c r="B60" s="5" t="s">
        <v>187</v>
      </c>
      <c r="C60" s="4" t="s">
        <v>60</v>
      </c>
      <c r="D60" s="6" t="s">
        <v>269</v>
      </c>
      <c r="E60" s="4" t="s">
        <v>283</v>
      </c>
      <c r="F60" s="4" t="s">
        <v>53</v>
      </c>
      <c r="G60" s="41" t="e">
        <f>表格1_6[[#This Row],[加權後總分]]-表格1_6[[#This Row],[獎懲分數]]</f>
        <v>#DIV/0!</v>
      </c>
      <c r="H6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0" s="39" t="e">
        <f t="shared" si="0"/>
        <v>#DIV/0!</v>
      </c>
      <c r="J60" s="36" t="e">
        <f t="shared" si="4"/>
        <v>#DIV/0!</v>
      </c>
      <c r="K60" s="8" t="e">
        <f t="shared" si="5"/>
        <v>#DIV/0!</v>
      </c>
      <c r="L60" s="8" t="e">
        <f t="shared" si="3"/>
        <v>#DIV/0!</v>
      </c>
      <c r="M60" s="8" t="e">
        <f>表格1_3[[#This Row],[部內平均]]</f>
        <v>#DIV/0!</v>
      </c>
      <c r="N60" s="8" t="e">
        <f>表格1_3[[#This Row],[共評平均]]</f>
        <v>#DIV/0!</v>
      </c>
      <c r="O60" s="8" t="e">
        <f>表格1_3[[#This Row],[複評平均]]</f>
        <v>#DIV/0!</v>
      </c>
      <c r="P60" s="3"/>
      <c r="Q60" s="3"/>
      <c r="R60" s="3"/>
      <c r="S60" s="3"/>
      <c r="T60" s="3"/>
      <c r="U60" s="3"/>
      <c r="V60" s="3"/>
      <c r="W60" s="38">
        <v>74.2</v>
      </c>
      <c r="X60" s="2">
        <v>58</v>
      </c>
    </row>
    <row r="61" spans="1:24">
      <c r="A61" s="10" t="s">
        <v>382</v>
      </c>
      <c r="B61" s="5" t="s">
        <v>188</v>
      </c>
      <c r="C61" s="13" t="s">
        <v>61</v>
      </c>
      <c r="D61" s="6" t="s">
        <v>269</v>
      </c>
      <c r="E61" s="4" t="s">
        <v>283</v>
      </c>
      <c r="F61" s="4" t="s">
        <v>53</v>
      </c>
      <c r="G61" s="41" t="e">
        <f>表格1_6[[#This Row],[加權後總分]]-表格1_6[[#This Row],[獎懲分數]]</f>
        <v>#DIV/0!</v>
      </c>
      <c r="H6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1" s="39" t="e">
        <f t="shared" si="0"/>
        <v>#DIV/0!</v>
      </c>
      <c r="J61" s="36" t="e">
        <f t="shared" si="4"/>
        <v>#DIV/0!</v>
      </c>
      <c r="K61" s="8" t="e">
        <f t="shared" si="5"/>
        <v>#DIV/0!</v>
      </c>
      <c r="L61" s="8" t="e">
        <f t="shared" si="3"/>
        <v>#DIV/0!</v>
      </c>
      <c r="M61" s="8" t="e">
        <f>表格1_3[[#This Row],[部內平均]]</f>
        <v>#DIV/0!</v>
      </c>
      <c r="N61" s="8" t="e">
        <f>表格1_3[[#This Row],[共評平均]]</f>
        <v>#DIV/0!</v>
      </c>
      <c r="O61" s="8" t="e">
        <f>表格1_3[[#This Row],[複評平均]]</f>
        <v>#DIV/0!</v>
      </c>
      <c r="P61" s="3"/>
      <c r="Q61" s="3"/>
      <c r="R61" s="3"/>
      <c r="S61" s="3"/>
      <c r="T61" s="3"/>
      <c r="U61" s="3"/>
      <c r="V61" s="3"/>
      <c r="W61" s="38">
        <v>74.199999999999989</v>
      </c>
      <c r="X61" s="2">
        <v>59</v>
      </c>
    </row>
    <row r="62" spans="1:24">
      <c r="A62" s="10" t="s">
        <v>385</v>
      </c>
      <c r="B62" s="5" t="s">
        <v>183</v>
      </c>
      <c r="C62" s="14" t="s">
        <v>56</v>
      </c>
      <c r="D62" s="6" t="s">
        <v>269</v>
      </c>
      <c r="E62" s="4" t="s">
        <v>283</v>
      </c>
      <c r="F62" s="4" t="s">
        <v>53</v>
      </c>
      <c r="G62" s="41" t="e">
        <f>表格1_6[[#This Row],[加權後總分]]-表格1_6[[#This Row],[獎懲分數]]</f>
        <v>#DIV/0!</v>
      </c>
      <c r="H6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2" s="39" t="e">
        <f t="shared" si="0"/>
        <v>#DIV/0!</v>
      </c>
      <c r="J62" s="36" t="e">
        <f t="shared" si="4"/>
        <v>#DIV/0!</v>
      </c>
      <c r="K62" s="8" t="e">
        <f t="shared" si="5"/>
        <v>#DIV/0!</v>
      </c>
      <c r="L62" s="8" t="e">
        <f t="shared" si="3"/>
        <v>#DIV/0!</v>
      </c>
      <c r="M62" s="8" t="e">
        <f>表格1_3[[#This Row],[部內平均]]</f>
        <v>#DIV/0!</v>
      </c>
      <c r="N62" s="8" t="e">
        <f>表格1_3[[#This Row],[共評平均]]</f>
        <v>#DIV/0!</v>
      </c>
      <c r="O62" s="8" t="e">
        <f>表格1_3[[#This Row],[複評平均]]</f>
        <v>#DIV/0!</v>
      </c>
      <c r="P62" s="3"/>
      <c r="Q62" s="3"/>
      <c r="R62" s="3"/>
      <c r="S62" s="3">
        <v>2</v>
      </c>
      <c r="T62" s="3"/>
      <c r="U62" s="3"/>
      <c r="V62" s="3"/>
      <c r="W62" s="38">
        <v>74</v>
      </c>
      <c r="X62" s="2">
        <v>60</v>
      </c>
    </row>
    <row r="63" spans="1:24">
      <c r="A63" s="10" t="s">
        <v>389</v>
      </c>
      <c r="B63" s="5" t="s">
        <v>184</v>
      </c>
      <c r="C63" s="13" t="s">
        <v>57</v>
      </c>
      <c r="D63" s="6" t="s">
        <v>269</v>
      </c>
      <c r="E63" s="4" t="s">
        <v>283</v>
      </c>
      <c r="F63" s="4" t="s">
        <v>53</v>
      </c>
      <c r="G63" s="41" t="e">
        <f>表格1_6[[#This Row],[加權後總分]]-表格1_6[[#This Row],[獎懲分數]]</f>
        <v>#DIV/0!</v>
      </c>
      <c r="H6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3" s="39" t="e">
        <f t="shared" si="0"/>
        <v>#DIV/0!</v>
      </c>
      <c r="J63" s="36" t="e">
        <f t="shared" si="4"/>
        <v>#DIV/0!</v>
      </c>
      <c r="K63" s="8" t="e">
        <f t="shared" si="5"/>
        <v>#DIV/0!</v>
      </c>
      <c r="L63" s="8" t="e">
        <f t="shared" si="3"/>
        <v>#DIV/0!</v>
      </c>
      <c r="M63" s="8" t="e">
        <f>表格1_3[[#This Row],[部內平均]]</f>
        <v>#DIV/0!</v>
      </c>
      <c r="N63" s="8" t="e">
        <f>表格1_3[[#This Row],[共評平均]]</f>
        <v>#DIV/0!</v>
      </c>
      <c r="O63" s="8" t="e">
        <f>表格1_3[[#This Row],[複評平均]]</f>
        <v>#DIV/0!</v>
      </c>
      <c r="P63" s="3"/>
      <c r="Q63" s="3"/>
      <c r="R63" s="3"/>
      <c r="S63" s="3">
        <v>1</v>
      </c>
      <c r="T63" s="3"/>
      <c r="U63" s="3"/>
      <c r="V63" s="3"/>
      <c r="W63" s="38">
        <v>73.800000000000011</v>
      </c>
      <c r="X63" s="2">
        <v>61</v>
      </c>
    </row>
    <row r="64" spans="1:24">
      <c r="A64" s="10" t="s">
        <v>340</v>
      </c>
      <c r="B64" s="5" t="s">
        <v>185</v>
      </c>
      <c r="C64" s="4" t="s">
        <v>58</v>
      </c>
      <c r="D64" s="6" t="s">
        <v>269</v>
      </c>
      <c r="E64" s="4" t="s">
        <v>285</v>
      </c>
      <c r="F64" s="4" t="s">
        <v>53</v>
      </c>
      <c r="G64" s="41" t="e">
        <f>表格1_6[[#This Row],[加權後總分]]-表格1_6[[#This Row],[獎懲分數]]</f>
        <v>#DIV/0!</v>
      </c>
      <c r="H6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4" s="39" t="e">
        <f t="shared" si="0"/>
        <v>#DIV/0!</v>
      </c>
      <c r="J64" s="36" t="e">
        <f t="shared" si="4"/>
        <v>#DIV/0!</v>
      </c>
      <c r="K64" s="8" t="e">
        <f t="shared" si="5"/>
        <v>#DIV/0!</v>
      </c>
      <c r="L64" s="8" t="e">
        <f t="shared" si="3"/>
        <v>#DIV/0!</v>
      </c>
      <c r="M64" s="8" t="e">
        <f>表格1_3[[#This Row],[部內平均]]</f>
        <v>#DIV/0!</v>
      </c>
      <c r="N64" s="8" t="e">
        <f>表格1_3[[#This Row],[共評平均]]</f>
        <v>#DIV/0!</v>
      </c>
      <c r="O64" s="8" t="e">
        <f>表格1_3[[#This Row],[複評平均]]</f>
        <v>#DIV/0!</v>
      </c>
      <c r="P64" s="3"/>
      <c r="Q64" s="3"/>
      <c r="R64" s="3"/>
      <c r="S64" s="3"/>
      <c r="T64" s="3"/>
      <c r="U64" s="3"/>
      <c r="V64" s="3"/>
      <c r="W64" s="38">
        <v>73.8</v>
      </c>
      <c r="X64" s="2">
        <v>62</v>
      </c>
    </row>
    <row r="65" spans="1:24">
      <c r="A65" s="10" t="s">
        <v>337</v>
      </c>
      <c r="B65" s="5" t="s">
        <v>186</v>
      </c>
      <c r="C65" s="4" t="s">
        <v>59</v>
      </c>
      <c r="D65" s="6" t="s">
        <v>269</v>
      </c>
      <c r="E65" s="4" t="s">
        <v>293</v>
      </c>
      <c r="F65" s="4" t="s">
        <v>55</v>
      </c>
      <c r="G65" s="41" t="e">
        <f>表格1_6[[#This Row],[加權後總分]]-表格1_6[[#This Row],[獎懲分數]]</f>
        <v>#DIV/0!</v>
      </c>
      <c r="H6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5" s="39" t="e">
        <f t="shared" si="0"/>
        <v>#DIV/0!</v>
      </c>
      <c r="J65" s="36" t="e">
        <f t="shared" si="4"/>
        <v>#DIV/0!</v>
      </c>
      <c r="K65" s="8" t="e">
        <f t="shared" si="5"/>
        <v>#DIV/0!</v>
      </c>
      <c r="L65" s="8" t="e">
        <f t="shared" si="3"/>
        <v>#DIV/0!</v>
      </c>
      <c r="M65" s="8" t="e">
        <f>表格1_3[[#This Row],[部內平均]]</f>
        <v>#DIV/0!</v>
      </c>
      <c r="N65" s="8" t="e">
        <f>表格1_3[[#This Row],[共評平均]]</f>
        <v>#DIV/0!</v>
      </c>
      <c r="O65" s="8" t="e">
        <f>表格1_3[[#This Row],[複評平均]]</f>
        <v>#DIV/0!</v>
      </c>
      <c r="P65" s="3"/>
      <c r="Q65" s="3"/>
      <c r="R65" s="3"/>
      <c r="S65" s="3"/>
      <c r="T65" s="3"/>
      <c r="U65" s="3"/>
      <c r="V65" s="3"/>
      <c r="W65" s="38">
        <v>73.599999999999994</v>
      </c>
      <c r="X65" s="2">
        <v>63</v>
      </c>
    </row>
    <row r="66" spans="1:24" hidden="1">
      <c r="A66" s="10" t="s">
        <v>405</v>
      </c>
      <c r="B66" s="5" t="s">
        <v>196</v>
      </c>
      <c r="C66" s="4" t="s">
        <v>69</v>
      </c>
      <c r="D66" s="6" t="s">
        <v>270</v>
      </c>
      <c r="E66" s="4" t="s">
        <v>5</v>
      </c>
      <c r="F66" s="4" t="s">
        <v>77</v>
      </c>
      <c r="G66" s="41" t="e">
        <f>表格1_6[[#This Row],[加權後總分]]-表格1_6[[#This Row],[獎懲分數]]</f>
        <v>#DIV/0!</v>
      </c>
      <c r="H6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6" s="39" t="e">
        <f t="shared" si="0"/>
        <v>#DIV/0!</v>
      </c>
      <c r="J66" s="36" t="e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>#DIV/0!</v>
      </c>
      <c r="K66" s="8" t="e">
        <f t="shared" si="5"/>
        <v>#DIV/0!</v>
      </c>
      <c r="L66" s="8" t="e">
        <f t="shared" si="3"/>
        <v>#DIV/0!</v>
      </c>
      <c r="M66" s="8" t="e">
        <f>表格1_3[[#This Row],[部內平均]]</f>
        <v>#DIV/0!</v>
      </c>
      <c r="N66" s="8" t="e">
        <f>表格1_3[[#This Row],[共評平均]]</f>
        <v>#DIV/0!</v>
      </c>
      <c r="O66" s="8"/>
      <c r="P66" s="3"/>
      <c r="Q66" s="3"/>
      <c r="R66" s="3"/>
      <c r="S66" s="3"/>
      <c r="T66" s="3"/>
      <c r="U66" s="3"/>
      <c r="V66" s="3"/>
      <c r="W66" s="38">
        <v>73.5</v>
      </c>
      <c r="X66" s="2">
        <v>64</v>
      </c>
    </row>
    <row r="67" spans="1:24" hidden="1">
      <c r="A67" s="10" t="s">
        <v>406</v>
      </c>
      <c r="B67" s="5" t="s">
        <v>197</v>
      </c>
      <c r="C67" s="4" t="s">
        <v>70</v>
      </c>
      <c r="D67" s="6" t="s">
        <v>270</v>
      </c>
      <c r="E67" s="4" t="s">
        <v>283</v>
      </c>
      <c r="F67" s="4" t="s">
        <v>77</v>
      </c>
      <c r="G67" s="41" t="e">
        <f>表格1_6[[#This Row],[加權後總分]]-表格1_6[[#This Row],[獎懲分數]]</f>
        <v>#DIV/0!</v>
      </c>
      <c r="H6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7" s="39" t="e">
        <f t="shared" ref="I67:I130" si="6">_xlfn.RANK.EQ(G67,$G$2:$G$146,0)</f>
        <v>#DIV/0!</v>
      </c>
      <c r="J67" s="36" t="e">
        <f t="shared" si="4"/>
        <v>#DIV/0!</v>
      </c>
      <c r="K67" s="8" t="e">
        <f t="shared" si="5"/>
        <v>#DIV/0!</v>
      </c>
      <c r="L67" s="8" t="e">
        <f t="shared" ref="L67:L130" si="7">_xlfn.RANK.EQ(J67,$J$2:$J$146,0)</f>
        <v>#DIV/0!</v>
      </c>
      <c r="M67" s="8" t="e">
        <f>表格1_3[[#This Row],[部內平均]]</f>
        <v>#DIV/0!</v>
      </c>
      <c r="N67" s="8"/>
      <c r="O67" s="8" t="e">
        <f>表格1_3[[#This Row],[複評平均]]</f>
        <v>#DIV/0!</v>
      </c>
      <c r="P67" s="3"/>
      <c r="Q67" s="3"/>
      <c r="R67" s="3"/>
      <c r="S67" s="3"/>
      <c r="T67" s="3"/>
      <c r="U67" s="3"/>
      <c r="V67" s="3"/>
      <c r="W67" s="38">
        <v>73.275000000000006</v>
      </c>
      <c r="X67" s="2">
        <v>65</v>
      </c>
    </row>
    <row r="68" spans="1:24" hidden="1">
      <c r="A68" s="10" t="s">
        <v>335</v>
      </c>
      <c r="B68" s="5" t="s">
        <v>190</v>
      </c>
      <c r="C68" s="4" t="s">
        <v>63</v>
      </c>
      <c r="D68" s="6" t="s">
        <v>270</v>
      </c>
      <c r="E68" s="4" t="s">
        <v>286</v>
      </c>
      <c r="F68" s="4" t="s">
        <v>77</v>
      </c>
      <c r="G68" s="41" t="e">
        <f>表格1_6[[#This Row],[加權後總分]]-表格1_6[[#This Row],[獎懲分數]]</f>
        <v>#DIV/0!</v>
      </c>
      <c r="H6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8" s="39" t="e">
        <f t="shared" si="6"/>
        <v>#DIV/0!</v>
      </c>
      <c r="J68" s="36" t="e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>#DIV/0!</v>
      </c>
      <c r="K68" s="8" t="e">
        <f t="shared" si="5"/>
        <v>#DIV/0!</v>
      </c>
      <c r="L68" s="8" t="e">
        <f t="shared" si="7"/>
        <v>#DIV/0!</v>
      </c>
      <c r="M68" s="8" t="e">
        <f>表格1_3[[#This Row],[部內平均]]</f>
        <v>#DIV/0!</v>
      </c>
      <c r="N68" s="8" t="e">
        <f>表格1_3[[#This Row],[共評平均]]</f>
        <v>#DIV/0!</v>
      </c>
      <c r="O68" s="8"/>
      <c r="P68" s="3"/>
      <c r="Q68" s="3"/>
      <c r="R68" s="3"/>
      <c r="S68" s="3"/>
      <c r="T68" s="3"/>
      <c r="U68" s="3"/>
      <c r="V68" s="3"/>
      <c r="W68" s="38">
        <v>73.2</v>
      </c>
      <c r="X68" s="2">
        <v>66</v>
      </c>
    </row>
    <row r="69" spans="1:24" hidden="1">
      <c r="A69" s="10" t="s">
        <v>389</v>
      </c>
      <c r="B69" s="5" t="s">
        <v>191</v>
      </c>
      <c r="C69" s="13" t="s">
        <v>64</v>
      </c>
      <c r="D69" s="6" t="s">
        <v>270</v>
      </c>
      <c r="E69" s="4" t="s">
        <v>283</v>
      </c>
      <c r="F69" s="4" t="s">
        <v>63</v>
      </c>
      <c r="G69" s="41" t="e">
        <f>表格1_6[[#This Row],[加權後總分]]-表格1_6[[#This Row],[獎懲分數]]</f>
        <v>#DIV/0!</v>
      </c>
      <c r="H6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69" s="39" t="e">
        <f t="shared" si="6"/>
        <v>#DIV/0!</v>
      </c>
      <c r="J69" s="36" t="e">
        <f t="shared" si="4"/>
        <v>#DIV/0!</v>
      </c>
      <c r="K69" s="8" t="e">
        <f t="shared" si="5"/>
        <v>#DIV/0!</v>
      </c>
      <c r="L69" s="8" t="e">
        <f t="shared" si="7"/>
        <v>#DIV/0!</v>
      </c>
      <c r="M69" s="8" t="e">
        <f>表格1_3[[#This Row],[部內平均]]</f>
        <v>#DIV/0!</v>
      </c>
      <c r="N69" s="8"/>
      <c r="O69" s="8" t="e">
        <f>表格1_3[[#This Row],[複評平均]]</f>
        <v>#DIV/0!</v>
      </c>
      <c r="P69" s="3"/>
      <c r="Q69" s="3"/>
      <c r="R69" s="3"/>
      <c r="S69" s="3"/>
      <c r="T69" s="3"/>
      <c r="U69" s="3"/>
      <c r="V69" s="3"/>
      <c r="W69" s="38">
        <v>73.199999999999989</v>
      </c>
      <c r="X69" s="2">
        <v>67</v>
      </c>
    </row>
    <row r="70" spans="1:24" hidden="1">
      <c r="A70" s="10" t="s">
        <v>389</v>
      </c>
      <c r="B70" s="5" t="s">
        <v>192</v>
      </c>
      <c r="C70" s="13" t="s">
        <v>65</v>
      </c>
      <c r="D70" s="6" t="s">
        <v>270</v>
      </c>
      <c r="E70" s="4" t="s">
        <v>283</v>
      </c>
      <c r="F70" s="4" t="s">
        <v>77</v>
      </c>
      <c r="G70" s="41" t="e">
        <f>表格1_6[[#This Row],[加權後總分]]-表格1_6[[#This Row],[獎懲分數]]</f>
        <v>#DIV/0!</v>
      </c>
      <c r="H7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70" s="39" t="e">
        <f t="shared" si="6"/>
        <v>#DIV/0!</v>
      </c>
      <c r="J70" s="36" t="e">
        <f t="shared" si="4"/>
        <v>#DIV/0!</v>
      </c>
      <c r="K70" s="8" t="e">
        <f t="shared" si="5"/>
        <v>#DIV/0!</v>
      </c>
      <c r="L70" s="8" t="e">
        <f t="shared" si="7"/>
        <v>#DIV/0!</v>
      </c>
      <c r="M70" s="8" t="e">
        <f>表格1_3[[#This Row],[部內平均]]</f>
        <v>#DIV/0!</v>
      </c>
      <c r="N70" s="8"/>
      <c r="O70" s="8" t="e">
        <f>表格1_3[[#This Row],[複評平均]]</f>
        <v>#DIV/0!</v>
      </c>
      <c r="P70" s="3"/>
      <c r="Q70" s="3"/>
      <c r="R70" s="3"/>
      <c r="S70" s="3"/>
      <c r="T70" s="3"/>
      <c r="U70" s="3"/>
      <c r="V70" s="3"/>
      <c r="W70" s="38">
        <v>73.175000000000011</v>
      </c>
      <c r="X70" s="2">
        <v>68</v>
      </c>
    </row>
    <row r="71" spans="1:24" hidden="1">
      <c r="A71" s="10" t="s">
        <v>389</v>
      </c>
      <c r="B71" s="5" t="s">
        <v>194</v>
      </c>
      <c r="C71" s="13" t="s">
        <v>67</v>
      </c>
      <c r="D71" s="6" t="s">
        <v>270</v>
      </c>
      <c r="E71" s="4" t="s">
        <v>283</v>
      </c>
      <c r="F71" s="4" t="s">
        <v>74</v>
      </c>
      <c r="G71" s="41" t="e">
        <f>表格1_6[[#This Row],[加權後總分]]-表格1_6[[#This Row],[獎懲分數]]</f>
        <v>#DIV/0!</v>
      </c>
      <c r="H7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71" s="39" t="e">
        <f t="shared" si="6"/>
        <v>#DIV/0!</v>
      </c>
      <c r="J71" s="36" t="e">
        <f t="shared" si="4"/>
        <v>#DIV/0!</v>
      </c>
      <c r="K71" s="8" t="e">
        <f t="shared" si="5"/>
        <v>#DIV/0!</v>
      </c>
      <c r="L71" s="8" t="e">
        <f t="shared" si="7"/>
        <v>#DIV/0!</v>
      </c>
      <c r="M71" s="8" t="e">
        <f>表格1_3[[#This Row],[部內平均]]</f>
        <v>#DIV/0!</v>
      </c>
      <c r="N71" s="8"/>
      <c r="O71" s="8" t="e">
        <f>表格1_3[[#This Row],[複評平均]]</f>
        <v>#DIV/0!</v>
      </c>
      <c r="P71" s="3"/>
      <c r="Q71" s="3"/>
      <c r="R71" s="3"/>
      <c r="S71" s="3"/>
      <c r="T71" s="3"/>
      <c r="U71" s="3"/>
      <c r="V71" s="3"/>
      <c r="W71" s="38">
        <v>73</v>
      </c>
      <c r="X71" s="2">
        <v>69</v>
      </c>
    </row>
    <row r="72" spans="1:24" hidden="1">
      <c r="A72" s="10" t="s">
        <v>389</v>
      </c>
      <c r="B72" s="5" t="s">
        <v>195</v>
      </c>
      <c r="C72" s="13" t="s">
        <v>68</v>
      </c>
      <c r="D72" s="6" t="s">
        <v>270</v>
      </c>
      <c r="E72" s="4" t="s">
        <v>283</v>
      </c>
      <c r="F72" s="4" t="s">
        <v>63</v>
      </c>
      <c r="G72" s="41" t="e">
        <f>表格1_6[[#This Row],[加權後總分]]-表格1_6[[#This Row],[獎懲分數]]</f>
        <v>#DIV/0!</v>
      </c>
      <c r="H7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72" s="39" t="e">
        <f t="shared" si="6"/>
        <v>#DIV/0!</v>
      </c>
      <c r="J72" s="36" t="e">
        <f t="shared" si="4"/>
        <v>#DIV/0!</v>
      </c>
      <c r="K72" s="8" t="e">
        <f t="shared" si="5"/>
        <v>#DIV/0!</v>
      </c>
      <c r="L72" s="8" t="e">
        <f t="shared" si="7"/>
        <v>#DIV/0!</v>
      </c>
      <c r="M72" s="8" t="e">
        <f>表格1_3[[#This Row],[部內平均]]</f>
        <v>#DIV/0!</v>
      </c>
      <c r="N72" s="8"/>
      <c r="O72" s="8" t="e">
        <f>表格1_3[[#This Row],[複評平均]]</f>
        <v>#DIV/0!</v>
      </c>
      <c r="P72" s="3"/>
      <c r="Q72" s="3"/>
      <c r="R72" s="3"/>
      <c r="S72" s="3"/>
      <c r="T72" s="3"/>
      <c r="U72" s="3"/>
      <c r="V72" s="3"/>
      <c r="W72" s="38">
        <v>72.8</v>
      </c>
      <c r="X72" s="2">
        <v>70</v>
      </c>
    </row>
    <row r="73" spans="1:24" hidden="1">
      <c r="A73" s="10" t="s">
        <v>389</v>
      </c>
      <c r="B73" s="5" t="s">
        <v>193</v>
      </c>
      <c r="C73" s="4" t="s">
        <v>66</v>
      </c>
      <c r="D73" s="6" t="s">
        <v>270</v>
      </c>
      <c r="E73" s="4" t="s">
        <v>283</v>
      </c>
      <c r="F73" s="4" t="s">
        <v>77</v>
      </c>
      <c r="G73" s="41" t="e">
        <f>表格1_6[[#This Row],[加權後總分]]-表格1_6[[#This Row],[獎懲分數]]</f>
        <v>#DIV/0!</v>
      </c>
      <c r="H7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73" s="39" t="e">
        <f t="shared" si="6"/>
        <v>#DIV/0!</v>
      </c>
      <c r="J73" s="36" t="e">
        <f t="shared" si="4"/>
        <v>#DIV/0!</v>
      </c>
      <c r="K73" s="8" t="e">
        <f t="shared" si="5"/>
        <v>#DIV/0!</v>
      </c>
      <c r="L73" s="8" t="e">
        <f t="shared" si="7"/>
        <v>#DIV/0!</v>
      </c>
      <c r="M73" s="8" t="e">
        <f>表格1_3[[#This Row],[部內平均]]</f>
        <v>#DIV/0!</v>
      </c>
      <c r="N73" s="8"/>
      <c r="O73" s="8" t="e">
        <f>表格1_3[[#This Row],[複評平均]]</f>
        <v>#DIV/0!</v>
      </c>
      <c r="P73" s="3"/>
      <c r="Q73" s="3"/>
      <c r="R73" s="3"/>
      <c r="S73" s="3"/>
      <c r="T73" s="3"/>
      <c r="U73" s="3"/>
      <c r="V73" s="3"/>
      <c r="W73" s="38">
        <v>72.8</v>
      </c>
      <c r="X73" s="2">
        <v>71</v>
      </c>
    </row>
    <row r="74" spans="1:24" hidden="1">
      <c r="A74" s="10" t="s">
        <v>389</v>
      </c>
      <c r="B74" s="5" t="s">
        <v>198</v>
      </c>
      <c r="C74" s="4" t="s">
        <v>71</v>
      </c>
      <c r="D74" s="6" t="s">
        <v>270</v>
      </c>
      <c r="E74" s="4" t="s">
        <v>283</v>
      </c>
      <c r="F74" s="4" t="s">
        <v>77</v>
      </c>
      <c r="G74" s="41" t="e">
        <f>表格1_6[[#This Row],[加權後總分]]-表格1_6[[#This Row],[獎懲分數]]</f>
        <v>#DIV/0!</v>
      </c>
      <c r="H7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74" s="39" t="e">
        <f t="shared" si="6"/>
        <v>#DIV/0!</v>
      </c>
      <c r="J74" s="36" t="e">
        <f t="shared" si="4"/>
        <v>#DIV/0!</v>
      </c>
      <c r="K74" s="8" t="e">
        <f t="shared" si="5"/>
        <v>#DIV/0!</v>
      </c>
      <c r="L74" s="8" t="e">
        <f t="shared" si="7"/>
        <v>#DIV/0!</v>
      </c>
      <c r="M74" s="8" t="e">
        <f>表格1_3[[#This Row],[部內平均]]</f>
        <v>#DIV/0!</v>
      </c>
      <c r="N74" s="8"/>
      <c r="O74" s="8" t="e">
        <f>表格1_3[[#This Row],[複評平均]]</f>
        <v>#DIV/0!</v>
      </c>
      <c r="P74" s="3"/>
      <c r="Q74" s="3"/>
      <c r="R74" s="3"/>
      <c r="S74" s="3"/>
      <c r="T74" s="3"/>
      <c r="U74" s="3"/>
      <c r="V74" s="3"/>
      <c r="W74" s="38">
        <v>72.75</v>
      </c>
      <c r="X74" s="2">
        <v>72</v>
      </c>
    </row>
    <row r="75" spans="1:24" hidden="1">
      <c r="A75" s="10" t="s">
        <v>389</v>
      </c>
      <c r="B75" s="5" t="s">
        <v>318</v>
      </c>
      <c r="C75" s="12" t="s">
        <v>438</v>
      </c>
      <c r="D75" s="6" t="s">
        <v>270</v>
      </c>
      <c r="E75" s="4" t="s">
        <v>283</v>
      </c>
      <c r="F75" s="4" t="s">
        <v>63</v>
      </c>
      <c r="G75" s="41">
        <f>表格1_6[[#This Row],[加權後總分]]-表格1_6[[#This Row],[獎懲分數]]</f>
        <v>0</v>
      </c>
      <c r="H75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75" s="39" t="e">
        <f t="shared" si="6"/>
        <v>#DIV/0!</v>
      </c>
      <c r="J75" s="36"/>
      <c r="K75" s="8"/>
      <c r="L75" s="8" t="e">
        <f t="shared" si="7"/>
        <v>#DIV/0!</v>
      </c>
      <c r="M75" s="8" t="e">
        <f>表格1_3[[#This Row],[部內平均]]</f>
        <v>#DIV/0!</v>
      </c>
      <c r="N75" s="8"/>
      <c r="O75" s="8" t="e">
        <f>表格1_3[[#This Row],[複評平均]]</f>
        <v>#DIV/0!</v>
      </c>
      <c r="P75" s="3"/>
      <c r="Q75" s="3"/>
      <c r="R75" s="3"/>
      <c r="S75" s="3"/>
      <c r="T75" s="3"/>
      <c r="U75" s="3"/>
      <c r="V75" s="3"/>
      <c r="W75" s="38">
        <v>72.599999999999994</v>
      </c>
      <c r="X75" s="2">
        <v>73</v>
      </c>
    </row>
    <row r="76" spans="1:24" ht="26" hidden="1">
      <c r="A76" s="10" t="s">
        <v>389</v>
      </c>
      <c r="B76" s="5" t="s">
        <v>319</v>
      </c>
      <c r="C76" s="12" t="s">
        <v>439</v>
      </c>
      <c r="D76" s="6" t="s">
        <v>270</v>
      </c>
      <c r="E76" s="4" t="s">
        <v>283</v>
      </c>
      <c r="F76" s="4" t="s">
        <v>63</v>
      </c>
      <c r="G76" s="41">
        <f>表格1_6[[#This Row],[加權後總分]]-表格1_6[[#This Row],[獎懲分數]]</f>
        <v>0</v>
      </c>
      <c r="H76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76" s="39" t="e">
        <f t="shared" si="6"/>
        <v>#DIV/0!</v>
      </c>
      <c r="J76" s="36"/>
      <c r="K76" s="8"/>
      <c r="L76" s="8" t="e">
        <f t="shared" si="7"/>
        <v>#DIV/0!</v>
      </c>
      <c r="M76" s="8" t="e">
        <f>表格1_3[[#This Row],[部內平均]]</f>
        <v>#DIV/0!</v>
      </c>
      <c r="N76" s="8"/>
      <c r="O76" s="8" t="e">
        <f>表格1_3[[#This Row],[複評平均]]</f>
        <v>#DIV/0!</v>
      </c>
      <c r="P76" s="3"/>
      <c r="Q76" s="3"/>
      <c r="R76" s="3"/>
      <c r="S76" s="3"/>
      <c r="T76" s="3"/>
      <c r="U76" s="3"/>
      <c r="V76" s="3"/>
      <c r="W76" s="38">
        <v>72.474999999999994</v>
      </c>
      <c r="X76" s="2">
        <v>74</v>
      </c>
    </row>
    <row r="77" spans="1:24" hidden="1">
      <c r="A77" s="10" t="s">
        <v>389</v>
      </c>
      <c r="B77" s="5" t="s">
        <v>199</v>
      </c>
      <c r="C77" s="12" t="s">
        <v>440</v>
      </c>
      <c r="D77" s="6" t="s">
        <v>270</v>
      </c>
      <c r="E77" s="4" t="s">
        <v>283</v>
      </c>
      <c r="F77" s="4" t="s">
        <v>63</v>
      </c>
      <c r="G77" s="41">
        <f>表格1_6[[#This Row],[加權後總分]]-表格1_6[[#This Row],[獎懲分數]]</f>
        <v>0</v>
      </c>
      <c r="H77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77" s="39" t="e">
        <f t="shared" si="6"/>
        <v>#DIV/0!</v>
      </c>
      <c r="J77" s="36"/>
      <c r="K77" s="8"/>
      <c r="L77" s="8" t="e">
        <f t="shared" si="7"/>
        <v>#DIV/0!</v>
      </c>
      <c r="M77" s="8" t="e">
        <f>表格1_3[[#This Row],[部內平均]]</f>
        <v>#DIV/0!</v>
      </c>
      <c r="N77" s="8"/>
      <c r="O77" s="8" t="e">
        <f>表格1_3[[#This Row],[複評平均]]</f>
        <v>#DIV/0!</v>
      </c>
      <c r="P77" s="3"/>
      <c r="Q77" s="3"/>
      <c r="R77" s="3"/>
      <c r="S77" s="3"/>
      <c r="T77" s="3"/>
      <c r="U77" s="3"/>
      <c r="V77" s="3"/>
      <c r="W77" s="38">
        <v>72.433333333333337</v>
      </c>
      <c r="X77" s="2">
        <v>75</v>
      </c>
    </row>
    <row r="78" spans="1:24" hidden="1">
      <c r="A78" s="10" t="s">
        <v>389</v>
      </c>
      <c r="B78" s="5" t="s">
        <v>200</v>
      </c>
      <c r="C78" s="12" t="s">
        <v>441</v>
      </c>
      <c r="D78" s="6" t="s">
        <v>270</v>
      </c>
      <c r="E78" s="4" t="s">
        <v>283</v>
      </c>
      <c r="F78" s="4" t="s">
        <v>63</v>
      </c>
      <c r="G78" s="41">
        <f>表格1_6[[#This Row],[加權後總分]]-表格1_6[[#This Row],[獎懲分數]]</f>
        <v>0</v>
      </c>
      <c r="H78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78" s="39" t="e">
        <f t="shared" si="6"/>
        <v>#DIV/0!</v>
      </c>
      <c r="J78" s="36"/>
      <c r="K78" s="8"/>
      <c r="L78" s="8" t="e">
        <f t="shared" si="7"/>
        <v>#DIV/0!</v>
      </c>
      <c r="M78" s="8" t="e">
        <f>表格1_3[[#This Row],[部內平均]]</f>
        <v>#DIV/0!</v>
      </c>
      <c r="N78" s="8"/>
      <c r="O78" s="8" t="e">
        <f>表格1_3[[#This Row],[複評平均]]</f>
        <v>#DIV/0!</v>
      </c>
      <c r="P78" s="3"/>
      <c r="Q78" s="3"/>
      <c r="R78" s="3"/>
      <c r="S78" s="3"/>
      <c r="T78" s="3"/>
      <c r="U78" s="3"/>
      <c r="V78" s="3"/>
      <c r="W78" s="38">
        <v>72.2</v>
      </c>
      <c r="X78" s="2">
        <v>76</v>
      </c>
    </row>
    <row r="79" spans="1:24" hidden="1">
      <c r="A79" s="10" t="s">
        <v>384</v>
      </c>
      <c r="B79" s="5" t="s">
        <v>203</v>
      </c>
      <c r="C79" s="4" t="s">
        <v>73</v>
      </c>
      <c r="D79" s="6" t="s">
        <v>271</v>
      </c>
      <c r="E79" s="4" t="s">
        <v>294</v>
      </c>
      <c r="F79" s="4" t="s">
        <v>72</v>
      </c>
      <c r="G79" s="41" t="e">
        <f>表格1_6[[#This Row],[加權後總分]]-表格1_6[[#This Row],[獎懲分數]]</f>
        <v>#DIV/0!</v>
      </c>
      <c r="H7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79" s="39" t="e">
        <f t="shared" si="6"/>
        <v>#DIV/0!</v>
      </c>
      <c r="J79" s="36" t="e">
        <f t="shared" si="4"/>
        <v>#DIV/0!</v>
      </c>
      <c r="K79" s="8" t="e">
        <f t="shared" si="5"/>
        <v>#DIV/0!</v>
      </c>
      <c r="L79" s="8" t="e">
        <f t="shared" si="7"/>
        <v>#DIV/0!</v>
      </c>
      <c r="M79" s="8" t="e">
        <f>表格1_3[[#This Row],[部內平均]]</f>
        <v>#DIV/0!</v>
      </c>
      <c r="N79" s="8" t="e">
        <f>表格1_3[[#This Row],[共評平均]]</f>
        <v>#DIV/0!</v>
      </c>
      <c r="O79" s="8" t="e">
        <f>表格1_3[[#This Row],[複評平均]]</f>
        <v>#DIV/0!</v>
      </c>
      <c r="P79" s="3"/>
      <c r="Q79" s="3"/>
      <c r="R79" s="3"/>
      <c r="S79" s="3"/>
      <c r="T79" s="3"/>
      <c r="U79" s="3"/>
      <c r="V79" s="3"/>
      <c r="W79" s="38">
        <v>71.875</v>
      </c>
      <c r="X79" s="2">
        <v>77</v>
      </c>
    </row>
    <row r="80" spans="1:24" hidden="1">
      <c r="A80" s="10" t="s">
        <v>380</v>
      </c>
      <c r="B80" s="5" t="s">
        <v>202</v>
      </c>
      <c r="C80" s="4" t="s">
        <v>72</v>
      </c>
      <c r="D80" s="6" t="s">
        <v>271</v>
      </c>
      <c r="E80" s="4" t="s">
        <v>288</v>
      </c>
      <c r="F80" s="4" t="s">
        <v>120</v>
      </c>
      <c r="G80" s="41" t="e">
        <f>表格1_6[[#This Row],[加權後總分]]-表格1_6[[#This Row],[獎懲分數]]</f>
        <v>#DIV/0!</v>
      </c>
      <c r="H8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0" s="39" t="e">
        <f t="shared" si="6"/>
        <v>#DIV/0!</v>
      </c>
      <c r="J80" s="36" t="e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>#DIV/0!</v>
      </c>
      <c r="K80" s="8" t="e">
        <f t="shared" si="5"/>
        <v>#DIV/0!</v>
      </c>
      <c r="L80" s="8" t="e">
        <f t="shared" si="7"/>
        <v>#DIV/0!</v>
      </c>
      <c r="M80" s="8" t="e">
        <f>表格1_3[[#This Row],[部內平均]]</f>
        <v>#DIV/0!</v>
      </c>
      <c r="N80" s="8" t="e">
        <f>表格1_3[[#This Row],[共評平均]]</f>
        <v>#DIV/0!</v>
      </c>
      <c r="O80" s="8"/>
      <c r="P80" s="3"/>
      <c r="Q80" s="3"/>
      <c r="R80" s="3"/>
      <c r="S80" s="3"/>
      <c r="T80" s="3"/>
      <c r="U80" s="3"/>
      <c r="V80" s="3"/>
      <c r="W80" s="38">
        <v>71.599999999999994</v>
      </c>
      <c r="X80" s="2">
        <v>78</v>
      </c>
    </row>
    <row r="81" spans="1:24" hidden="1">
      <c r="A81" s="10" t="s">
        <v>380</v>
      </c>
      <c r="B81" s="5" t="s">
        <v>204</v>
      </c>
      <c r="C81" s="13" t="s">
        <v>74</v>
      </c>
      <c r="D81" s="6" t="s">
        <v>271</v>
      </c>
      <c r="E81" s="4" t="s">
        <v>4</v>
      </c>
      <c r="F81" s="4" t="s">
        <v>72</v>
      </c>
      <c r="G81" s="41" t="e">
        <f>表格1_6[[#This Row],[加權後總分]]-表格1_6[[#This Row],[獎懲分數]]</f>
        <v>#DIV/0!</v>
      </c>
      <c r="H8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1" s="39" t="e">
        <f t="shared" si="6"/>
        <v>#DIV/0!</v>
      </c>
      <c r="J81" s="36" t="e">
        <f t="shared" si="4"/>
        <v>#DIV/0!</v>
      </c>
      <c r="K81" s="8" t="e">
        <f t="shared" si="5"/>
        <v>#DIV/0!</v>
      </c>
      <c r="L81" s="8" t="e">
        <f t="shared" si="7"/>
        <v>#DIV/0!</v>
      </c>
      <c r="M81" s="8" t="e">
        <f>表格1_3[[#This Row],[部內平均]]</f>
        <v>#DIV/0!</v>
      </c>
      <c r="N81" s="8" t="e">
        <f>表格1_3[[#This Row],[共評平均]]</f>
        <v>#DIV/0!</v>
      </c>
      <c r="O81" s="8" t="e">
        <f>表格1_3[[#This Row],[複評平均]]</f>
        <v>#DIV/0!</v>
      </c>
      <c r="P81" s="3"/>
      <c r="Q81" s="3"/>
      <c r="R81" s="3"/>
      <c r="S81" s="3"/>
      <c r="T81" s="3"/>
      <c r="U81" s="3"/>
      <c r="V81" s="3"/>
      <c r="W81" s="38">
        <v>71</v>
      </c>
      <c r="X81" s="2">
        <v>79</v>
      </c>
    </row>
    <row r="82" spans="1:24" hidden="1">
      <c r="A82" s="10" t="s">
        <v>383</v>
      </c>
      <c r="B82" s="5" t="s">
        <v>205</v>
      </c>
      <c r="C82" s="4" t="s">
        <v>75</v>
      </c>
      <c r="D82" s="6" t="s">
        <v>271</v>
      </c>
      <c r="E82" s="4" t="s">
        <v>283</v>
      </c>
      <c r="F82" s="4" t="s">
        <v>330</v>
      </c>
      <c r="G82" s="41" t="e">
        <f>表格1_6[[#This Row],[加權後總分]]-表格1_6[[#This Row],[獎懲分數]]</f>
        <v>#DIV/0!</v>
      </c>
      <c r="H8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2" s="39" t="e">
        <f t="shared" si="6"/>
        <v>#DIV/0!</v>
      </c>
      <c r="J82" s="36" t="e">
        <f t="shared" si="4"/>
        <v>#DIV/0!</v>
      </c>
      <c r="K82" s="8" t="e">
        <f t="shared" si="5"/>
        <v>#DIV/0!</v>
      </c>
      <c r="L82" s="8" t="e">
        <f t="shared" si="7"/>
        <v>#DIV/0!</v>
      </c>
      <c r="M82" s="8" t="e">
        <f>表格1_3[[#This Row],[部內平均]]</f>
        <v>#DIV/0!</v>
      </c>
      <c r="N82" s="8" t="e">
        <f>表格1_3[[#This Row],[共評平均]]</f>
        <v>#DIV/0!</v>
      </c>
      <c r="O82" s="8" t="e">
        <f>表格1_3[[#This Row],[複評平均]]</f>
        <v>#DIV/0!</v>
      </c>
      <c r="P82" s="3"/>
      <c r="Q82" s="3"/>
      <c r="R82" s="3"/>
      <c r="S82" s="3"/>
      <c r="T82" s="3"/>
      <c r="U82" s="3"/>
      <c r="V82" s="3"/>
      <c r="W82" s="38">
        <v>71</v>
      </c>
      <c r="X82" s="2">
        <v>80</v>
      </c>
    </row>
    <row r="83" spans="1:24" hidden="1">
      <c r="A83" s="10" t="s">
        <v>343</v>
      </c>
      <c r="B83" s="5" t="s">
        <v>206</v>
      </c>
      <c r="C83" s="4" t="s">
        <v>76</v>
      </c>
      <c r="D83" s="6" t="s">
        <v>272</v>
      </c>
      <c r="E83" s="4" t="s">
        <v>288</v>
      </c>
      <c r="F83" s="4" t="s">
        <v>120</v>
      </c>
      <c r="G83" s="41" t="e">
        <f>表格1_6[[#This Row],[加權後總分]]-表格1_6[[#This Row],[獎懲分數]]</f>
        <v>#DIV/0!</v>
      </c>
      <c r="H8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3" s="39" t="e">
        <f t="shared" si="6"/>
        <v>#DIV/0!</v>
      </c>
      <c r="J83" s="36" t="e">
        <f t="shared" si="4"/>
        <v>#DIV/0!</v>
      </c>
      <c r="K83" s="8" t="e">
        <f t="shared" si="5"/>
        <v>#DIV/0!</v>
      </c>
      <c r="L83" s="8" t="e">
        <f t="shared" si="7"/>
        <v>#DIV/0!</v>
      </c>
      <c r="M83" s="8"/>
      <c r="N83" s="8" t="e">
        <f>表格1_3[[#This Row],[共評平均]]</f>
        <v>#DIV/0!</v>
      </c>
      <c r="O83" s="8">
        <v>83.8</v>
      </c>
      <c r="P83" s="3">
        <v>1</v>
      </c>
      <c r="Q83" s="3"/>
      <c r="R83" s="3"/>
      <c r="S83" s="3"/>
      <c r="T83" s="3"/>
      <c r="U83" s="3"/>
      <c r="V83" s="3">
        <v>3</v>
      </c>
      <c r="W83" s="38">
        <v>70.8</v>
      </c>
      <c r="X83" s="2">
        <v>81</v>
      </c>
    </row>
    <row r="84" spans="1:24" hidden="1">
      <c r="A84" s="10" t="s">
        <v>340</v>
      </c>
      <c r="B84" s="5" t="s">
        <v>207</v>
      </c>
      <c r="C84" s="4" t="s">
        <v>77</v>
      </c>
      <c r="D84" s="6" t="s">
        <v>272</v>
      </c>
      <c r="E84" s="4" t="s">
        <v>292</v>
      </c>
      <c r="F84" s="4" t="s">
        <v>74</v>
      </c>
      <c r="G84" s="41" t="e">
        <f>表格1_6[[#This Row],[加權後總分]]-表格1_6[[#This Row],[獎懲分數]]</f>
        <v>#DIV/0!</v>
      </c>
      <c r="H8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4" s="39" t="e">
        <f t="shared" si="6"/>
        <v>#DIV/0!</v>
      </c>
      <c r="J84" s="36" t="e">
        <f t="shared" si="4"/>
        <v>#DIV/0!</v>
      </c>
      <c r="K84" s="8" t="e">
        <f t="shared" si="5"/>
        <v>#DIV/0!</v>
      </c>
      <c r="L84" s="8" t="e">
        <f t="shared" si="7"/>
        <v>#DIV/0!</v>
      </c>
      <c r="M84" s="8" t="e">
        <f>表格1_3[[#This Row],[部內平均]]</f>
        <v>#DIV/0!</v>
      </c>
      <c r="N84" s="8" t="e">
        <f>表格1_3[[#This Row],[共評平均]]</f>
        <v>#DIV/0!</v>
      </c>
      <c r="O84" s="8">
        <v>79.599999999999994</v>
      </c>
      <c r="P84" s="3"/>
      <c r="Q84" s="3"/>
      <c r="R84" s="3"/>
      <c r="S84" s="3"/>
      <c r="T84" s="3"/>
      <c r="U84" s="3"/>
      <c r="V84" s="3"/>
      <c r="W84" s="38">
        <v>70.599999999999994</v>
      </c>
      <c r="X84" s="2">
        <v>82</v>
      </c>
    </row>
    <row r="85" spans="1:24" hidden="1">
      <c r="A85" s="10" t="s">
        <v>386</v>
      </c>
      <c r="B85" s="5" t="s">
        <v>208</v>
      </c>
      <c r="C85" s="4" t="s">
        <v>78</v>
      </c>
      <c r="D85" s="6" t="s">
        <v>272</v>
      </c>
      <c r="E85" s="4" t="s">
        <v>293</v>
      </c>
      <c r="F85" s="4" t="s">
        <v>76</v>
      </c>
      <c r="G85" s="41" t="e">
        <f>表格1_6[[#This Row],[加權後總分]]-表格1_6[[#This Row],[獎懲分數]]</f>
        <v>#DIV/0!</v>
      </c>
      <c r="H8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5" s="39" t="e">
        <f t="shared" si="6"/>
        <v>#DIV/0!</v>
      </c>
      <c r="J85" s="36" t="e">
        <f t="shared" si="4"/>
        <v>#DIV/0!</v>
      </c>
      <c r="K85" s="8" t="e">
        <f t="shared" si="5"/>
        <v>#DIV/0!</v>
      </c>
      <c r="L85" s="8" t="e">
        <f t="shared" si="7"/>
        <v>#DIV/0!</v>
      </c>
      <c r="M85" s="8" t="e">
        <f>表格1_3[[#This Row],[部內平均]]</f>
        <v>#DIV/0!</v>
      </c>
      <c r="N85" s="8" t="e">
        <f>表格1_3[[#This Row],[共評平均]]</f>
        <v>#DIV/0!</v>
      </c>
      <c r="O85" s="8" t="e">
        <f>表格1_3[[#This Row],[複評平均]]</f>
        <v>#DIV/0!</v>
      </c>
      <c r="P85" s="3"/>
      <c r="Q85" s="3"/>
      <c r="R85" s="3"/>
      <c r="S85" s="3"/>
      <c r="T85" s="3"/>
      <c r="U85" s="3"/>
      <c r="V85" s="3"/>
      <c r="W85" s="38">
        <v>70.599999999999994</v>
      </c>
      <c r="X85" s="2">
        <v>83</v>
      </c>
    </row>
    <row r="86" spans="1:24" hidden="1">
      <c r="A86" s="10" t="s">
        <v>339</v>
      </c>
      <c r="B86" s="5" t="s">
        <v>209</v>
      </c>
      <c r="C86" s="4" t="s">
        <v>79</v>
      </c>
      <c r="D86" s="6" t="s">
        <v>273</v>
      </c>
      <c r="E86" s="4" t="s">
        <v>295</v>
      </c>
      <c r="F86" s="4" t="s">
        <v>119</v>
      </c>
      <c r="G86" s="41" t="e">
        <f>表格1_6[[#This Row],[加權後總分]]-表格1_6[[#This Row],[獎懲分數]]</f>
        <v>#DIV/0!</v>
      </c>
      <c r="H8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6" s="39" t="e">
        <f t="shared" si="6"/>
        <v>#DIV/0!</v>
      </c>
      <c r="J86" s="36" t="e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V86
)</f>
        <v>#DIV/0!</v>
      </c>
      <c r="K86" s="8" t="e">
        <f t="shared" si="5"/>
        <v>#DIV/0!</v>
      </c>
      <c r="L86" s="8" t="e">
        <f t="shared" si="7"/>
        <v>#DIV/0!</v>
      </c>
      <c r="M86" s="8"/>
      <c r="N86" s="8" t="e">
        <f>表格1_3[[#This Row],[共評平均]]</f>
        <v>#DIV/0!</v>
      </c>
      <c r="O86" s="8"/>
      <c r="P86" s="3">
        <v>1</v>
      </c>
      <c r="Q86" s="3"/>
      <c r="R86" s="3"/>
      <c r="S86" s="3"/>
      <c r="T86" s="3"/>
      <c r="U86" s="3"/>
      <c r="V86" s="3">
        <v>3</v>
      </c>
      <c r="W86" s="38">
        <v>69.525000000000006</v>
      </c>
      <c r="X86" s="2">
        <v>84</v>
      </c>
    </row>
    <row r="87" spans="1:24" hidden="1">
      <c r="A87" s="10" t="s">
        <v>344</v>
      </c>
      <c r="B87" s="5" t="s">
        <v>210</v>
      </c>
      <c r="C87" s="4" t="s">
        <v>80</v>
      </c>
      <c r="D87" s="6" t="s">
        <v>274</v>
      </c>
      <c r="E87" s="4" t="s">
        <v>296</v>
      </c>
      <c r="F87" s="4" t="s">
        <v>79</v>
      </c>
      <c r="G87" s="41" t="e">
        <f>表格1_6[[#This Row],[加權後總分]]-表格1_6[[#This Row],[獎懲分數]]</f>
        <v>#DIV/0!</v>
      </c>
      <c r="H8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7" s="39" t="e">
        <f t="shared" si="6"/>
        <v>#DIV/0!</v>
      </c>
      <c r="J87" s="36" t="e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V87
)</f>
        <v>#DIV/0!</v>
      </c>
      <c r="K87" s="8" t="e">
        <f>IF(J87&gt;=90,"A",
 IF(J87&gt;=77,"B",
 IF(J87&gt;=70,"C",
 IF(J87&gt;=60,"D","E"))))</f>
        <v>#DIV/0!</v>
      </c>
      <c r="L87" s="8" t="e">
        <f t="shared" si="7"/>
        <v>#DIV/0!</v>
      </c>
      <c r="M87" s="8" t="e">
        <f>表格1_3[[#This Row],[部內平均]]</f>
        <v>#DIV/0!</v>
      </c>
      <c r="N87" s="8" t="e">
        <f>表格1_3[[#This Row],[共評平均]]</f>
        <v>#DIV/0!</v>
      </c>
      <c r="O87" s="8" t="e">
        <f>表格1_3[[#This Row],[複評平均]]</f>
        <v>#DIV/0!</v>
      </c>
      <c r="P87" s="3"/>
      <c r="Q87" s="3"/>
      <c r="R87" s="3"/>
      <c r="S87" s="3"/>
      <c r="T87" s="3"/>
      <c r="U87" s="3"/>
      <c r="V87" s="3"/>
      <c r="W87" s="38">
        <v>69.2</v>
      </c>
      <c r="X87" s="2">
        <v>85</v>
      </c>
    </row>
    <row r="88" spans="1:24" hidden="1">
      <c r="A88" s="10" t="s">
        <v>345</v>
      </c>
      <c r="B88" s="5" t="s">
        <v>211</v>
      </c>
      <c r="C88" s="4" t="s">
        <v>81</v>
      </c>
      <c r="D88" s="6" t="s">
        <v>274</v>
      </c>
      <c r="E88" s="4" t="s">
        <v>296</v>
      </c>
      <c r="F88" s="4" t="s">
        <v>93</v>
      </c>
      <c r="G88" s="41" t="e">
        <f>表格1_6[[#This Row],[加權後總分]]-表格1_6[[#This Row],[獎懲分數]]</f>
        <v>#DIV/0!</v>
      </c>
      <c r="H8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8" s="39" t="e">
        <f t="shared" si="6"/>
        <v>#DIV/0!</v>
      </c>
      <c r="J88" s="36" t="e">
        <f t="shared" si="4"/>
        <v>#DIV/0!</v>
      </c>
      <c r="K88" s="8" t="e">
        <f t="shared" si="5"/>
        <v>#DIV/0!</v>
      </c>
      <c r="L88" s="8" t="e">
        <f t="shared" si="7"/>
        <v>#DIV/0!</v>
      </c>
      <c r="M88" s="8" t="e">
        <f>表格1_3[[#This Row],[部內平均]]</f>
        <v>#DIV/0!</v>
      </c>
      <c r="N88" s="8" t="e">
        <f>表格1_3[[#This Row],[共評平均]]</f>
        <v>#DIV/0!</v>
      </c>
      <c r="O88" s="8" t="e">
        <f>表格1_3[[#This Row],[複評平均]]</f>
        <v>#DIV/0!</v>
      </c>
      <c r="P88" s="3">
        <v>1</v>
      </c>
      <c r="Q88" s="3"/>
      <c r="R88" s="3"/>
      <c r="S88" s="3"/>
      <c r="T88" s="3"/>
      <c r="U88" s="3"/>
      <c r="V88" s="3">
        <v>3</v>
      </c>
      <c r="W88" s="38">
        <v>69</v>
      </c>
      <c r="X88" s="2">
        <v>86</v>
      </c>
    </row>
    <row r="89" spans="1:24" hidden="1">
      <c r="A89" s="10" t="s">
        <v>335</v>
      </c>
      <c r="B89" s="5" t="s">
        <v>212</v>
      </c>
      <c r="C89" s="4" t="s">
        <v>82</v>
      </c>
      <c r="D89" s="6" t="s">
        <v>275</v>
      </c>
      <c r="E89" s="4" t="s">
        <v>285</v>
      </c>
      <c r="F89" s="4" t="s">
        <v>331</v>
      </c>
      <c r="G89" s="41" t="e">
        <f>表格1_6[[#This Row],[加權後總分]]-表格1_6[[#This Row],[獎懲分數]]</f>
        <v>#DIV/0!</v>
      </c>
      <c r="H8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89" s="39" t="e">
        <f t="shared" si="6"/>
        <v>#DIV/0!</v>
      </c>
      <c r="J89" s="36" t="e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V89
)+1</f>
        <v>#DIV/0!</v>
      </c>
      <c r="K89" s="8" t="e">
        <f t="shared" si="5"/>
        <v>#DIV/0!</v>
      </c>
      <c r="L89" s="8" t="e">
        <f t="shared" si="7"/>
        <v>#DIV/0!</v>
      </c>
      <c r="M89" s="8"/>
      <c r="N89" s="8" t="e">
        <f>表格1_3[[#This Row],[共評平均]]</f>
        <v>#DIV/0!</v>
      </c>
      <c r="O89" s="8" t="e">
        <f>表格1_3[[#This Row],[複評平均]]</f>
        <v>#DIV/0!</v>
      </c>
      <c r="P89" s="3"/>
      <c r="Q89" s="3"/>
      <c r="R89" s="3"/>
      <c r="S89" s="3"/>
      <c r="T89" s="3"/>
      <c r="U89" s="3"/>
      <c r="V89" s="3"/>
      <c r="W89" s="38">
        <v>68.8</v>
      </c>
      <c r="X89" s="2">
        <v>87</v>
      </c>
    </row>
    <row r="90" spans="1:24" hidden="1">
      <c r="A90" s="10" t="s">
        <v>399</v>
      </c>
      <c r="B90" s="5" t="s">
        <v>213</v>
      </c>
      <c r="C90" s="4" t="s">
        <v>334</v>
      </c>
      <c r="D90" s="6" t="s">
        <v>275</v>
      </c>
      <c r="E90" s="4" t="s">
        <v>283</v>
      </c>
      <c r="F90" s="4" t="s">
        <v>35</v>
      </c>
      <c r="G90" s="41" t="e">
        <f>表格1_6[[#This Row],[加權後總分]]-表格1_6[[#This Row],[獎懲分數]]</f>
        <v>#DIV/0!</v>
      </c>
      <c r="H9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0" s="39" t="e">
        <f t="shared" si="6"/>
        <v>#DIV/0!</v>
      </c>
      <c r="J90" s="36" t="e">
        <f t="shared" si="4"/>
        <v>#DIV/0!</v>
      </c>
      <c r="K90" s="8" t="e">
        <f t="shared" si="5"/>
        <v>#DIV/0!</v>
      </c>
      <c r="L90" s="8" t="e">
        <f t="shared" si="7"/>
        <v>#DIV/0!</v>
      </c>
      <c r="M90" s="8" t="e">
        <f>表格1_3[[#This Row],[部內平均]]</f>
        <v>#DIV/0!</v>
      </c>
      <c r="N90" s="8"/>
      <c r="O90" s="8" t="e">
        <f>表格1_3[[#This Row],[複評平均]]</f>
        <v>#DIV/0!</v>
      </c>
      <c r="P90" s="3"/>
      <c r="Q90" s="3"/>
      <c r="R90" s="3"/>
      <c r="S90" s="3"/>
      <c r="T90" s="3"/>
      <c r="U90" s="3"/>
      <c r="V90" s="3"/>
      <c r="W90" s="38">
        <v>68.8</v>
      </c>
      <c r="X90" s="2">
        <v>88</v>
      </c>
    </row>
    <row r="91" spans="1:24" hidden="1">
      <c r="A91" s="10" t="s">
        <v>399</v>
      </c>
      <c r="B91" s="5" t="s">
        <v>215</v>
      </c>
      <c r="C91" s="4" t="s">
        <v>84</v>
      </c>
      <c r="D91" s="6" t="s">
        <v>275</v>
      </c>
      <c r="E91" s="4" t="s">
        <v>283</v>
      </c>
      <c r="F91" s="4" t="s">
        <v>35</v>
      </c>
      <c r="G91" s="41" t="e">
        <f>表格1_6[[#This Row],[加權後總分]]-表格1_6[[#This Row],[獎懲分數]]</f>
        <v>#DIV/0!</v>
      </c>
      <c r="H9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1" s="39" t="e">
        <f t="shared" si="6"/>
        <v>#DIV/0!</v>
      </c>
      <c r="J91" s="36" t="e">
        <f t="shared" si="4"/>
        <v>#DIV/0!</v>
      </c>
      <c r="K91" s="8" t="e">
        <f t="shared" si="5"/>
        <v>#DIV/0!</v>
      </c>
      <c r="L91" s="8" t="e">
        <f t="shared" si="7"/>
        <v>#DIV/0!</v>
      </c>
      <c r="M91" s="8" t="e">
        <f>表格1_3[[#This Row],[部內平均]]</f>
        <v>#DIV/0!</v>
      </c>
      <c r="N91" s="8"/>
      <c r="O91" s="8" t="e">
        <f>表格1_3[[#This Row],[複評平均]]</f>
        <v>#DIV/0!</v>
      </c>
      <c r="P91" s="3"/>
      <c r="Q91" s="3"/>
      <c r="R91" s="3"/>
      <c r="S91" s="3"/>
      <c r="T91" s="3"/>
      <c r="U91" s="3"/>
      <c r="V91" s="3"/>
      <c r="W91" s="38">
        <v>68.8</v>
      </c>
      <c r="X91" s="2">
        <v>89</v>
      </c>
    </row>
    <row r="92" spans="1:24" hidden="1">
      <c r="A92" s="10" t="s">
        <v>399</v>
      </c>
      <c r="B92" s="5" t="s">
        <v>219</v>
      </c>
      <c r="C92" s="4" t="s">
        <v>88</v>
      </c>
      <c r="D92" s="6" t="s">
        <v>275</v>
      </c>
      <c r="E92" s="4" t="s">
        <v>283</v>
      </c>
      <c r="F92" s="4" t="s">
        <v>35</v>
      </c>
      <c r="G92" s="41" t="e">
        <f>表格1_6[[#This Row],[加權後總分]]-表格1_6[[#This Row],[獎懲分數]]</f>
        <v>#DIV/0!</v>
      </c>
      <c r="H9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2" s="39" t="e">
        <f t="shared" si="6"/>
        <v>#DIV/0!</v>
      </c>
      <c r="J92" s="36" t="e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>#DIV/0!</v>
      </c>
      <c r="K92" s="8" t="e">
        <f t="shared" si="5"/>
        <v>#DIV/0!</v>
      </c>
      <c r="L92" s="8" t="e">
        <f t="shared" si="7"/>
        <v>#DIV/0!</v>
      </c>
      <c r="M92" s="8" t="e">
        <f>表格1_3[[#This Row],[部內平均]]</f>
        <v>#DIV/0!</v>
      </c>
      <c r="N92" s="8"/>
      <c r="O92" s="8" t="e">
        <f>表格1_3[[#This Row],[複評平均]]</f>
        <v>#DIV/0!</v>
      </c>
      <c r="P92" s="3"/>
      <c r="Q92" s="3"/>
      <c r="R92" s="3"/>
      <c r="S92" s="3"/>
      <c r="T92" s="3"/>
      <c r="U92" s="3"/>
      <c r="V92" s="3"/>
      <c r="W92" s="38">
        <v>68.612244897959187</v>
      </c>
      <c r="X92" s="2">
        <v>90</v>
      </c>
    </row>
    <row r="93" spans="1:24" hidden="1">
      <c r="A93" s="10" t="s">
        <v>399</v>
      </c>
      <c r="B93" s="5" t="s">
        <v>216</v>
      </c>
      <c r="C93" s="4" t="s">
        <v>85</v>
      </c>
      <c r="D93" s="6" t="s">
        <v>275</v>
      </c>
      <c r="E93" s="4" t="s">
        <v>283</v>
      </c>
      <c r="F93" s="4" t="s">
        <v>35</v>
      </c>
      <c r="G93" s="41" t="e">
        <f>表格1_6[[#This Row],[加權後總分]]-表格1_6[[#This Row],[獎懲分數]]</f>
        <v>#DIV/0!</v>
      </c>
      <c r="H9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3" s="39" t="e">
        <f t="shared" si="6"/>
        <v>#DIV/0!</v>
      </c>
      <c r="J93" s="36" t="e">
        <f t="shared" si="4"/>
        <v>#DIV/0!</v>
      </c>
      <c r="K93" s="8" t="e">
        <f t="shared" si="5"/>
        <v>#DIV/0!</v>
      </c>
      <c r="L93" s="8" t="e">
        <f t="shared" si="7"/>
        <v>#DIV/0!</v>
      </c>
      <c r="M93" s="8" t="e">
        <f>表格1_3[[#This Row],[部內平均]]</f>
        <v>#DIV/0!</v>
      </c>
      <c r="N93" s="8"/>
      <c r="O93" s="8" t="e">
        <f>表格1_3[[#This Row],[複評平均]]</f>
        <v>#DIV/0!</v>
      </c>
      <c r="P93" s="3"/>
      <c r="Q93" s="3"/>
      <c r="R93" s="3"/>
      <c r="S93" s="3"/>
      <c r="T93" s="3"/>
      <c r="U93" s="3"/>
      <c r="V93" s="3"/>
      <c r="W93" s="38">
        <v>68.566666666666663</v>
      </c>
      <c r="X93" s="2">
        <v>91</v>
      </c>
    </row>
    <row r="94" spans="1:24" hidden="1">
      <c r="A94" s="10" t="s">
        <v>399</v>
      </c>
      <c r="B94" s="5" t="s">
        <v>217</v>
      </c>
      <c r="C94" s="4" t="s">
        <v>86</v>
      </c>
      <c r="D94" s="6" t="s">
        <v>275</v>
      </c>
      <c r="E94" s="4" t="s">
        <v>283</v>
      </c>
      <c r="F94" s="4" t="s">
        <v>35</v>
      </c>
      <c r="G94" s="41" t="e">
        <f>表格1_6[[#This Row],[加權後總分]]-表格1_6[[#This Row],[獎懲分數]]</f>
        <v>#DIV/0!</v>
      </c>
      <c r="H9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4" s="39" t="e">
        <f t="shared" si="6"/>
        <v>#DIV/0!</v>
      </c>
      <c r="J94" s="36" t="e">
        <f t="shared" si="4"/>
        <v>#DIV/0!</v>
      </c>
      <c r="K94" s="8" t="e">
        <f t="shared" si="5"/>
        <v>#DIV/0!</v>
      </c>
      <c r="L94" s="8" t="e">
        <f t="shared" si="7"/>
        <v>#DIV/0!</v>
      </c>
      <c r="M94" s="8" t="e">
        <f>表格1_3[[#This Row],[部內平均]]</f>
        <v>#DIV/0!</v>
      </c>
      <c r="N94" s="8"/>
      <c r="O94" s="8" t="e">
        <f>表格1_3[[#This Row],[複評平均]]</f>
        <v>#DIV/0!</v>
      </c>
      <c r="P94" s="3"/>
      <c r="Q94" s="3"/>
      <c r="R94" s="3"/>
      <c r="S94" s="3"/>
      <c r="T94" s="3"/>
      <c r="U94" s="3"/>
      <c r="V94" s="3"/>
      <c r="W94" s="38">
        <v>68.400000000000006</v>
      </c>
      <c r="X94" s="2">
        <v>92</v>
      </c>
    </row>
    <row r="95" spans="1:24" hidden="1">
      <c r="A95" s="10" t="s">
        <v>399</v>
      </c>
      <c r="B95" s="5" t="s">
        <v>218</v>
      </c>
      <c r="C95" s="13" t="s">
        <v>87</v>
      </c>
      <c r="D95" s="6" t="s">
        <v>275</v>
      </c>
      <c r="E95" s="4" t="s">
        <v>283</v>
      </c>
      <c r="F95" s="4" t="s">
        <v>313</v>
      </c>
      <c r="G95" s="41" t="e">
        <f>表格1_6[[#This Row],[加權後總分]]-表格1_6[[#This Row],[獎懲分數]]</f>
        <v>#DIV/0!</v>
      </c>
      <c r="H9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5" s="39" t="e">
        <f t="shared" si="6"/>
        <v>#DIV/0!</v>
      </c>
      <c r="J95" s="36" t="e">
        <f t="shared" si="4"/>
        <v>#DIV/0!</v>
      </c>
      <c r="K95" s="8" t="e">
        <f t="shared" si="5"/>
        <v>#DIV/0!</v>
      </c>
      <c r="L95" s="8" t="e">
        <f t="shared" si="7"/>
        <v>#DIV/0!</v>
      </c>
      <c r="M95" s="8" t="e">
        <f>表格1_3[[#This Row],[部內平均]]</f>
        <v>#DIV/0!</v>
      </c>
      <c r="N95" s="8"/>
      <c r="O95" s="8" t="e">
        <f>表格1_3[[#This Row],[複評平均]]</f>
        <v>#DIV/0!</v>
      </c>
      <c r="P95" s="3"/>
      <c r="Q95" s="3"/>
      <c r="R95" s="3"/>
      <c r="S95" s="3"/>
      <c r="T95" s="3"/>
      <c r="U95" s="3"/>
      <c r="V95" s="3"/>
      <c r="W95" s="38">
        <v>68.199999999999989</v>
      </c>
      <c r="X95" s="2">
        <v>93</v>
      </c>
    </row>
    <row r="96" spans="1:24" ht="26" hidden="1">
      <c r="A96" s="10" t="s">
        <v>399</v>
      </c>
      <c r="B96" s="5" t="s">
        <v>247</v>
      </c>
      <c r="C96" s="4" t="s">
        <v>442</v>
      </c>
      <c r="D96" s="6" t="s">
        <v>275</v>
      </c>
      <c r="E96" s="4" t="s">
        <v>283</v>
      </c>
      <c r="F96" s="4" t="s">
        <v>93</v>
      </c>
      <c r="G96" s="41"/>
      <c r="H96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96" s="39"/>
      <c r="J96" s="36"/>
      <c r="K96" s="8"/>
      <c r="L96" s="8"/>
      <c r="M96" s="8" t="e">
        <f>表格1_3[[#This Row],[部內平均]]</f>
        <v>#DIV/0!</v>
      </c>
      <c r="N96" s="8"/>
      <c r="O96" s="8" t="e">
        <f>表格1_3[[#This Row],[複評平均]]</f>
        <v>#DIV/0!</v>
      </c>
      <c r="P96" s="3"/>
      <c r="Q96" s="3"/>
      <c r="R96" s="3"/>
      <c r="S96" s="3"/>
      <c r="T96" s="3"/>
      <c r="U96" s="3"/>
      <c r="V96" s="3"/>
      <c r="W96" s="38">
        <v>67.8</v>
      </c>
      <c r="X96" s="2">
        <v>94</v>
      </c>
    </row>
    <row r="97" spans="1:24" hidden="1">
      <c r="A97" s="10" t="s">
        <v>399</v>
      </c>
      <c r="B97" s="5" t="s">
        <v>220</v>
      </c>
      <c r="C97" s="14" t="s">
        <v>89</v>
      </c>
      <c r="D97" s="6" t="s">
        <v>275</v>
      </c>
      <c r="E97" s="4" t="s">
        <v>283</v>
      </c>
      <c r="F97" s="4" t="s">
        <v>332</v>
      </c>
      <c r="G97" s="41" t="e">
        <f>表格1_6[[#This Row],[加權後總分]]-表格1_6[[#This Row],[獎懲分數]]</f>
        <v>#DIV/0!</v>
      </c>
      <c r="H9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7" s="39" t="e">
        <f t="shared" si="6"/>
        <v>#DIV/0!</v>
      </c>
      <c r="J97" s="36" t="e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>#DIV/0!</v>
      </c>
      <c r="K97" s="8" t="e">
        <f>IF(J97&gt;=90,"A",
 IF(J97&gt;=80,"B",
 IF(J97&gt;=70,"C",
 IF(J97&gt;=60,"D","E"))))</f>
        <v>#DIV/0!</v>
      </c>
      <c r="L97" s="8" t="e">
        <f t="shared" si="7"/>
        <v>#DIV/0!</v>
      </c>
      <c r="M97" s="8" t="e">
        <f>表格1_3[[#This Row],[部內平均]]</f>
        <v>#DIV/0!</v>
      </c>
      <c r="N97" s="8"/>
      <c r="O97" s="8" t="e">
        <f>表格1_3[[#This Row],[複評平均]]</f>
        <v>#DIV/0!</v>
      </c>
      <c r="P97" s="3"/>
      <c r="Q97" s="3"/>
      <c r="R97" s="3"/>
      <c r="S97" s="3"/>
      <c r="T97" s="3"/>
      <c r="U97" s="3"/>
      <c r="V97" s="3"/>
      <c r="W97" s="38">
        <v>67.8</v>
      </c>
      <c r="X97" s="2">
        <v>95</v>
      </c>
    </row>
    <row r="98" spans="1:24" hidden="1">
      <c r="A98" s="10" t="s">
        <v>399</v>
      </c>
      <c r="B98" s="5" t="s">
        <v>221</v>
      </c>
      <c r="C98" s="4" t="s">
        <v>90</v>
      </c>
      <c r="D98" s="6" t="s">
        <v>275</v>
      </c>
      <c r="E98" s="4" t="s">
        <v>283</v>
      </c>
      <c r="F98" s="4" t="s">
        <v>35</v>
      </c>
      <c r="G98" s="41" t="e">
        <f>表格1_6[[#This Row],[加權後總分]]-表格1_6[[#This Row],[獎懲分數]]</f>
        <v>#DIV/0!</v>
      </c>
      <c r="H9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8" s="39" t="e">
        <f t="shared" si="6"/>
        <v>#DIV/0!</v>
      </c>
      <c r="J98" s="36" t="e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>#DIV/0!</v>
      </c>
      <c r="K98" s="8" t="e">
        <f>IF(J98&gt;=90,"A",
 IF(J98&gt;=80,"B",
 IF(J98&gt;=70,"C",
 IF(J98&gt;=60,"D","E"))))</f>
        <v>#DIV/0!</v>
      </c>
      <c r="L98" s="8" t="e">
        <f t="shared" si="7"/>
        <v>#DIV/0!</v>
      </c>
      <c r="M98" s="8" t="e">
        <f>表格1_3[[#This Row],[部內平均]]</f>
        <v>#DIV/0!</v>
      </c>
      <c r="N98" s="8"/>
      <c r="O98" s="8" t="e">
        <f>表格1_3[[#This Row],[複評平均]]</f>
        <v>#DIV/0!</v>
      </c>
      <c r="P98" s="3"/>
      <c r="Q98" s="3"/>
      <c r="R98" s="3"/>
      <c r="S98" s="3"/>
      <c r="T98" s="3"/>
      <c r="U98" s="3"/>
      <c r="V98" s="3"/>
      <c r="W98" s="38">
        <v>67.7</v>
      </c>
      <c r="X98" s="2">
        <v>96</v>
      </c>
    </row>
    <row r="99" spans="1:24" hidden="1">
      <c r="A99" s="10" t="s">
        <v>399</v>
      </c>
      <c r="B99" s="5" t="s">
        <v>320</v>
      </c>
      <c r="C99" s="14" t="s">
        <v>321</v>
      </c>
      <c r="D99" s="6" t="s">
        <v>275</v>
      </c>
      <c r="E99" s="4" t="s">
        <v>283</v>
      </c>
      <c r="F99" s="4" t="s">
        <v>93</v>
      </c>
      <c r="G99" s="41" t="e">
        <f>表格1_6[[#This Row],[加權後總分]]-表格1_6[[#This Row],[獎懲分數]]</f>
        <v>#DIV/0!</v>
      </c>
      <c r="H9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99" s="39" t="e">
        <f t="shared" si="6"/>
        <v>#DIV/0!</v>
      </c>
      <c r="J99" s="36" t="e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>#DIV/0!</v>
      </c>
      <c r="K99" s="8" t="e">
        <f>IF(J99&gt;=90,"A",
 IF(J99&gt;=80,"B",
 IF(J99&gt;=70,"C",
 IF(J99&gt;=60,"D","E"))))</f>
        <v>#DIV/0!</v>
      </c>
      <c r="L99" s="8" t="e">
        <f t="shared" si="7"/>
        <v>#DIV/0!</v>
      </c>
      <c r="M99" s="8" t="e">
        <f>表格1_3[[#This Row],[部內平均]]</f>
        <v>#DIV/0!</v>
      </c>
      <c r="N99" s="8"/>
      <c r="O99" s="8" t="e">
        <f>表格1_3[[#This Row],[複評平均]]</f>
        <v>#DIV/0!</v>
      </c>
      <c r="P99" s="3"/>
      <c r="Q99" s="3"/>
      <c r="R99" s="3"/>
      <c r="S99" s="3"/>
      <c r="T99" s="3"/>
      <c r="U99" s="3"/>
      <c r="V99" s="3"/>
      <c r="W99" s="38">
        <v>67</v>
      </c>
      <c r="X99" s="2">
        <v>97</v>
      </c>
    </row>
    <row r="100" spans="1:24" hidden="1">
      <c r="A100" s="10" t="s">
        <v>399</v>
      </c>
      <c r="B100" s="5" t="s">
        <v>322</v>
      </c>
      <c r="C100" s="14" t="s">
        <v>323</v>
      </c>
      <c r="D100" s="6" t="s">
        <v>275</v>
      </c>
      <c r="E100" s="4" t="s">
        <v>283</v>
      </c>
      <c r="F100" s="4" t="s">
        <v>77</v>
      </c>
      <c r="G100" s="41" t="e">
        <f>表格1_6[[#This Row],[加權後總分]]-表格1_6[[#This Row],[獎懲分數]]</f>
        <v>#DIV/0!</v>
      </c>
      <c r="H10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0" s="39" t="e">
        <f t="shared" si="6"/>
        <v>#DIV/0!</v>
      </c>
      <c r="J100" s="36" t="e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>#DIV/0!</v>
      </c>
      <c r="K100" s="8" t="e">
        <f>IF(J100&gt;=90,"A",
 IF(J100&gt;=80,"B",
 IF(J100&gt;=70,"C",
 IF(J100&gt;=60,"D","E"))))</f>
        <v>#DIV/0!</v>
      </c>
      <c r="L100" s="8" t="e">
        <f t="shared" si="7"/>
        <v>#DIV/0!</v>
      </c>
      <c r="M100" s="8" t="e">
        <f>表格1_3[[#This Row],[部內平均]]</f>
        <v>#DIV/0!</v>
      </c>
      <c r="N100" s="8"/>
      <c r="O100" s="8" t="e">
        <f>表格1_3[[#This Row],[複評平均]]</f>
        <v>#DIV/0!</v>
      </c>
      <c r="P100" s="3"/>
      <c r="Q100" s="3"/>
      <c r="R100" s="3"/>
      <c r="S100" s="3"/>
      <c r="T100" s="3"/>
      <c r="U100" s="3"/>
      <c r="V100" s="3"/>
      <c r="W100" s="38">
        <v>67</v>
      </c>
      <c r="X100" s="2">
        <v>98</v>
      </c>
    </row>
    <row r="101" spans="1:24" hidden="1">
      <c r="A101" s="10" t="s">
        <v>380</v>
      </c>
      <c r="B101" s="5" t="s">
        <v>222</v>
      </c>
      <c r="C101" s="4" t="s">
        <v>91</v>
      </c>
      <c r="D101" s="6" t="s">
        <v>276</v>
      </c>
      <c r="E101" s="4" t="s">
        <v>296</v>
      </c>
      <c r="F101" s="4" t="s">
        <v>79</v>
      </c>
      <c r="G101" s="41" t="e">
        <f>表格1_6[[#This Row],[加權後總分]]-表格1_6[[#This Row],[獎懲分數]]</f>
        <v>#DIV/0!</v>
      </c>
      <c r="H10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1" s="39" t="e">
        <f t="shared" si="6"/>
        <v>#DIV/0!</v>
      </c>
      <c r="J101" s="36" t="e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>#DIV/0!</v>
      </c>
      <c r="K101" s="8" t="e">
        <f>IF(J101&gt;=90,"A",
 IF(J101&gt;=80,"B",
 IF(J101&gt;=70,"C",
 IF(J101&gt;=60,"D","E"))))</f>
        <v>#DIV/0!</v>
      </c>
      <c r="L101" s="8" t="e">
        <f t="shared" si="7"/>
        <v>#DIV/0!</v>
      </c>
      <c r="M101" s="8" t="e">
        <f>表格1_3[[#This Row],[部內平均]]</f>
        <v>#DIV/0!</v>
      </c>
      <c r="N101" s="8" t="e">
        <f>表格1_3[[#This Row],[共評平均]]</f>
        <v>#DIV/0!</v>
      </c>
      <c r="O101" s="8" t="e">
        <f>表格1_3[[#This Row],[複評平均]]</f>
        <v>#DIV/0!</v>
      </c>
      <c r="P101" s="3"/>
      <c r="Q101" s="3"/>
      <c r="R101" s="3"/>
      <c r="S101" s="3"/>
      <c r="T101" s="3"/>
      <c r="U101" s="3"/>
      <c r="V101" s="3"/>
      <c r="W101" s="38">
        <v>66.599999999999994</v>
      </c>
      <c r="X101" s="2">
        <v>99</v>
      </c>
    </row>
    <row r="102" spans="1:24" hidden="1">
      <c r="A102" s="10" t="s">
        <v>393</v>
      </c>
      <c r="B102" s="5" t="s">
        <v>223</v>
      </c>
      <c r="C102" s="4" t="s">
        <v>92</v>
      </c>
      <c r="D102" s="6" t="s">
        <v>276</v>
      </c>
      <c r="E102" s="4" t="s">
        <v>296</v>
      </c>
      <c r="F102" s="4" t="s">
        <v>79</v>
      </c>
      <c r="G102" s="41"/>
      <c r="H102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02" s="39" t="e">
        <f t="shared" si="6"/>
        <v>#DIV/0!</v>
      </c>
      <c r="J102" s="36"/>
      <c r="K102" s="8"/>
      <c r="L102" s="8"/>
      <c r="M102" s="8" t="e">
        <f>表格1_3[[#This Row],[部內平均]]</f>
        <v>#DIV/0!</v>
      </c>
      <c r="N102" s="8" t="e">
        <f>表格1_3[[#This Row],[共評平均]]</f>
        <v>#DIV/0!</v>
      </c>
      <c r="O102" s="8" t="e">
        <f>表格1_3[[#This Row],[複評平均]]</f>
        <v>#DIV/0!</v>
      </c>
      <c r="P102" s="3"/>
      <c r="Q102" s="3"/>
      <c r="R102" s="3"/>
      <c r="S102" s="3"/>
      <c r="T102" s="3"/>
      <c r="U102" s="3"/>
      <c r="V102" s="3"/>
      <c r="W102" s="38">
        <v>66.099999999999994</v>
      </c>
      <c r="X102" s="2">
        <v>100</v>
      </c>
    </row>
    <row r="103" spans="1:24" hidden="1">
      <c r="A103" s="10" t="s">
        <v>395</v>
      </c>
      <c r="B103" s="5" t="s">
        <v>225</v>
      </c>
      <c r="C103" s="4" t="s">
        <v>94</v>
      </c>
      <c r="D103" s="6" t="s">
        <v>276</v>
      </c>
      <c r="E103" s="4" t="s">
        <v>293</v>
      </c>
      <c r="F103" s="4" t="s">
        <v>79</v>
      </c>
      <c r="G103" s="41" t="e">
        <f>表格1_6[[#This Row],[加權後總分]]-表格1_6[[#This Row],[獎懲分數]]</f>
        <v>#DIV/0!</v>
      </c>
      <c r="H10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3" s="39" t="e">
        <f t="shared" si="6"/>
        <v>#DIV/0!</v>
      </c>
      <c r="J103" s="36" t="e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>#DIV/0!</v>
      </c>
      <c r="K103" s="8" t="e">
        <f>IF(J103&gt;=90,"A",
 IF(J103&gt;=77,"B",
 IF(J103&gt;=70,"C",
 IF(J103&gt;=60,"D","E"))))</f>
        <v>#DIV/0!</v>
      </c>
      <c r="L103" s="8" t="e">
        <f t="shared" si="7"/>
        <v>#DIV/0!</v>
      </c>
      <c r="M103" s="8" t="e">
        <f>表格1_3[[#This Row],[部內平均]]</f>
        <v>#DIV/0!</v>
      </c>
      <c r="N103" s="8" t="e">
        <f>表格1_3[[#This Row],[共評平均]]</f>
        <v>#DIV/0!</v>
      </c>
      <c r="O103" s="8" t="e">
        <f>表格1_3[[#This Row],[複評平均]]</f>
        <v>#DIV/0!</v>
      </c>
      <c r="P103" s="3"/>
      <c r="Q103" s="3"/>
      <c r="R103" s="3"/>
      <c r="S103" s="3"/>
      <c r="T103" s="3"/>
      <c r="U103" s="3"/>
      <c r="V103" s="3"/>
      <c r="W103" s="38">
        <v>66</v>
      </c>
      <c r="X103" s="2">
        <v>101</v>
      </c>
    </row>
    <row r="104" spans="1:24" hidden="1">
      <c r="A104" s="10" t="s">
        <v>381</v>
      </c>
      <c r="B104" s="5" t="s">
        <v>224</v>
      </c>
      <c r="C104" s="4" t="s">
        <v>93</v>
      </c>
      <c r="D104" s="6" t="s">
        <v>276</v>
      </c>
      <c r="E104" s="4" t="s">
        <v>288</v>
      </c>
      <c r="F104" s="4" t="s">
        <v>119</v>
      </c>
      <c r="G104" s="41" t="e">
        <f>表格1_6[[#This Row],[加權後總分]]-表格1_6[[#This Row],[獎懲分數]]</f>
        <v>#DIV/0!</v>
      </c>
      <c r="H10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4" s="39" t="e">
        <f t="shared" si="6"/>
        <v>#DIV/0!</v>
      </c>
      <c r="J104" s="36" t="e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>#DIV/0!</v>
      </c>
      <c r="K104" s="8" t="e">
        <f t="shared" ref="K104:K135" si="8">IF(J104&gt;=90,"A",
 IF(J104&gt;=80,"B",
 IF(J104&gt;=70,"C",
 IF(J104&gt;=60,"D","E"))))</f>
        <v>#DIV/0!</v>
      </c>
      <c r="L104" s="8" t="e">
        <f t="shared" si="7"/>
        <v>#DIV/0!</v>
      </c>
      <c r="M104" s="8" t="e">
        <f>表格1_3[[#This Row],[部內平均]]</f>
        <v>#DIV/0!</v>
      </c>
      <c r="N104" s="8" t="e">
        <f>表格1_3[[#This Row],[共評平均]]</f>
        <v>#DIV/0!</v>
      </c>
      <c r="O104" s="8">
        <v>76</v>
      </c>
      <c r="P104" s="3"/>
      <c r="Q104" s="3"/>
      <c r="R104" s="3"/>
      <c r="S104" s="3"/>
      <c r="T104" s="3"/>
      <c r="U104" s="3"/>
      <c r="V104" s="3"/>
      <c r="W104" s="38">
        <v>66</v>
      </c>
      <c r="X104" s="2">
        <v>102</v>
      </c>
    </row>
    <row r="105" spans="1:24" hidden="1">
      <c r="A105" s="10" t="s">
        <v>394</v>
      </c>
      <c r="B105" s="5" t="s">
        <v>226</v>
      </c>
      <c r="C105" s="4" t="s">
        <v>95</v>
      </c>
      <c r="D105" s="6" t="s">
        <v>276</v>
      </c>
      <c r="E105" s="4" t="s">
        <v>283</v>
      </c>
      <c r="F105" s="4" t="s">
        <v>79</v>
      </c>
      <c r="G105" s="41" t="e">
        <f>表格1_6[[#This Row],[加權後總分]]-表格1_6[[#This Row],[獎懲分數]]</f>
        <v>#DIV/0!</v>
      </c>
      <c r="H10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5" s="39" t="e">
        <f t="shared" si="6"/>
        <v>#DIV/0!</v>
      </c>
      <c r="J105" s="36" t="e">
        <f t="shared" ref="J105:J135" si="9"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>#DIV/0!</v>
      </c>
      <c r="K105" s="8" t="e">
        <f t="shared" si="8"/>
        <v>#DIV/0!</v>
      </c>
      <c r="L105" s="8" t="e">
        <f t="shared" si="7"/>
        <v>#DIV/0!</v>
      </c>
      <c r="M105" s="8" t="e">
        <f>表格1_3[[#This Row],[部內平均]]</f>
        <v>#DIV/0!</v>
      </c>
      <c r="N105" s="8" t="e">
        <f>表格1_3[[#This Row],[共評平均]]</f>
        <v>#DIV/0!</v>
      </c>
      <c r="O105" s="8" t="e">
        <f>表格1_3[[#This Row],[複評平均]]</f>
        <v>#DIV/0!</v>
      </c>
      <c r="P105" s="3"/>
      <c r="Q105" s="3"/>
      <c r="R105" s="3"/>
      <c r="S105" s="3"/>
      <c r="T105" s="3"/>
      <c r="U105" s="3"/>
      <c r="V105" s="3"/>
      <c r="W105" s="38">
        <v>65.599999999999994</v>
      </c>
      <c r="X105" s="2">
        <v>103</v>
      </c>
    </row>
    <row r="106" spans="1:24" hidden="1">
      <c r="A106" s="10" t="s">
        <v>407</v>
      </c>
      <c r="B106" s="5" t="s">
        <v>227</v>
      </c>
      <c r="C106" s="4" t="s">
        <v>96</v>
      </c>
      <c r="D106" s="6" t="s">
        <v>277</v>
      </c>
      <c r="E106" s="4" t="s">
        <v>283</v>
      </c>
      <c r="F106" s="4" t="s">
        <v>74</v>
      </c>
      <c r="G106" s="41" t="e">
        <f>表格1_6[[#This Row],[加權後總分]]-表格1_6[[#This Row],[獎懲分數]]</f>
        <v>#DIV/0!</v>
      </c>
      <c r="H10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6" s="39" t="e">
        <f t="shared" si="6"/>
        <v>#DIV/0!</v>
      </c>
      <c r="J106" s="36" t="e">
        <f t="shared" si="9"/>
        <v>#DIV/0!</v>
      </c>
      <c r="K106" s="8" t="e">
        <f t="shared" si="8"/>
        <v>#DIV/0!</v>
      </c>
      <c r="L106" s="8" t="e">
        <f t="shared" si="7"/>
        <v>#DIV/0!</v>
      </c>
      <c r="M106" s="8" t="e">
        <f>表格1_3[[#This Row],[部內平均]]</f>
        <v>#DIV/0!</v>
      </c>
      <c r="N106" s="8"/>
      <c r="O106" s="8" t="e">
        <f>表格1_3[[#This Row],[複評平均]]</f>
        <v>#DIV/0!</v>
      </c>
      <c r="P106" s="3"/>
      <c r="Q106" s="3"/>
      <c r="R106" s="3"/>
      <c r="S106" s="3"/>
      <c r="T106" s="3"/>
      <c r="U106" s="3"/>
      <c r="V106" s="3"/>
      <c r="W106" s="38">
        <v>65.599999999999994</v>
      </c>
      <c r="X106" s="2">
        <v>104</v>
      </c>
    </row>
    <row r="107" spans="1:24" hidden="1">
      <c r="A107" s="10" t="s">
        <v>407</v>
      </c>
      <c r="B107" s="5" t="s">
        <v>236</v>
      </c>
      <c r="C107" s="13" t="s">
        <v>105</v>
      </c>
      <c r="D107" s="6" t="s">
        <v>277</v>
      </c>
      <c r="E107" s="4" t="s">
        <v>283</v>
      </c>
      <c r="F107" s="4" t="s">
        <v>74</v>
      </c>
      <c r="G107" s="41" t="e">
        <f>表格1_6[[#This Row],[加權後總分]]-表格1_6[[#This Row],[獎懲分數]]</f>
        <v>#DIV/0!</v>
      </c>
      <c r="H10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7" s="39" t="e">
        <f t="shared" si="6"/>
        <v>#DIV/0!</v>
      </c>
      <c r="J107" s="36" t="e">
        <f t="shared" si="9"/>
        <v>#DIV/0!</v>
      </c>
      <c r="K107" s="8" t="e">
        <f t="shared" si="8"/>
        <v>#DIV/0!</v>
      </c>
      <c r="L107" s="8" t="e">
        <f t="shared" si="7"/>
        <v>#DIV/0!</v>
      </c>
      <c r="M107" s="8" t="e">
        <f>表格1_3[[#This Row],[部內平均]]</f>
        <v>#DIV/0!</v>
      </c>
      <c r="N107" s="8"/>
      <c r="O107" s="8" t="e">
        <f>表格1_3[[#This Row],[複評平均]]</f>
        <v>#DIV/0!</v>
      </c>
      <c r="P107" s="3"/>
      <c r="Q107" s="3"/>
      <c r="R107" s="3"/>
      <c r="S107" s="3"/>
      <c r="T107" s="3"/>
      <c r="U107" s="3"/>
      <c r="V107" s="3"/>
      <c r="W107" s="38">
        <v>64.849999999999994</v>
      </c>
      <c r="X107" s="2">
        <v>105</v>
      </c>
    </row>
    <row r="108" spans="1:24" hidden="1">
      <c r="A108" s="10" t="s">
        <v>407</v>
      </c>
      <c r="B108" s="5" t="s">
        <v>237</v>
      </c>
      <c r="C108" s="13" t="s">
        <v>106</v>
      </c>
      <c r="D108" s="6" t="s">
        <v>277</v>
      </c>
      <c r="E108" s="4" t="s">
        <v>283</v>
      </c>
      <c r="F108" s="4" t="s">
        <v>74</v>
      </c>
      <c r="G108" s="41" t="e">
        <f>表格1_6[[#This Row],[加權後總分]]-表格1_6[[#This Row],[獎懲分數]]</f>
        <v>#DIV/0!</v>
      </c>
      <c r="H10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8" s="39" t="e">
        <f t="shared" si="6"/>
        <v>#DIV/0!</v>
      </c>
      <c r="J108" s="36" t="e">
        <f t="shared" si="9"/>
        <v>#DIV/0!</v>
      </c>
      <c r="K108" s="8" t="e">
        <f t="shared" si="8"/>
        <v>#DIV/0!</v>
      </c>
      <c r="L108" s="8" t="e">
        <f t="shared" si="7"/>
        <v>#DIV/0!</v>
      </c>
      <c r="M108" s="8" t="e">
        <f>表格1_3[[#This Row],[部內平均]]</f>
        <v>#DIV/0!</v>
      </c>
      <c r="N108" s="8"/>
      <c r="O108" s="8" t="e">
        <f>表格1_3[[#This Row],[複評平均]]</f>
        <v>#DIV/0!</v>
      </c>
      <c r="P108" s="3"/>
      <c r="Q108" s="3"/>
      <c r="R108" s="3"/>
      <c r="S108" s="3"/>
      <c r="T108" s="3"/>
      <c r="U108" s="3"/>
      <c r="V108" s="3"/>
      <c r="W108" s="38">
        <v>64.599999999999994</v>
      </c>
      <c r="X108" s="2">
        <v>106</v>
      </c>
    </row>
    <row r="109" spans="1:24" hidden="1">
      <c r="A109" s="10" t="s">
        <v>407</v>
      </c>
      <c r="B109" s="5" t="s">
        <v>230</v>
      </c>
      <c r="C109" s="4" t="s">
        <v>99</v>
      </c>
      <c r="D109" s="6" t="s">
        <v>277</v>
      </c>
      <c r="E109" s="4" t="s">
        <v>285</v>
      </c>
      <c r="F109" s="4" t="s">
        <v>93</v>
      </c>
      <c r="G109" s="41" t="e">
        <f>表格1_6[[#This Row],[加權後總分]]-表格1_6[[#This Row],[獎懲分數]]</f>
        <v>#DIV/0!</v>
      </c>
      <c r="H10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09" s="39" t="e">
        <f>_xlfn.RANK.EQ(G109,$G$2:$G$146,0)</f>
        <v>#DIV/0!</v>
      </c>
      <c r="J109" s="36" t="e">
        <f t="shared" si="9"/>
        <v>#DIV/0!</v>
      </c>
      <c r="K109" s="8" t="e">
        <f t="shared" si="8"/>
        <v>#DIV/0!</v>
      </c>
      <c r="L109" s="8" t="e">
        <f t="shared" si="7"/>
        <v>#DIV/0!</v>
      </c>
      <c r="M109" s="8" t="e">
        <f>表格1_3[[#This Row],[部內平均]]</f>
        <v>#DIV/0!</v>
      </c>
      <c r="N109" s="8"/>
      <c r="O109" s="8" t="e">
        <f>表格1_3[[#This Row],[複評平均]]</f>
        <v>#DIV/0!</v>
      </c>
      <c r="P109" s="3"/>
      <c r="Q109" s="3"/>
      <c r="R109" s="3"/>
      <c r="S109" s="3"/>
      <c r="T109" s="3"/>
      <c r="U109" s="3"/>
      <c r="V109" s="3"/>
      <c r="W109" s="38">
        <v>63.716666666666654</v>
      </c>
      <c r="X109" s="2">
        <v>107</v>
      </c>
    </row>
    <row r="110" spans="1:24" hidden="1">
      <c r="A110" s="10" t="s">
        <v>407</v>
      </c>
      <c r="B110" s="5" t="s">
        <v>228</v>
      </c>
      <c r="C110" s="13" t="s">
        <v>97</v>
      </c>
      <c r="D110" s="6" t="s">
        <v>277</v>
      </c>
      <c r="E110" s="4" t="s">
        <v>283</v>
      </c>
      <c r="F110" s="4" t="s">
        <v>74</v>
      </c>
      <c r="G110" s="41" t="e">
        <f>表格1_6[[#This Row],[加權後總分]]-表格1_6[[#This Row],[獎懲分數]]</f>
        <v>#DIV/0!</v>
      </c>
      <c r="H11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0" s="39" t="e">
        <f t="shared" si="6"/>
        <v>#DIV/0!</v>
      </c>
      <c r="J110" s="36" t="e">
        <f t="shared" si="9"/>
        <v>#DIV/0!</v>
      </c>
      <c r="K110" s="8" t="e">
        <f t="shared" si="8"/>
        <v>#DIV/0!</v>
      </c>
      <c r="L110" s="8" t="e">
        <f t="shared" si="7"/>
        <v>#DIV/0!</v>
      </c>
      <c r="M110" s="8" t="e">
        <f>表格1_3[[#This Row],[部內平均]]</f>
        <v>#DIV/0!</v>
      </c>
      <c r="N110" s="8"/>
      <c r="O110" s="8" t="e">
        <f>表格1_3[[#This Row],[複評平均]]</f>
        <v>#DIV/0!</v>
      </c>
      <c r="P110" s="3"/>
      <c r="Q110" s="3"/>
      <c r="R110" s="3"/>
      <c r="S110" s="3"/>
      <c r="T110" s="3"/>
      <c r="U110" s="3"/>
      <c r="V110" s="3"/>
      <c r="W110" s="38">
        <v>63.677777777777777</v>
      </c>
      <c r="X110" s="2">
        <v>108</v>
      </c>
    </row>
    <row r="111" spans="1:24" hidden="1">
      <c r="A111" s="10" t="s">
        <v>407</v>
      </c>
      <c r="B111" s="5" t="s">
        <v>229</v>
      </c>
      <c r="C111" s="4" t="s">
        <v>98</v>
      </c>
      <c r="D111" s="6" t="s">
        <v>277</v>
      </c>
      <c r="E111" s="4" t="s">
        <v>283</v>
      </c>
      <c r="F111" s="4" t="s">
        <v>74</v>
      </c>
      <c r="G111" s="41" t="e">
        <f>表格1_6[[#This Row],[加權後總分]]-表格1_6[[#This Row],[獎懲分數]]</f>
        <v>#DIV/0!</v>
      </c>
      <c r="H11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1" s="39" t="e">
        <f t="shared" si="6"/>
        <v>#DIV/0!</v>
      </c>
      <c r="J111" s="36" t="e">
        <f t="shared" si="9"/>
        <v>#DIV/0!</v>
      </c>
      <c r="K111" s="8" t="e">
        <f t="shared" si="8"/>
        <v>#DIV/0!</v>
      </c>
      <c r="L111" s="8" t="e">
        <f t="shared" si="7"/>
        <v>#DIV/0!</v>
      </c>
      <c r="M111" s="8" t="e">
        <f>表格1_3[[#This Row],[部內平均]]</f>
        <v>#DIV/0!</v>
      </c>
      <c r="N111" s="8"/>
      <c r="O111" s="8" t="e">
        <f>表格1_3[[#This Row],[複評平均]]</f>
        <v>#DIV/0!</v>
      </c>
      <c r="P111" s="3"/>
      <c r="Q111" s="3"/>
      <c r="R111" s="3"/>
      <c r="S111" s="3"/>
      <c r="T111" s="3"/>
      <c r="U111" s="3"/>
      <c r="V111" s="3"/>
      <c r="W111" s="38">
        <v>63.599999999999994</v>
      </c>
      <c r="X111" s="2">
        <v>109</v>
      </c>
    </row>
    <row r="112" spans="1:24" hidden="1">
      <c r="A112" s="10" t="s">
        <v>407</v>
      </c>
      <c r="B112" s="5" t="s">
        <v>235</v>
      </c>
      <c r="C112" s="4" t="s">
        <v>104</v>
      </c>
      <c r="D112" s="6" t="s">
        <v>277</v>
      </c>
      <c r="E112" s="4" t="s">
        <v>283</v>
      </c>
      <c r="F112" s="4" t="s">
        <v>74</v>
      </c>
      <c r="G112" s="41" t="e">
        <f>表格1_6[[#This Row],[加權後總分]]-表格1_6[[#This Row],[獎懲分數]]</f>
        <v>#DIV/0!</v>
      </c>
      <c r="H11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2" s="39" t="e">
        <f t="shared" si="6"/>
        <v>#DIV/0!</v>
      </c>
      <c r="J112" s="36" t="e">
        <f t="shared" si="9"/>
        <v>#DIV/0!</v>
      </c>
      <c r="K112" s="8" t="e">
        <f t="shared" si="8"/>
        <v>#DIV/0!</v>
      </c>
      <c r="L112" s="8" t="e">
        <f t="shared" si="7"/>
        <v>#DIV/0!</v>
      </c>
      <c r="M112" s="8" t="e">
        <f>表格1_3[[#This Row],[部內平均]]</f>
        <v>#DIV/0!</v>
      </c>
      <c r="N112" s="8"/>
      <c r="O112" s="8" t="e">
        <f>表格1_3[[#This Row],[複評平均]]</f>
        <v>#DIV/0!</v>
      </c>
      <c r="P112" s="3"/>
      <c r="Q112" s="3"/>
      <c r="R112" s="3"/>
      <c r="S112" s="3"/>
      <c r="T112" s="3"/>
      <c r="U112" s="3"/>
      <c r="V112" s="3"/>
      <c r="W112" s="38">
        <v>63.4</v>
      </c>
      <c r="X112" s="2">
        <v>110</v>
      </c>
    </row>
    <row r="113" spans="1:24" hidden="1">
      <c r="A113" s="10" t="s">
        <v>407</v>
      </c>
      <c r="B113" s="5" t="s">
        <v>240</v>
      </c>
      <c r="C113" s="4" t="s">
        <v>109</v>
      </c>
      <c r="D113" s="6" t="s">
        <v>277</v>
      </c>
      <c r="E113" s="4" t="s">
        <v>283</v>
      </c>
      <c r="F113" s="4" t="s">
        <v>74</v>
      </c>
      <c r="G113" s="41" t="e">
        <f>表格1_6[[#This Row],[加權後總分]]-表格1_6[[#This Row],[獎懲分數]]</f>
        <v>#DIV/0!</v>
      </c>
      <c r="H11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3" s="39" t="e">
        <f t="shared" si="6"/>
        <v>#DIV/0!</v>
      </c>
      <c r="J113" s="36" t="e">
        <f t="shared" si="9"/>
        <v>#DIV/0!</v>
      </c>
      <c r="K113" s="8" t="e">
        <f t="shared" si="8"/>
        <v>#DIV/0!</v>
      </c>
      <c r="L113" s="8" t="e">
        <f t="shared" si="7"/>
        <v>#DIV/0!</v>
      </c>
      <c r="M113" s="8" t="e">
        <f>表格1_3[[#This Row],[部內平均]]</f>
        <v>#DIV/0!</v>
      </c>
      <c r="N113" s="8"/>
      <c r="O113" s="8" t="e">
        <f>表格1_3[[#This Row],[複評平均]]</f>
        <v>#DIV/0!</v>
      </c>
      <c r="P113" s="3"/>
      <c r="Q113" s="3"/>
      <c r="R113" s="3"/>
      <c r="S113" s="3"/>
      <c r="T113" s="3"/>
      <c r="U113" s="3"/>
      <c r="V113" s="3"/>
      <c r="W113" s="38">
        <v>63.2</v>
      </c>
      <c r="X113" s="2">
        <v>111</v>
      </c>
    </row>
    <row r="114" spans="1:24" hidden="1">
      <c r="A114" s="10" t="s">
        <v>407</v>
      </c>
      <c r="B114" s="5" t="s">
        <v>238</v>
      </c>
      <c r="C114" s="4" t="s">
        <v>107</v>
      </c>
      <c r="D114" s="6" t="s">
        <v>277</v>
      </c>
      <c r="E114" s="4" t="s">
        <v>283</v>
      </c>
      <c r="F114" s="4" t="s">
        <v>74</v>
      </c>
      <c r="G114" s="41" t="e">
        <f>表格1_6[[#This Row],[加權後總分]]-表格1_6[[#This Row],[獎懲分數]]</f>
        <v>#DIV/0!</v>
      </c>
      <c r="H11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4" s="39" t="e">
        <f t="shared" si="6"/>
        <v>#DIV/0!</v>
      </c>
      <c r="J114" s="36" t="e">
        <f t="shared" si="9"/>
        <v>#DIV/0!</v>
      </c>
      <c r="K114" s="8" t="e">
        <f t="shared" si="8"/>
        <v>#DIV/0!</v>
      </c>
      <c r="L114" s="8" t="e">
        <f t="shared" si="7"/>
        <v>#DIV/0!</v>
      </c>
      <c r="M114" s="8" t="e">
        <f>表格1_3[[#This Row],[部內平均]]</f>
        <v>#DIV/0!</v>
      </c>
      <c r="N114" s="8"/>
      <c r="O114" s="8" t="e">
        <f>表格1_3[[#This Row],[複評平均]]</f>
        <v>#DIV/0!</v>
      </c>
      <c r="P114" s="3"/>
      <c r="Q114" s="3"/>
      <c r="R114" s="3"/>
      <c r="S114" s="3"/>
      <c r="T114" s="3"/>
      <c r="U114" s="3"/>
      <c r="V114" s="3"/>
      <c r="W114" s="38">
        <v>62.8</v>
      </c>
      <c r="X114" s="2">
        <v>112</v>
      </c>
    </row>
    <row r="115" spans="1:24" hidden="1">
      <c r="A115" s="10" t="s">
        <v>407</v>
      </c>
      <c r="B115" s="5" t="s">
        <v>239</v>
      </c>
      <c r="C115" s="4" t="s">
        <v>108</v>
      </c>
      <c r="D115" s="6" t="s">
        <v>277</v>
      </c>
      <c r="E115" s="4" t="s">
        <v>283</v>
      </c>
      <c r="F115" s="4" t="s">
        <v>74</v>
      </c>
      <c r="G115" s="41" t="e">
        <f>表格1_6[[#This Row],[加權後總分]]-表格1_6[[#This Row],[獎懲分數]]</f>
        <v>#DIV/0!</v>
      </c>
      <c r="H11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5" s="39" t="e">
        <f t="shared" si="6"/>
        <v>#DIV/0!</v>
      </c>
      <c r="J115" s="36" t="e">
        <f t="shared" si="9"/>
        <v>#DIV/0!</v>
      </c>
      <c r="K115" s="8" t="e">
        <f t="shared" si="8"/>
        <v>#DIV/0!</v>
      </c>
      <c r="L115" s="8" t="e">
        <f t="shared" si="7"/>
        <v>#DIV/0!</v>
      </c>
      <c r="M115" s="8" t="e">
        <f>表格1_3[[#This Row],[部內平均]]</f>
        <v>#DIV/0!</v>
      </c>
      <c r="N115" s="8"/>
      <c r="O115" s="8" t="e">
        <f>表格1_3[[#This Row],[複評平均]]</f>
        <v>#DIV/0!</v>
      </c>
      <c r="P115" s="3"/>
      <c r="Q115" s="3"/>
      <c r="R115" s="3"/>
      <c r="S115" s="3"/>
      <c r="T115" s="3"/>
      <c r="U115" s="3"/>
      <c r="V115" s="3"/>
      <c r="W115" s="38">
        <v>62.400000000000006</v>
      </c>
      <c r="X115" s="2">
        <v>113</v>
      </c>
    </row>
    <row r="116" spans="1:24" ht="26" hidden="1">
      <c r="A116" s="10" t="s">
        <v>407</v>
      </c>
      <c r="B116" s="5" t="s">
        <v>201</v>
      </c>
      <c r="C116" s="12" t="s">
        <v>420</v>
      </c>
      <c r="D116" s="6" t="s">
        <v>277</v>
      </c>
      <c r="E116" s="4" t="s">
        <v>283</v>
      </c>
      <c r="F116" s="4" t="s">
        <v>63</v>
      </c>
      <c r="G116" s="41" t="e">
        <f>表格1_6[[#This Row],[加權後總分]]-表格1_6[[#This Row],[獎懲分數]]</f>
        <v>#DIV/0!</v>
      </c>
      <c r="H11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6" s="39" t="e">
        <f t="shared" si="6"/>
        <v>#DIV/0!</v>
      </c>
      <c r="J116" s="36" t="e">
        <f t="shared" si="9"/>
        <v>#DIV/0!</v>
      </c>
      <c r="K116" s="8" t="e">
        <f t="shared" si="8"/>
        <v>#DIV/0!</v>
      </c>
      <c r="L116" s="8" t="e">
        <f t="shared" si="7"/>
        <v>#DIV/0!</v>
      </c>
      <c r="M116" s="8" t="e">
        <f>表格1_3[[#This Row],[部內平均]]</f>
        <v>#DIV/0!</v>
      </c>
      <c r="N116" s="8"/>
      <c r="O116" s="8" t="e">
        <f>表格1_3[[#This Row],[複評平均]]</f>
        <v>#DIV/0!</v>
      </c>
      <c r="P116" s="3"/>
      <c r="Q116" s="3"/>
      <c r="R116" s="3"/>
      <c r="S116" s="3"/>
      <c r="T116" s="3"/>
      <c r="U116" s="3"/>
      <c r="V116" s="3"/>
      <c r="W116" s="38">
        <v>61.8</v>
      </c>
      <c r="X116" s="2">
        <v>114</v>
      </c>
    </row>
    <row r="117" spans="1:24" hidden="1">
      <c r="A117" s="10" t="s">
        <v>407</v>
      </c>
      <c r="B117" s="5" t="s">
        <v>232</v>
      </c>
      <c r="C117" s="4" t="s">
        <v>101</v>
      </c>
      <c r="D117" s="6" t="s">
        <v>277</v>
      </c>
      <c r="E117" s="4" t="s">
        <v>283</v>
      </c>
      <c r="F117" s="4" t="s">
        <v>74</v>
      </c>
      <c r="G117" s="41" t="e">
        <f>表格1_6[[#This Row],[加權後總分]]-表格1_6[[#This Row],[獎懲分數]]</f>
        <v>#DIV/0!</v>
      </c>
      <c r="H11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7" s="39" t="e">
        <f t="shared" si="6"/>
        <v>#DIV/0!</v>
      </c>
      <c r="J117" s="36" t="e">
        <f t="shared" si="9"/>
        <v>#DIV/0!</v>
      </c>
      <c r="K117" s="8" t="e">
        <f t="shared" si="8"/>
        <v>#DIV/0!</v>
      </c>
      <c r="L117" s="8" t="e">
        <f t="shared" si="7"/>
        <v>#DIV/0!</v>
      </c>
      <c r="M117" s="8" t="e">
        <f>表格1_3[[#This Row],[部內平均]]</f>
        <v>#DIV/0!</v>
      </c>
      <c r="N117" s="8"/>
      <c r="O117" s="8" t="e">
        <f>表格1_3[[#This Row],[複評平均]]</f>
        <v>#DIV/0!</v>
      </c>
      <c r="P117" s="3"/>
      <c r="Q117" s="3"/>
      <c r="R117" s="3"/>
      <c r="S117" s="3"/>
      <c r="T117" s="3"/>
      <c r="U117" s="3"/>
      <c r="V117" s="3"/>
      <c r="W117" s="38">
        <v>61.2</v>
      </c>
      <c r="X117" s="2">
        <v>115</v>
      </c>
    </row>
    <row r="118" spans="1:24" hidden="1">
      <c r="A118" s="10" t="s">
        <v>407</v>
      </c>
      <c r="B118" s="5" t="s">
        <v>234</v>
      </c>
      <c r="C118" s="4" t="s">
        <v>103</v>
      </c>
      <c r="D118" s="6" t="s">
        <v>277</v>
      </c>
      <c r="E118" s="4" t="s">
        <v>283</v>
      </c>
      <c r="F118" s="4" t="s">
        <v>74</v>
      </c>
      <c r="G118" s="41" t="e">
        <f>表格1_6[[#This Row],[加權後總分]]-表格1_6[[#This Row],[獎懲分數]]</f>
        <v>#DIV/0!</v>
      </c>
      <c r="H118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8" s="39" t="e">
        <f t="shared" si="6"/>
        <v>#DIV/0!</v>
      </c>
      <c r="J118" s="36" t="e">
        <f t="shared" si="9"/>
        <v>#DIV/0!</v>
      </c>
      <c r="K118" s="8" t="e">
        <f t="shared" si="8"/>
        <v>#DIV/0!</v>
      </c>
      <c r="L118" s="8" t="e">
        <f t="shared" si="7"/>
        <v>#DIV/0!</v>
      </c>
      <c r="M118" s="8" t="e">
        <f>表格1_3[[#This Row],[部內平均]]</f>
        <v>#DIV/0!</v>
      </c>
      <c r="N118" s="8"/>
      <c r="O118" s="8" t="e">
        <f>表格1_3[[#This Row],[複評平均]]</f>
        <v>#DIV/0!</v>
      </c>
      <c r="P118" s="3"/>
      <c r="Q118" s="3"/>
      <c r="R118" s="3"/>
      <c r="S118" s="3"/>
      <c r="T118" s="3"/>
      <c r="U118" s="3"/>
      <c r="V118" s="3"/>
      <c r="W118" s="38">
        <v>60.833333333333329</v>
      </c>
      <c r="X118" s="2">
        <v>116</v>
      </c>
    </row>
    <row r="119" spans="1:24" hidden="1">
      <c r="A119" s="10" t="s">
        <v>407</v>
      </c>
      <c r="B119" s="5" t="s">
        <v>233</v>
      </c>
      <c r="C119" s="4" t="s">
        <v>102</v>
      </c>
      <c r="D119" s="6" t="s">
        <v>277</v>
      </c>
      <c r="E119" s="4" t="s">
        <v>297</v>
      </c>
      <c r="F119" s="4" t="s">
        <v>74</v>
      </c>
      <c r="G119" s="41" t="e">
        <f>表格1_6[[#This Row],[加權後總分]]-表格1_6[[#This Row],[獎懲分數]]</f>
        <v>#DIV/0!</v>
      </c>
      <c r="H119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19" s="39" t="e">
        <f t="shared" si="6"/>
        <v>#DIV/0!</v>
      </c>
      <c r="J119" s="36" t="e">
        <f t="shared" si="9"/>
        <v>#DIV/0!</v>
      </c>
      <c r="K119" s="8" t="e">
        <f t="shared" si="8"/>
        <v>#DIV/0!</v>
      </c>
      <c r="L119" s="8" t="e">
        <f t="shared" si="7"/>
        <v>#DIV/0!</v>
      </c>
      <c r="M119" s="8" t="e">
        <f>表格1_3[[#This Row],[部內平均]]</f>
        <v>#DIV/0!</v>
      </c>
      <c r="N119" s="8"/>
      <c r="O119" s="8" t="e">
        <f>表格1_3[[#This Row],[複評平均]]</f>
        <v>#DIV/0!</v>
      </c>
      <c r="P119" s="3"/>
      <c r="Q119" s="3"/>
      <c r="R119" s="3"/>
      <c r="S119" s="3"/>
      <c r="T119" s="3"/>
      <c r="U119" s="3"/>
      <c r="V119" s="3"/>
      <c r="W119" s="38">
        <v>60.6</v>
      </c>
      <c r="X119" s="2">
        <v>117</v>
      </c>
    </row>
    <row r="120" spans="1:24" ht="26" hidden="1">
      <c r="A120" s="10" t="s">
        <v>407</v>
      </c>
      <c r="B120" s="5" t="s">
        <v>214</v>
      </c>
      <c r="C120" s="12" t="s">
        <v>421</v>
      </c>
      <c r="D120" s="6" t="s">
        <v>277</v>
      </c>
      <c r="E120" s="4" t="s">
        <v>283</v>
      </c>
      <c r="F120" s="4" t="s">
        <v>331</v>
      </c>
      <c r="G120" s="41" t="e">
        <f>表格1_6[[#This Row],[加權後總分]]-表格1_6[[#This Row],[獎懲分數]]</f>
        <v>#DIV/0!</v>
      </c>
      <c r="H12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0" s="39" t="e">
        <f t="shared" si="6"/>
        <v>#DIV/0!</v>
      </c>
      <c r="J120" s="36" t="e">
        <f t="shared" si="9"/>
        <v>#DIV/0!</v>
      </c>
      <c r="K120" s="8" t="e">
        <f t="shared" si="8"/>
        <v>#DIV/0!</v>
      </c>
      <c r="L120" s="8" t="e">
        <f t="shared" si="7"/>
        <v>#DIV/0!</v>
      </c>
      <c r="M120" s="8" t="e">
        <f>表格1_3[[#This Row],[部內平均]]</f>
        <v>#DIV/0!</v>
      </c>
      <c r="N120" s="8"/>
      <c r="O120" s="8" t="e">
        <f>表格1_3[[#This Row],[複評平均]]</f>
        <v>#DIV/0!</v>
      </c>
      <c r="P120" s="3"/>
      <c r="Q120" s="3"/>
      <c r="R120" s="3"/>
      <c r="S120" s="3"/>
      <c r="T120" s="3"/>
      <c r="U120" s="3"/>
      <c r="V120" s="3"/>
      <c r="W120" s="38">
        <v>59.8</v>
      </c>
      <c r="X120" s="2">
        <v>118</v>
      </c>
    </row>
    <row r="121" spans="1:24" hidden="1">
      <c r="A121" s="10" t="s">
        <v>407</v>
      </c>
      <c r="B121" s="5" t="s">
        <v>231</v>
      </c>
      <c r="C121" s="4" t="s">
        <v>100</v>
      </c>
      <c r="D121" s="6" t="s">
        <v>277</v>
      </c>
      <c r="E121" s="4" t="s">
        <v>283</v>
      </c>
      <c r="F121" s="4" t="s">
        <v>74</v>
      </c>
      <c r="G121" s="41" t="e">
        <f>表格1_6[[#This Row],[加權後總分]]-表格1_6[[#This Row],[獎懲分數]]</f>
        <v>#DIV/0!</v>
      </c>
      <c r="H12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1" s="39" t="e">
        <f t="shared" si="6"/>
        <v>#DIV/0!</v>
      </c>
      <c r="J121" s="36" t="e">
        <f t="shared" si="9"/>
        <v>#DIV/0!</v>
      </c>
      <c r="K121" s="8" t="e">
        <f t="shared" si="8"/>
        <v>#DIV/0!</v>
      </c>
      <c r="L121" s="8" t="e">
        <f t="shared" si="7"/>
        <v>#DIV/0!</v>
      </c>
      <c r="M121" s="8" t="e">
        <f>表格1_3[[#This Row],[部內平均]]</f>
        <v>#DIV/0!</v>
      </c>
      <c r="N121" s="8"/>
      <c r="O121" s="8" t="e">
        <f>表格1_3[[#This Row],[複評平均]]</f>
        <v>#DIV/0!</v>
      </c>
      <c r="P121" s="3"/>
      <c r="Q121" s="3"/>
      <c r="R121" s="3"/>
      <c r="S121" s="3"/>
      <c r="T121" s="3"/>
      <c r="U121" s="3"/>
      <c r="V121" s="3"/>
      <c r="W121" s="38">
        <v>56.6</v>
      </c>
      <c r="X121" s="2">
        <v>119</v>
      </c>
    </row>
    <row r="122" spans="1:24" hidden="1">
      <c r="A122" s="10" t="s">
        <v>407</v>
      </c>
      <c r="B122" s="5" t="s">
        <v>244</v>
      </c>
      <c r="C122" s="13" t="s">
        <v>113</v>
      </c>
      <c r="D122" s="6" t="s">
        <v>277</v>
      </c>
      <c r="E122" s="4" t="s">
        <v>283</v>
      </c>
      <c r="F122" s="4" t="s">
        <v>63</v>
      </c>
      <c r="G122" s="41" t="e">
        <f>表格1_6[[#This Row],[加權後總分]]-表格1_6[[#This Row],[獎懲分數]]</f>
        <v>#DIV/0!</v>
      </c>
      <c r="H122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2" s="39" t="e">
        <f t="shared" si="6"/>
        <v>#DIV/0!</v>
      </c>
      <c r="J122" s="36" t="e">
        <f t="shared" si="9"/>
        <v>#DIV/0!</v>
      </c>
      <c r="K122" s="8" t="e">
        <f t="shared" si="8"/>
        <v>#DIV/0!</v>
      </c>
      <c r="L122" s="8" t="e">
        <f t="shared" si="7"/>
        <v>#DIV/0!</v>
      </c>
      <c r="M122" s="8" t="e">
        <f>表格1_3[[#This Row],[部內平均]]</f>
        <v>#DIV/0!</v>
      </c>
      <c r="N122" s="8"/>
      <c r="O122" s="8" t="e">
        <f>表格1_3[[#This Row],[複評平均]]</f>
        <v>#DIV/0!</v>
      </c>
      <c r="P122" s="3"/>
      <c r="Q122" s="3"/>
      <c r="R122" s="3"/>
      <c r="S122" s="3"/>
      <c r="T122" s="3"/>
      <c r="U122" s="3"/>
      <c r="V122" s="3"/>
      <c r="W122" s="38">
        <v>55.8</v>
      </c>
      <c r="X122" s="2">
        <v>120</v>
      </c>
    </row>
    <row r="123" spans="1:24" hidden="1">
      <c r="A123" s="10" t="s">
        <v>407</v>
      </c>
      <c r="B123" s="5" t="s">
        <v>242</v>
      </c>
      <c r="C123" s="13" t="s">
        <v>111</v>
      </c>
      <c r="D123" s="6" t="s">
        <v>277</v>
      </c>
      <c r="E123" s="4" t="s">
        <v>283</v>
      </c>
      <c r="F123" s="4" t="s">
        <v>76</v>
      </c>
      <c r="G123" s="41" t="e">
        <f>表格1_6[[#This Row],[加權後總分]]-表格1_6[[#This Row],[獎懲分數]]</f>
        <v>#DIV/0!</v>
      </c>
      <c r="H12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3" s="39" t="e">
        <f t="shared" si="6"/>
        <v>#DIV/0!</v>
      </c>
      <c r="J123" s="36" t="e">
        <f t="shared" si="9"/>
        <v>#DIV/0!</v>
      </c>
      <c r="K123" s="8" t="e">
        <f t="shared" si="8"/>
        <v>#DIV/0!</v>
      </c>
      <c r="L123" s="8" t="e">
        <f t="shared" si="7"/>
        <v>#DIV/0!</v>
      </c>
      <c r="M123" s="8" t="e">
        <f>表格1_3[[#This Row],[部內平均]]</f>
        <v>#DIV/0!</v>
      </c>
      <c r="N123" s="8"/>
      <c r="O123" s="8" t="e">
        <f>表格1_3[[#This Row],[複評平均]]</f>
        <v>#DIV/0!</v>
      </c>
      <c r="P123" s="3"/>
      <c r="Q123" s="3"/>
      <c r="R123" s="3"/>
      <c r="S123" s="3"/>
      <c r="T123" s="3"/>
      <c r="U123" s="3"/>
      <c r="V123" s="3"/>
      <c r="W123" s="38">
        <v>55</v>
      </c>
      <c r="X123" s="2">
        <v>121</v>
      </c>
    </row>
    <row r="124" spans="1:24" hidden="1">
      <c r="A124" s="10" t="s">
        <v>407</v>
      </c>
      <c r="B124" s="5" t="s">
        <v>243</v>
      </c>
      <c r="C124" s="13" t="s">
        <v>112</v>
      </c>
      <c r="D124" s="6" t="s">
        <v>277</v>
      </c>
      <c r="E124" s="4" t="s">
        <v>283</v>
      </c>
      <c r="F124" s="4" t="s">
        <v>76</v>
      </c>
      <c r="G124" s="41" t="e">
        <f>表格1_6[[#This Row],[加權後總分]]-表格1_6[[#This Row],[獎懲分數]]</f>
        <v>#DIV/0!</v>
      </c>
      <c r="H12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4" s="39" t="e">
        <f t="shared" si="6"/>
        <v>#DIV/0!</v>
      </c>
      <c r="J124" s="36" t="e">
        <f t="shared" si="9"/>
        <v>#DIV/0!</v>
      </c>
      <c r="K124" s="8" t="e">
        <f t="shared" si="8"/>
        <v>#DIV/0!</v>
      </c>
      <c r="L124" s="8" t="e">
        <f t="shared" si="7"/>
        <v>#DIV/0!</v>
      </c>
      <c r="M124" s="8" t="e">
        <f>表格1_3[[#This Row],[部內平均]]</f>
        <v>#DIV/0!</v>
      </c>
      <c r="N124" s="8"/>
      <c r="O124" s="8" t="e">
        <f>表格1_3[[#This Row],[複評平均]]</f>
        <v>#DIV/0!</v>
      </c>
      <c r="P124" s="3"/>
      <c r="Q124" s="3"/>
      <c r="R124" s="3"/>
      <c r="S124" s="3"/>
      <c r="T124" s="3"/>
      <c r="U124" s="3"/>
      <c r="V124" s="3"/>
      <c r="W124" s="38">
        <v>54.8</v>
      </c>
      <c r="X124" s="2">
        <v>122</v>
      </c>
    </row>
    <row r="125" spans="1:24" hidden="1">
      <c r="A125" s="10" t="s">
        <v>407</v>
      </c>
      <c r="B125" s="5" t="s">
        <v>241</v>
      </c>
      <c r="C125" s="4" t="s">
        <v>110</v>
      </c>
      <c r="D125" s="6" t="s">
        <v>277</v>
      </c>
      <c r="E125" s="4" t="s">
        <v>283</v>
      </c>
      <c r="F125" s="4" t="s">
        <v>93</v>
      </c>
      <c r="G125" s="41" t="e">
        <f>表格1_6[[#This Row],[加權後總分]]-表格1_6[[#This Row],[獎懲分數]]</f>
        <v>#DIV/0!</v>
      </c>
      <c r="H12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5" s="39" t="e">
        <f t="shared" si="6"/>
        <v>#DIV/0!</v>
      </c>
      <c r="J125" s="36" t="e">
        <f t="shared" si="9"/>
        <v>#DIV/0!</v>
      </c>
      <c r="K125" s="8" t="e">
        <f t="shared" si="8"/>
        <v>#DIV/0!</v>
      </c>
      <c r="L125" s="8" t="e">
        <f t="shared" si="7"/>
        <v>#DIV/0!</v>
      </c>
      <c r="M125" s="8" t="e">
        <f>表格1_3[[#This Row],[部內平均]]</f>
        <v>#DIV/0!</v>
      </c>
      <c r="N125" s="8"/>
      <c r="O125" s="8" t="e">
        <f>表格1_3[[#This Row],[複評平均]]</f>
        <v>#DIV/0!</v>
      </c>
      <c r="P125" s="3"/>
      <c r="Q125" s="3"/>
      <c r="R125" s="3"/>
      <c r="S125" s="3"/>
      <c r="T125" s="3"/>
      <c r="U125" s="3"/>
      <c r="V125" s="3"/>
      <c r="W125" s="38">
        <v>52.2</v>
      </c>
      <c r="X125" s="2">
        <v>123</v>
      </c>
    </row>
    <row r="126" spans="1:24" hidden="1">
      <c r="A126" s="10" t="s">
        <v>407</v>
      </c>
      <c r="B126" s="5" t="s">
        <v>245</v>
      </c>
      <c r="C126" s="12" t="s">
        <v>415</v>
      </c>
      <c r="D126" s="6" t="s">
        <v>277</v>
      </c>
      <c r="E126" s="4" t="s">
        <v>283</v>
      </c>
      <c r="F126" s="4" t="s">
        <v>332</v>
      </c>
      <c r="G126" s="41">
        <f>表格1_6[[#This Row],[加權後總分]]-表格1_6[[#This Row],[獎懲分數]]</f>
        <v>0</v>
      </c>
      <c r="H126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26" s="39" t="e">
        <f t="shared" si="6"/>
        <v>#DIV/0!</v>
      </c>
      <c r="J126" s="36"/>
      <c r="K126" s="8"/>
      <c r="L126" s="8" t="e">
        <f t="shared" si="7"/>
        <v>#DIV/0!</v>
      </c>
      <c r="M126" s="8" t="e">
        <f>表格1_3[[#This Row],[部內平均]]</f>
        <v>#DIV/0!</v>
      </c>
      <c r="N126" s="8"/>
      <c r="O126" s="8" t="e">
        <f>表格1_3[[#This Row],[複評平均]]</f>
        <v>#DIV/0!</v>
      </c>
      <c r="P126" s="3"/>
      <c r="Q126" s="3"/>
      <c r="R126" s="3"/>
      <c r="S126" s="3"/>
      <c r="T126" s="3"/>
      <c r="U126" s="3"/>
      <c r="V126" s="3"/>
      <c r="W126" s="38">
        <v>51.2</v>
      </c>
      <c r="X126" s="2">
        <v>124</v>
      </c>
    </row>
    <row r="127" spans="1:24" hidden="1">
      <c r="A127" s="10" t="s">
        <v>407</v>
      </c>
      <c r="B127" s="5" t="s">
        <v>246</v>
      </c>
      <c r="C127" s="13" t="s">
        <v>114</v>
      </c>
      <c r="D127" s="6" t="s">
        <v>277</v>
      </c>
      <c r="E127" s="4" t="s">
        <v>283</v>
      </c>
      <c r="F127" s="4" t="s">
        <v>93</v>
      </c>
      <c r="G127" s="41" t="e">
        <f>表格1_6[[#This Row],[加權後總分]]-表格1_6[[#This Row],[獎懲分數]]</f>
        <v>#DIV/0!</v>
      </c>
      <c r="H127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27" s="39" t="e">
        <f t="shared" si="6"/>
        <v>#DIV/0!</v>
      </c>
      <c r="J127" s="36" t="e">
        <f t="shared" si="9"/>
        <v>#DIV/0!</v>
      </c>
      <c r="K127" s="8" t="e">
        <f t="shared" si="8"/>
        <v>#DIV/0!</v>
      </c>
      <c r="L127" s="8" t="e">
        <f t="shared" si="7"/>
        <v>#DIV/0!</v>
      </c>
      <c r="M127" s="8" t="e">
        <f>表格1_3[[#This Row],[部內平均]]</f>
        <v>#DIV/0!</v>
      </c>
      <c r="N127" s="8"/>
      <c r="O127" s="8" t="e">
        <f>表格1_3[[#This Row],[複評平均]]</f>
        <v>#DIV/0!</v>
      </c>
      <c r="P127" s="3"/>
      <c r="Q127" s="3"/>
      <c r="R127" s="3"/>
      <c r="S127" s="3"/>
      <c r="T127" s="3"/>
      <c r="U127" s="3"/>
      <c r="V127" s="3"/>
      <c r="W127" s="38">
        <v>51</v>
      </c>
      <c r="X127" s="2">
        <v>125</v>
      </c>
    </row>
    <row r="128" spans="1:24" ht="26" hidden="1">
      <c r="A128" s="10" t="s">
        <v>407</v>
      </c>
      <c r="B128" s="5" t="s">
        <v>250</v>
      </c>
      <c r="C128" s="12" t="s">
        <v>416</v>
      </c>
      <c r="D128" s="6" t="s">
        <v>277</v>
      </c>
      <c r="E128" s="4" t="s">
        <v>283</v>
      </c>
      <c r="F128" s="4" t="s">
        <v>93</v>
      </c>
      <c r="G128" s="41">
        <f>表格1_6[[#This Row],[加權後總分]]-表格1_6[[#This Row],[獎懲分數]]</f>
        <v>0</v>
      </c>
      <c r="H128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28" s="39" t="e">
        <f t="shared" si="6"/>
        <v>#DIV/0!</v>
      </c>
      <c r="J128" s="36"/>
      <c r="K128" s="8"/>
      <c r="L128" s="8" t="e">
        <f t="shared" si="7"/>
        <v>#DIV/0!</v>
      </c>
      <c r="M128" s="8" t="e">
        <f>表格1_3[[#This Row],[部內平均]]</f>
        <v>#DIV/0!</v>
      </c>
      <c r="N128" s="8"/>
      <c r="O128" s="8" t="e">
        <f>表格1_3[[#This Row],[複評平均]]</f>
        <v>#DIV/0!</v>
      </c>
      <c r="P128" s="3"/>
      <c r="Q128" s="3"/>
      <c r="R128" s="3"/>
      <c r="S128" s="3"/>
      <c r="T128" s="3"/>
      <c r="U128" s="3"/>
      <c r="V128" s="3"/>
      <c r="W128" s="38">
        <v>50</v>
      </c>
      <c r="X128" s="2">
        <v>126</v>
      </c>
    </row>
    <row r="129" spans="1:24" hidden="1">
      <c r="A129" s="10" t="s">
        <v>407</v>
      </c>
      <c r="B129" s="5" t="s">
        <v>251</v>
      </c>
      <c r="C129" s="12" t="s">
        <v>433</v>
      </c>
      <c r="D129" s="6" t="s">
        <v>277</v>
      </c>
      <c r="E129" s="4" t="s">
        <v>283</v>
      </c>
      <c r="F129" s="4" t="s">
        <v>93</v>
      </c>
      <c r="G129" s="41">
        <f>表格1_6[[#This Row],[加權後總分]]-表格1_6[[#This Row],[獎懲分數]]</f>
        <v>0</v>
      </c>
      <c r="H129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29" s="39" t="e">
        <f t="shared" si="6"/>
        <v>#DIV/0!</v>
      </c>
      <c r="J129" s="36"/>
      <c r="K129" s="8"/>
      <c r="L129" s="8" t="e">
        <f t="shared" si="7"/>
        <v>#DIV/0!</v>
      </c>
      <c r="M129" s="8" t="e">
        <f>表格1_3[[#This Row],[部內平均]]</f>
        <v>#DIV/0!</v>
      </c>
      <c r="N129" s="8"/>
      <c r="O129" s="8" t="e">
        <f>表格1_3[[#This Row],[複評平均]]</f>
        <v>#DIV/0!</v>
      </c>
      <c r="P129" s="3"/>
      <c r="Q129" s="3"/>
      <c r="R129" s="3"/>
      <c r="S129" s="3"/>
      <c r="T129" s="3"/>
      <c r="U129" s="3"/>
      <c r="V129" s="3"/>
      <c r="W129" s="38">
        <v>50</v>
      </c>
      <c r="X129" s="2">
        <v>127</v>
      </c>
    </row>
    <row r="130" spans="1:24" hidden="1">
      <c r="A130" s="10" t="s">
        <v>407</v>
      </c>
      <c r="B130" s="5" t="s">
        <v>249</v>
      </c>
      <c r="C130" s="4" t="s">
        <v>116</v>
      </c>
      <c r="D130" s="6" t="s">
        <v>277</v>
      </c>
      <c r="E130" s="4" t="s">
        <v>283</v>
      </c>
      <c r="F130" s="4" t="s">
        <v>74</v>
      </c>
      <c r="G130" s="41" t="e">
        <f>表格1_6[[#This Row],[加權後總分]]-表格1_6[[#This Row],[獎懲分數]]</f>
        <v>#DIV/0!</v>
      </c>
      <c r="H13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30" s="39" t="e">
        <f t="shared" si="6"/>
        <v>#DIV/0!</v>
      </c>
      <c r="J130" s="36" t="e">
        <f t="shared" si="9"/>
        <v>#DIV/0!</v>
      </c>
      <c r="K130" s="8" t="e">
        <f t="shared" si="8"/>
        <v>#DIV/0!</v>
      </c>
      <c r="L130" s="8" t="e">
        <f t="shared" si="7"/>
        <v>#DIV/0!</v>
      </c>
      <c r="M130" s="8" t="e">
        <f>表格1_3[[#This Row],[部內平均]]</f>
        <v>#DIV/0!</v>
      </c>
      <c r="N130" s="8"/>
      <c r="O130" s="8" t="e">
        <f>表格1_3[[#This Row],[複評平均]]</f>
        <v>#DIV/0!</v>
      </c>
      <c r="P130" s="3"/>
      <c r="Q130" s="3"/>
      <c r="R130" s="3"/>
      <c r="S130" s="3"/>
      <c r="T130" s="3"/>
      <c r="U130" s="3"/>
      <c r="V130" s="3"/>
      <c r="W130" s="38">
        <v>49.4</v>
      </c>
      <c r="X130" s="2">
        <v>128</v>
      </c>
    </row>
    <row r="131" spans="1:24" hidden="1">
      <c r="A131" s="10" t="s">
        <v>407</v>
      </c>
      <c r="B131" s="5" t="s">
        <v>324</v>
      </c>
      <c r="C131" s="12" t="s">
        <v>432</v>
      </c>
      <c r="D131" s="6" t="s">
        <v>277</v>
      </c>
      <c r="E131" s="4" t="s">
        <v>283</v>
      </c>
      <c r="F131" s="4" t="s">
        <v>93</v>
      </c>
      <c r="G131" s="41">
        <f>表格1_6[[#This Row],[加權後總分]]-表格1_6[[#This Row],[獎懲分數]]</f>
        <v>0</v>
      </c>
      <c r="H131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31" s="39" t="e">
        <f t="shared" ref="I131:I146" si="10">_xlfn.RANK.EQ(G131,$G$2:$G$146,0)</f>
        <v>#DIV/0!</v>
      </c>
      <c r="J131" s="36"/>
      <c r="K131" s="8"/>
      <c r="L131" s="8" t="e">
        <f t="shared" ref="L131:L146" si="11">_xlfn.RANK.EQ(J131,$J$2:$J$146,0)</f>
        <v>#DIV/0!</v>
      </c>
      <c r="M131" s="8" t="e">
        <f>表格1_3[[#This Row],[部內平均]]</f>
        <v>#DIV/0!</v>
      </c>
      <c r="N131" s="8"/>
      <c r="O131" s="8" t="e">
        <f>表格1_3[[#This Row],[複評平均]]</f>
        <v>#DIV/0!</v>
      </c>
      <c r="P131" s="3"/>
      <c r="Q131" s="3"/>
      <c r="R131" s="3"/>
      <c r="S131" s="3"/>
      <c r="T131" s="3"/>
      <c r="U131" s="3"/>
      <c r="V131" s="3"/>
      <c r="W131" s="38">
        <v>49</v>
      </c>
      <c r="X131" s="2">
        <v>129</v>
      </c>
    </row>
    <row r="132" spans="1:24" hidden="1">
      <c r="A132" s="10" t="s">
        <v>407</v>
      </c>
      <c r="B132" s="5" t="s">
        <v>325</v>
      </c>
      <c r="C132" s="12" t="s">
        <v>419</v>
      </c>
      <c r="D132" s="6" t="s">
        <v>277</v>
      </c>
      <c r="E132" s="4" t="s">
        <v>283</v>
      </c>
      <c r="F132" s="4" t="s">
        <v>93</v>
      </c>
      <c r="G132" s="41">
        <f>表格1_6[[#This Row],[加權後總分]]-表格1_6[[#This Row],[獎懲分數]]</f>
        <v>0</v>
      </c>
      <c r="H132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32" s="39" t="e">
        <f t="shared" si="10"/>
        <v>#DIV/0!</v>
      </c>
      <c r="J132" s="36"/>
      <c r="K132" s="8"/>
      <c r="L132" s="8" t="e">
        <f t="shared" si="11"/>
        <v>#DIV/0!</v>
      </c>
      <c r="M132" s="8" t="e">
        <f>表格1_3[[#This Row],[部內平均]]</f>
        <v>#DIV/0!</v>
      </c>
      <c r="N132" s="8"/>
      <c r="O132" s="8" t="e">
        <f>表格1_3[[#This Row],[複評平均]]</f>
        <v>#DIV/0!</v>
      </c>
      <c r="P132" s="3"/>
      <c r="Q132" s="3"/>
      <c r="R132" s="3"/>
      <c r="S132" s="3"/>
      <c r="T132" s="3"/>
      <c r="U132" s="3"/>
      <c r="V132" s="3"/>
      <c r="W132" s="38">
        <v>48.400000000000006</v>
      </c>
      <c r="X132" s="2">
        <v>130</v>
      </c>
    </row>
    <row r="133" spans="1:24" ht="26" hidden="1">
      <c r="A133" s="10" t="s">
        <v>407</v>
      </c>
      <c r="B133" s="5" t="s">
        <v>326</v>
      </c>
      <c r="C133" s="12" t="s">
        <v>431</v>
      </c>
      <c r="D133" s="6" t="s">
        <v>277</v>
      </c>
      <c r="E133" s="4" t="s">
        <v>283</v>
      </c>
      <c r="F133" s="4" t="s">
        <v>93</v>
      </c>
      <c r="G133" s="41">
        <f>表格1_6[[#This Row],[加權後總分]]-表格1_6[[#This Row],[獎懲分數]]</f>
        <v>0</v>
      </c>
      <c r="H133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33" s="39" t="e">
        <f t="shared" si="10"/>
        <v>#DIV/0!</v>
      </c>
      <c r="J133" s="36"/>
      <c r="K133" s="8"/>
      <c r="L133" s="8" t="e">
        <f t="shared" si="11"/>
        <v>#DIV/0!</v>
      </c>
      <c r="M133" s="8" t="e">
        <f>表格1_3[[#This Row],[部內平均]]</f>
        <v>#DIV/0!</v>
      </c>
      <c r="N133" s="8"/>
      <c r="O133" s="8" t="e">
        <f>表格1_3[[#This Row],[複評平均]]</f>
        <v>#DIV/0!</v>
      </c>
      <c r="P133" s="3"/>
      <c r="Q133" s="3"/>
      <c r="R133" s="3"/>
      <c r="S133" s="3"/>
      <c r="T133" s="3"/>
      <c r="U133" s="3"/>
      <c r="V133" s="3"/>
      <c r="W133" s="38">
        <v>48</v>
      </c>
      <c r="X133" s="2">
        <v>131</v>
      </c>
    </row>
    <row r="134" spans="1:24" hidden="1">
      <c r="A134" s="10" t="s">
        <v>407</v>
      </c>
      <c r="B134" s="5" t="s">
        <v>248</v>
      </c>
      <c r="C134" s="4" t="s">
        <v>115</v>
      </c>
      <c r="D134" s="6" t="s">
        <v>277</v>
      </c>
      <c r="E134" s="4" t="s">
        <v>283</v>
      </c>
      <c r="F134" s="4" t="s">
        <v>74</v>
      </c>
      <c r="G134" s="41" t="e">
        <f>表格1_6[[#This Row],[加權後總分]]-表格1_6[[#This Row],[獎懲分數]]</f>
        <v>#DIV/0!</v>
      </c>
      <c r="H13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34" s="39" t="e">
        <f t="shared" si="10"/>
        <v>#DIV/0!</v>
      </c>
      <c r="J134" s="36" t="e">
        <f t="shared" si="9"/>
        <v>#DIV/0!</v>
      </c>
      <c r="K134" s="8" t="e">
        <f t="shared" si="8"/>
        <v>#DIV/0!</v>
      </c>
      <c r="L134" s="8" t="e">
        <f t="shared" si="11"/>
        <v>#DIV/0!</v>
      </c>
      <c r="M134" s="8" t="e">
        <f>表格1_3[[#This Row],[部內平均]]</f>
        <v>#DIV/0!</v>
      </c>
      <c r="N134" s="8"/>
      <c r="O134" s="8" t="e">
        <f>表格1_3[[#This Row],[複評平均]]</f>
        <v>#DIV/0!</v>
      </c>
      <c r="P134" s="3"/>
      <c r="Q134" s="3"/>
      <c r="R134" s="3"/>
      <c r="S134" s="3"/>
      <c r="T134" s="3"/>
      <c r="U134" s="3"/>
      <c r="V134" s="3"/>
      <c r="W134" s="38">
        <v>47.400000000000006</v>
      </c>
      <c r="X134" s="2">
        <v>132</v>
      </c>
    </row>
    <row r="135" spans="1:24" hidden="1">
      <c r="A135" s="10" t="s">
        <v>407</v>
      </c>
      <c r="B135" s="5" t="s">
        <v>252</v>
      </c>
      <c r="C135" s="4" t="s">
        <v>117</v>
      </c>
      <c r="D135" s="6" t="s">
        <v>277</v>
      </c>
      <c r="E135" s="4" t="s">
        <v>283</v>
      </c>
      <c r="F135" s="4" t="s">
        <v>74</v>
      </c>
      <c r="G135" s="41" t="e">
        <f>表格1_6[[#This Row],[加權後總分]]-表格1_6[[#This Row],[獎懲分數]]</f>
        <v>#DIV/0!</v>
      </c>
      <c r="H13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35" s="39" t="e">
        <f t="shared" si="10"/>
        <v>#DIV/0!</v>
      </c>
      <c r="J135" s="36" t="e">
        <f t="shared" si="9"/>
        <v>#DIV/0!</v>
      </c>
      <c r="K135" s="8" t="e">
        <f t="shared" si="8"/>
        <v>#DIV/0!</v>
      </c>
      <c r="L135" s="8" t="e">
        <f t="shared" si="11"/>
        <v>#DIV/0!</v>
      </c>
      <c r="M135" s="8" t="e">
        <f>表格1_3[[#This Row],[部內平均]]</f>
        <v>#DIV/0!</v>
      </c>
      <c r="N135" s="8"/>
      <c r="O135" s="8" t="e">
        <f>表格1_3[[#This Row],[複評平均]]</f>
        <v>#DIV/0!</v>
      </c>
      <c r="P135" s="3"/>
      <c r="Q135" s="3"/>
      <c r="R135" s="3"/>
      <c r="S135" s="3"/>
      <c r="T135" s="3"/>
      <c r="U135" s="3"/>
      <c r="V135" s="3"/>
      <c r="W135" s="38">
        <v>46</v>
      </c>
      <c r="X135" s="2">
        <v>133</v>
      </c>
    </row>
    <row r="136" spans="1:24" hidden="1">
      <c r="A136" s="10" t="s">
        <v>408</v>
      </c>
      <c r="B136" s="5" t="s">
        <v>253</v>
      </c>
      <c r="C136" s="4" t="s">
        <v>118</v>
      </c>
      <c r="D136" s="6" t="s">
        <v>278</v>
      </c>
      <c r="E136" s="4" t="s">
        <v>298</v>
      </c>
      <c r="F136" s="4" t="s">
        <v>118</v>
      </c>
      <c r="G136" s="41"/>
      <c r="H136" s="39"/>
      <c r="I136" s="39"/>
      <c r="J136" s="36"/>
      <c r="K136" s="8"/>
      <c r="L136" s="8"/>
      <c r="M136" s="8" t="e">
        <f>表格1_3[[#This Row],[部內平均]]</f>
        <v>#DIV/0!</v>
      </c>
      <c r="N136" s="8" t="e">
        <f>表格1_3[[#This Row],[共評平均]]</f>
        <v>#DIV/0!</v>
      </c>
      <c r="O136" s="8" t="e">
        <f>表格1_3[[#This Row],[複評平均]]</f>
        <v>#DIV/0!</v>
      </c>
      <c r="P136" s="3"/>
      <c r="Q136" s="3"/>
      <c r="R136" s="3"/>
      <c r="S136" s="3"/>
      <c r="T136" s="3"/>
      <c r="U136" s="3"/>
      <c r="V136" s="3"/>
      <c r="W136" s="38">
        <v>45.8</v>
      </c>
      <c r="X136" s="2">
        <v>134</v>
      </c>
    </row>
    <row r="137" spans="1:24" hidden="1">
      <c r="A137" s="10" t="s">
        <v>384</v>
      </c>
      <c r="B137" s="5" t="s">
        <v>255</v>
      </c>
      <c r="C137" s="4" t="s">
        <v>120</v>
      </c>
      <c r="D137" s="6" t="s">
        <v>279</v>
      </c>
      <c r="E137" s="4" t="s">
        <v>300</v>
      </c>
      <c r="F137" s="4" t="s">
        <v>118</v>
      </c>
      <c r="G137" s="41"/>
      <c r="H137" s="39"/>
      <c r="I137" s="39"/>
      <c r="J137" s="36"/>
      <c r="K137" s="8"/>
      <c r="L137" s="8"/>
      <c r="M137" s="8" t="e">
        <f>表格1_3[[#This Row],[部內平均]]</f>
        <v>#DIV/0!</v>
      </c>
      <c r="N137" s="8" t="e">
        <f>表格1_3[[#This Row],[共評平均]]</f>
        <v>#DIV/0!</v>
      </c>
      <c r="O137" s="8" t="e">
        <f>表格1_3[[#This Row],[複評平均]]</f>
        <v>#DIV/0!</v>
      </c>
      <c r="P137" s="3"/>
      <c r="Q137" s="3"/>
      <c r="R137" s="3"/>
      <c r="S137" s="3"/>
      <c r="T137" s="3"/>
      <c r="U137" s="3"/>
      <c r="V137" s="3"/>
      <c r="W137" s="38">
        <v>45.8</v>
      </c>
      <c r="X137" s="2">
        <v>135</v>
      </c>
    </row>
    <row r="138" spans="1:24" hidden="1">
      <c r="A138" s="10" t="s">
        <v>383</v>
      </c>
      <c r="B138" s="5" t="s">
        <v>254</v>
      </c>
      <c r="C138" s="4" t="s">
        <v>119</v>
      </c>
      <c r="D138" s="6" t="s">
        <v>279</v>
      </c>
      <c r="E138" s="4" t="s">
        <v>299</v>
      </c>
      <c r="F138" s="7"/>
      <c r="G138" s="41"/>
      <c r="H138" s="39"/>
      <c r="I138" s="39"/>
      <c r="J138" s="36"/>
      <c r="K138" s="23"/>
      <c r="L138" s="8"/>
      <c r="M138" s="8" t="e">
        <f>表格1_3[[#This Row],[部內平均]]</f>
        <v>#DIV/0!</v>
      </c>
      <c r="N138" s="8" t="e">
        <f>表格1_3[[#This Row],[共評平均]]</f>
        <v>#DIV/0!</v>
      </c>
      <c r="O138" s="8" t="e">
        <f>表格1_3[[#This Row],[複評平均]]</f>
        <v>#DIV/0!</v>
      </c>
      <c r="P138" s="3"/>
      <c r="Q138" s="3"/>
      <c r="R138" s="3"/>
      <c r="S138" s="3"/>
      <c r="T138" s="3"/>
      <c r="U138" s="3"/>
      <c r="V138" s="3"/>
    </row>
    <row r="139" spans="1:24" hidden="1">
      <c r="A139" s="10" t="s">
        <v>391</v>
      </c>
      <c r="B139" s="5" t="s">
        <v>256</v>
      </c>
      <c r="C139" s="4" t="s">
        <v>121</v>
      </c>
      <c r="D139" s="6" t="s">
        <v>279</v>
      </c>
      <c r="E139" s="4" t="s">
        <v>301</v>
      </c>
      <c r="F139" s="4" t="s">
        <v>120</v>
      </c>
      <c r="G139" s="41"/>
      <c r="H139" s="39"/>
      <c r="I139" s="39"/>
      <c r="J139" s="36"/>
      <c r="K139" s="23"/>
      <c r="L139" s="8"/>
      <c r="M139" s="8" t="e">
        <f>表格1_3[[#This Row],[部內平均]]</f>
        <v>#DIV/0!</v>
      </c>
      <c r="N139" s="8" t="e">
        <f>表格1_3[[#This Row],[共評平均]]</f>
        <v>#DIV/0!</v>
      </c>
      <c r="O139" s="8" t="e">
        <f>表格1_3[[#This Row],[複評平均]]</f>
        <v>#DIV/0!</v>
      </c>
      <c r="P139" s="3"/>
      <c r="Q139" s="3"/>
      <c r="R139" s="3"/>
      <c r="S139" s="3"/>
      <c r="T139" s="3"/>
      <c r="U139" s="3"/>
      <c r="V139" s="3"/>
    </row>
    <row r="140" spans="1:24" hidden="1">
      <c r="A140" s="10" t="s">
        <v>383</v>
      </c>
      <c r="B140" s="5" t="s">
        <v>257</v>
      </c>
      <c r="C140" s="4" t="s">
        <v>122</v>
      </c>
      <c r="D140" s="6" t="s">
        <v>279</v>
      </c>
      <c r="E140" s="4" t="s">
        <v>301</v>
      </c>
      <c r="F140" s="4" t="s">
        <v>120</v>
      </c>
      <c r="G140" s="41" t="e">
        <f>表格1_6[[#This Row],[加權後總分]]-表格1_6[[#This Row],[獎懲分數]]</f>
        <v>#DIV/0!</v>
      </c>
      <c r="H140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40" s="39" t="e">
        <f t="shared" si="10"/>
        <v>#DIV/0!</v>
      </c>
      <c r="J140" s="36" t="e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>#DIV/0!</v>
      </c>
      <c r="K140" s="23" t="e">
        <f>IF(J140&gt;=90,"A",
 IF(J140&gt;=80,"B",
 IF(J140&gt;=70,"C",
 IF(J140&gt;=60,"D","E"))))</f>
        <v>#DIV/0!</v>
      </c>
      <c r="L140" s="8" t="e">
        <f t="shared" si="11"/>
        <v>#DIV/0!</v>
      </c>
      <c r="M140" s="8" t="e">
        <f>表格1_3[[#This Row],[部內平均]]</f>
        <v>#DIV/0!</v>
      </c>
      <c r="N140" s="8" t="e">
        <f>表格1_3[[#This Row],[共評平均]]</f>
        <v>#DIV/0!</v>
      </c>
      <c r="O140" s="8"/>
      <c r="P140" s="3"/>
      <c r="Q140" s="3"/>
      <c r="R140" s="3">
        <v>1</v>
      </c>
      <c r="S140" s="3"/>
      <c r="T140" s="3"/>
      <c r="U140" s="3"/>
      <c r="V140" s="3">
        <v>27</v>
      </c>
    </row>
    <row r="141" spans="1:24" hidden="1">
      <c r="A141" s="10" t="s">
        <v>383</v>
      </c>
      <c r="B141" s="5" t="s">
        <v>259</v>
      </c>
      <c r="C141" s="13" t="s">
        <v>124</v>
      </c>
      <c r="D141" s="6" t="s">
        <v>280</v>
      </c>
      <c r="E141" s="4" t="s">
        <v>281</v>
      </c>
      <c r="F141" s="4" t="s">
        <v>126</v>
      </c>
      <c r="G141" s="41" t="e">
        <f>表格1_6[[#This Row],[加權後總分]]-表格1_6[[#This Row],[獎懲分數]]</f>
        <v>#DIV/0!</v>
      </c>
      <c r="H141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41" s="39" t="e">
        <f t="shared" si="10"/>
        <v>#DIV/0!</v>
      </c>
      <c r="J141" s="36" t="e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>#DIV/0!</v>
      </c>
      <c r="K141" s="23" t="e">
        <f>IF(J141&gt;=90,"A",
 IF(J141&gt;=80,"B",
 IF(J141&gt;=70,"C",
 IF(J141&gt;=60,"D","E"))))</f>
        <v>#DIV/0!</v>
      </c>
      <c r="L141" s="8" t="e">
        <f t="shared" si="11"/>
        <v>#DIV/0!</v>
      </c>
      <c r="M141" s="8" t="e">
        <f>表格1_3[[#This Row],[部內平均]]</f>
        <v>#DIV/0!</v>
      </c>
      <c r="N141" s="8" t="e">
        <f>表格1_3[[#This Row],[共評平均]]</f>
        <v>#DIV/0!</v>
      </c>
      <c r="O141" s="8" t="e">
        <f>表格1_3[[#This Row],[複評平均]]</f>
        <v>#DIV/0!</v>
      </c>
      <c r="P141" s="3"/>
      <c r="Q141" s="3"/>
      <c r="R141" s="3"/>
      <c r="S141" s="3"/>
      <c r="T141" s="3"/>
      <c r="U141" s="3"/>
      <c r="V141" s="3"/>
    </row>
    <row r="142" spans="1:24" hidden="1">
      <c r="A142" s="10" t="s">
        <v>336</v>
      </c>
      <c r="B142" s="5" t="s">
        <v>260</v>
      </c>
      <c r="C142" s="4" t="s">
        <v>125</v>
      </c>
      <c r="D142" s="6" t="s">
        <v>280</v>
      </c>
      <c r="E142" s="4" t="s">
        <v>288</v>
      </c>
      <c r="F142" s="4" t="s">
        <v>120</v>
      </c>
      <c r="G142" s="41"/>
      <c r="H142" s="39" t="str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E</v>
      </c>
      <c r="I142" s="39" t="e">
        <f t="shared" si="10"/>
        <v>#DIV/0!</v>
      </c>
      <c r="J142" s="36"/>
      <c r="K142" s="23"/>
      <c r="L142" s="8"/>
      <c r="M142" s="8" t="e">
        <f>表格1_3[[#This Row],[部內平均]]</f>
        <v>#DIV/0!</v>
      </c>
      <c r="N142" s="8" t="e">
        <f>表格1_3[[#This Row],[共評平均]]</f>
        <v>#DIV/0!</v>
      </c>
      <c r="O142" s="8" t="e">
        <f>表格1_3[[#This Row],[複評平均]]</f>
        <v>#DIV/0!</v>
      </c>
      <c r="P142" s="3"/>
      <c r="Q142" s="3"/>
      <c r="R142" s="3"/>
      <c r="S142" s="3"/>
      <c r="T142" s="3"/>
      <c r="U142" s="3"/>
      <c r="V142" s="3"/>
    </row>
    <row r="143" spans="1:24" hidden="1">
      <c r="B143" s="5" t="s">
        <v>258</v>
      </c>
      <c r="C143" s="4" t="s">
        <v>123</v>
      </c>
      <c r="D143" s="6" t="s">
        <v>280</v>
      </c>
      <c r="E143" s="4" t="s">
        <v>302</v>
      </c>
      <c r="F143" s="4" t="s">
        <v>332</v>
      </c>
      <c r="G143" s="41" t="e">
        <f>表格1_6[[#This Row],[加權後總分]]-表格1_6[[#This Row],[獎懲分數]]</f>
        <v>#DIV/0!</v>
      </c>
      <c r="H143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43" s="39" t="e">
        <f t="shared" si="10"/>
        <v>#DIV/0!</v>
      </c>
      <c r="J143" s="36" t="e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>#DIV/0!</v>
      </c>
      <c r="K143" s="23" t="e">
        <f>IF(J143&gt;=90,"A",
 IF(J143&gt;=80,"B",
 IF(J143&gt;=70,"C",
 IF(J143&gt;=60,"D","E"))))</f>
        <v>#DIV/0!</v>
      </c>
      <c r="L143" s="8" t="e">
        <f t="shared" si="11"/>
        <v>#DIV/0!</v>
      </c>
      <c r="M143" s="8" t="e">
        <f>表格1_3[[#This Row],[部內平均]]</f>
        <v>#DIV/0!</v>
      </c>
      <c r="N143" s="8"/>
      <c r="O143" s="8"/>
      <c r="P143" s="3"/>
      <c r="Q143" s="3"/>
      <c r="R143" s="3"/>
      <c r="S143" s="3"/>
      <c r="T143" s="3"/>
      <c r="U143" s="3"/>
      <c r="V143" s="3"/>
    </row>
    <row r="144" spans="1:24" hidden="1">
      <c r="A144" s="10" t="s">
        <v>383</v>
      </c>
      <c r="B144" s="5" t="s">
        <v>261</v>
      </c>
      <c r="C144" s="4" t="s">
        <v>126</v>
      </c>
      <c r="D144" s="6" t="s">
        <v>280</v>
      </c>
      <c r="E144" s="4" t="s">
        <v>281</v>
      </c>
      <c r="F144" s="4" t="s">
        <v>51</v>
      </c>
      <c r="G144" s="41" t="e">
        <f>表格1_6[[#This Row],[加權後總分]]-表格1_6[[#This Row],[獎懲分數]]</f>
        <v>#DIV/0!</v>
      </c>
      <c r="H144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44" s="39" t="e">
        <f t="shared" si="10"/>
        <v>#DIV/0!</v>
      </c>
      <c r="J144" s="36" t="e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>#DIV/0!</v>
      </c>
      <c r="K144" s="23" t="e">
        <f>IF(J144&gt;=90,"A",
 IF(J144&gt;=80,"B",
 IF(J144&gt;=70,"C",
 IF(J144&gt;=60,"D","E"))))</f>
        <v>#DIV/0!</v>
      </c>
      <c r="L144" s="8" t="e">
        <f t="shared" si="11"/>
        <v>#DIV/0!</v>
      </c>
      <c r="M144" s="8" t="e">
        <f>表格1_3[[#This Row],[部內平均]]</f>
        <v>#DIV/0!</v>
      </c>
      <c r="N144" s="8" t="e">
        <f>表格1_3[[#This Row],[共評平均]]</f>
        <v>#DIV/0!</v>
      </c>
      <c r="O144" s="8"/>
      <c r="P144" s="3"/>
      <c r="Q144" s="3"/>
      <c r="R144" s="3"/>
      <c r="S144" s="3"/>
      <c r="T144" s="3"/>
      <c r="U144" s="3"/>
      <c r="V144" s="3"/>
    </row>
    <row r="145" spans="1:22" hidden="1">
      <c r="A145" s="10" t="s">
        <v>383</v>
      </c>
      <c r="B145" s="5" t="s">
        <v>262</v>
      </c>
      <c r="C145" s="13" t="s">
        <v>127</v>
      </c>
      <c r="D145" s="6" t="s">
        <v>280</v>
      </c>
      <c r="E145" s="4" t="s">
        <v>293</v>
      </c>
      <c r="F145" s="4" t="s">
        <v>119</v>
      </c>
      <c r="G145" s="41" t="e">
        <f>表格1_6[[#This Row],[加權後總分]]-表格1_6[[#This Row],[獎懲分數]]</f>
        <v>#DIV/0!</v>
      </c>
      <c r="H145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45" s="39" t="e">
        <f t="shared" si="10"/>
        <v>#DIV/0!</v>
      </c>
      <c r="J145" s="36" t="e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>#DIV/0!</v>
      </c>
      <c r="K145" s="23" t="e">
        <f>IF(J145&gt;=90,"A",
 IF(J145&gt;=80,"B",
 IF(J145&gt;=70,"C",
 IF(J145&gt;=60,"D","E"))))</f>
        <v>#DIV/0!</v>
      </c>
      <c r="L145" s="8" t="e">
        <f t="shared" si="11"/>
        <v>#DIV/0!</v>
      </c>
      <c r="M145" s="8" t="e">
        <f>表格1_3[[#This Row],[部內平均]]</f>
        <v>#DIV/0!</v>
      </c>
      <c r="N145" s="8" t="e">
        <f>表格1_3[[#This Row],[共評平均]]</f>
        <v>#DIV/0!</v>
      </c>
      <c r="O145" s="8" t="e">
        <f>表格1_3[[#This Row],[複評平均]]</f>
        <v>#DIV/0!</v>
      </c>
      <c r="P145" s="3"/>
      <c r="Q145" s="3"/>
      <c r="R145" s="3"/>
      <c r="S145" s="3"/>
      <c r="T145" s="3"/>
      <c r="U145" s="3"/>
      <c r="V145" s="3"/>
    </row>
    <row r="146" spans="1:22" ht="26" hidden="1">
      <c r="A146" s="10" t="s">
        <v>380</v>
      </c>
      <c r="B146" s="5" t="s">
        <v>263</v>
      </c>
      <c r="C146" s="4" t="s">
        <v>128</v>
      </c>
      <c r="D146" s="6" t="s">
        <v>280</v>
      </c>
      <c r="E146" s="4" t="s">
        <v>303</v>
      </c>
      <c r="F146" s="4" t="s">
        <v>93</v>
      </c>
      <c r="G146" s="41" t="e">
        <f>表格1_6[[#This Row],[加權後總分]]-表格1_6[[#This Row],[獎懲分數]]</f>
        <v>#DIV/0!</v>
      </c>
      <c r="H146" s="39" t="e">
        <f>IF(表格1_6[[#This Row],[不包含獎懲總分]]&gt;=90,"A",
 IF(表格1_6[[#This Row],[不包含獎懲總分]]&gt;=80,"B",
 IF(表格1_6[[#This Row],[不包含獎懲總分]]&gt;=70,"C",
 IF(表格1_6[[#This Row],[不包含獎懲總分]]&gt;=60,"D","E"))))</f>
        <v>#DIV/0!</v>
      </c>
      <c r="I146" s="39" t="e">
        <f t="shared" si="10"/>
        <v>#DIV/0!</v>
      </c>
      <c r="J146" s="36" t="e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>#DIV/0!</v>
      </c>
      <c r="K146" s="23" t="e">
        <f>IF(J146&gt;=90,"A",
 IF(J146&gt;=80,"B",
 IF(J146&gt;=70,"C",
 IF(J146&gt;=60,"D","E"))))</f>
        <v>#DIV/0!</v>
      </c>
      <c r="L146" s="8" t="e">
        <f t="shared" si="11"/>
        <v>#DIV/0!</v>
      </c>
      <c r="M146" s="8" t="e">
        <f>表格1_3[[#This Row],[部內平均]]</f>
        <v>#DIV/0!</v>
      </c>
      <c r="N146" s="8" t="e">
        <f>表格1_3[[#This Row],[共評平均]]</f>
        <v>#DIV/0!</v>
      </c>
      <c r="O146" s="8">
        <v>67.8</v>
      </c>
      <c r="P146" s="3">
        <v>1</v>
      </c>
      <c r="Q146" s="3"/>
      <c r="R146" s="3"/>
      <c r="S146" s="3"/>
      <c r="T146" s="3"/>
      <c r="U146" s="3"/>
      <c r="V146" s="3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3" workbookViewId="0">
      <selection activeCell="E53" sqref="E53"/>
    </sheetView>
  </sheetViews>
  <sheetFormatPr defaultRowHeight="17"/>
  <sheetData>
    <row r="1" spans="1:7">
      <c r="A1" t="s">
        <v>457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  <c r="G1" t="s">
        <v>463</v>
      </c>
    </row>
    <row r="2" spans="1:7">
      <c r="A2" s="28" t="s">
        <v>311</v>
      </c>
      <c r="B2" s="34" t="s">
        <v>434</v>
      </c>
      <c r="C2" s="29" t="s">
        <v>265</v>
      </c>
      <c r="D2" s="30" t="s">
        <v>283</v>
      </c>
      <c r="E2" s="30" t="s">
        <v>313</v>
      </c>
      <c r="F2" s="25">
        <v>50</v>
      </c>
      <c r="G2" s="25" t="s">
        <v>448</v>
      </c>
    </row>
    <row r="3" spans="1:7">
      <c r="A3" s="31" t="s">
        <v>136</v>
      </c>
      <c r="B3" s="34" t="s">
        <v>10</v>
      </c>
      <c r="C3" s="32" t="s">
        <v>265</v>
      </c>
      <c r="D3" s="33" t="s">
        <v>283</v>
      </c>
      <c r="E3" s="33" t="s">
        <v>313</v>
      </c>
      <c r="F3" s="24">
        <v>68.400000000000006</v>
      </c>
      <c r="G3" s="24" t="s">
        <v>447</v>
      </c>
    </row>
    <row r="4" spans="1:7">
      <c r="A4" s="28" t="s">
        <v>137</v>
      </c>
      <c r="B4" s="34" t="s">
        <v>11</v>
      </c>
      <c r="C4" s="29" t="s">
        <v>265</v>
      </c>
      <c r="D4" s="30" t="s">
        <v>283</v>
      </c>
      <c r="E4" s="30" t="s">
        <v>313</v>
      </c>
      <c r="F4" s="25">
        <v>63.4</v>
      </c>
      <c r="G4" s="25" t="s">
        <v>447</v>
      </c>
    </row>
    <row r="5" spans="1:7">
      <c r="A5" s="31" t="s">
        <v>143</v>
      </c>
      <c r="B5" s="34" t="s">
        <v>17</v>
      </c>
      <c r="C5" s="32" t="s">
        <v>265</v>
      </c>
      <c r="D5" s="33" t="s">
        <v>283</v>
      </c>
      <c r="E5" s="33" t="s">
        <v>74</v>
      </c>
      <c r="F5" s="24">
        <v>62.400000000000006</v>
      </c>
      <c r="G5" s="24" t="s">
        <v>447</v>
      </c>
    </row>
    <row r="6" spans="1:7">
      <c r="A6" s="28" t="s">
        <v>134</v>
      </c>
      <c r="B6" s="34" t="s">
        <v>8</v>
      </c>
      <c r="C6" s="29" t="s">
        <v>265</v>
      </c>
      <c r="D6" s="30" t="s">
        <v>283</v>
      </c>
      <c r="E6" s="30" t="s">
        <v>313</v>
      </c>
      <c r="F6" s="25">
        <v>69.2</v>
      </c>
      <c r="G6" s="25" t="s">
        <v>447</v>
      </c>
    </row>
    <row r="7" spans="1:7">
      <c r="A7" s="31" t="s">
        <v>135</v>
      </c>
      <c r="B7" s="34" t="s">
        <v>9</v>
      </c>
      <c r="C7" s="32" t="s">
        <v>265</v>
      </c>
      <c r="D7" s="33" t="s">
        <v>283</v>
      </c>
      <c r="E7" s="33" t="s">
        <v>74</v>
      </c>
      <c r="F7" s="24">
        <v>67.8</v>
      </c>
      <c r="G7" s="24" t="s">
        <v>447</v>
      </c>
    </row>
    <row r="8" spans="1:7">
      <c r="A8" s="28" t="s">
        <v>141</v>
      </c>
      <c r="B8" s="34" t="s">
        <v>15</v>
      </c>
      <c r="C8" s="29" t="s">
        <v>265</v>
      </c>
      <c r="D8" s="30" t="s">
        <v>283</v>
      </c>
      <c r="E8" s="30" t="s">
        <v>313</v>
      </c>
      <c r="F8" s="25">
        <v>62.8</v>
      </c>
      <c r="G8" s="25" t="s">
        <v>447</v>
      </c>
    </row>
    <row r="9" spans="1:7">
      <c r="A9" s="31" t="s">
        <v>142</v>
      </c>
      <c r="B9" s="34" t="s">
        <v>16</v>
      </c>
      <c r="C9" s="32" t="s">
        <v>265</v>
      </c>
      <c r="D9" s="33" t="s">
        <v>283</v>
      </c>
      <c r="E9" s="33" t="s">
        <v>313</v>
      </c>
      <c r="F9" s="24">
        <v>59.8</v>
      </c>
      <c r="G9" s="24" t="s">
        <v>448</v>
      </c>
    </row>
    <row r="10" spans="1:7">
      <c r="A10" s="28" t="s">
        <v>150</v>
      </c>
      <c r="B10" s="34" t="s">
        <v>23</v>
      </c>
      <c r="C10" s="29" t="s">
        <v>265</v>
      </c>
      <c r="D10" s="30" t="s">
        <v>285</v>
      </c>
      <c r="E10" s="30" t="s">
        <v>313</v>
      </c>
      <c r="F10" s="25">
        <v>68.566666666666663</v>
      </c>
      <c r="G10" s="25" t="s">
        <v>447</v>
      </c>
    </row>
    <row r="11" spans="1:7">
      <c r="A11" s="31" t="s">
        <v>149</v>
      </c>
      <c r="B11" s="34" t="s">
        <v>22</v>
      </c>
      <c r="C11" s="32" t="s">
        <v>265</v>
      </c>
      <c r="D11" s="33" t="s">
        <v>283</v>
      </c>
      <c r="E11" s="33" t="s">
        <v>313</v>
      </c>
      <c r="F11" s="24">
        <v>55.8</v>
      </c>
      <c r="G11" s="24" t="s">
        <v>448</v>
      </c>
    </row>
    <row r="12" spans="1:7">
      <c r="A12" s="28" t="s">
        <v>157</v>
      </c>
      <c r="B12" s="34" t="s">
        <v>30</v>
      </c>
      <c r="C12" s="29" t="s">
        <v>266</v>
      </c>
      <c r="D12" s="30" t="s">
        <v>283</v>
      </c>
      <c r="E12" s="30" t="s">
        <v>35</v>
      </c>
      <c r="F12" s="25">
        <v>63.599999999999994</v>
      </c>
      <c r="G12" s="25" t="s">
        <v>447</v>
      </c>
    </row>
    <row r="13" spans="1:7">
      <c r="A13" s="31" t="s">
        <v>158</v>
      </c>
      <c r="B13" s="34" t="s">
        <v>31</v>
      </c>
      <c r="C13" s="32" t="s">
        <v>266</v>
      </c>
      <c r="D13" s="33" t="s">
        <v>283</v>
      </c>
      <c r="E13" s="33" t="s">
        <v>35</v>
      </c>
      <c r="F13" s="24">
        <v>61.2</v>
      </c>
      <c r="G13" s="24" t="s">
        <v>447</v>
      </c>
    </row>
    <row r="14" spans="1:7">
      <c r="A14" s="28" t="s">
        <v>161</v>
      </c>
      <c r="B14" s="34" t="s">
        <v>34</v>
      </c>
      <c r="C14" s="29" t="s">
        <v>266</v>
      </c>
      <c r="D14" s="30" t="s">
        <v>283</v>
      </c>
      <c r="E14" s="30" t="s">
        <v>35</v>
      </c>
      <c r="F14" s="25">
        <v>68.8</v>
      </c>
      <c r="G14" s="25" t="s">
        <v>447</v>
      </c>
    </row>
    <row r="15" spans="1:7">
      <c r="A15" s="31" t="s">
        <v>314</v>
      </c>
      <c r="B15" s="34" t="s">
        <v>315</v>
      </c>
      <c r="C15" s="32" t="s">
        <v>266</v>
      </c>
      <c r="D15" s="33" t="s">
        <v>283</v>
      </c>
      <c r="E15" s="33" t="s">
        <v>35</v>
      </c>
      <c r="F15" s="24">
        <v>56.6</v>
      </c>
      <c r="G15" s="24" t="s">
        <v>448</v>
      </c>
    </row>
    <row r="16" spans="1:7">
      <c r="A16" s="28" t="s">
        <v>166</v>
      </c>
      <c r="B16" s="34" t="s">
        <v>39</v>
      </c>
      <c r="C16" s="29" t="s">
        <v>267</v>
      </c>
      <c r="D16" s="30" t="s">
        <v>283</v>
      </c>
      <c r="E16" s="30" t="s">
        <v>465</v>
      </c>
      <c r="F16" s="25">
        <v>61.8</v>
      </c>
      <c r="G16" s="25" t="s">
        <v>447</v>
      </c>
    </row>
    <row r="17" spans="1:7">
      <c r="A17" s="31" t="s">
        <v>176</v>
      </c>
      <c r="B17" s="34" t="s">
        <v>49</v>
      </c>
      <c r="C17" s="32" t="s">
        <v>269</v>
      </c>
      <c r="D17" s="33" t="s">
        <v>283</v>
      </c>
      <c r="E17" s="33" t="s">
        <v>466</v>
      </c>
      <c r="F17" s="24">
        <v>60.833333333333329</v>
      </c>
      <c r="G17" s="24" t="s">
        <v>447</v>
      </c>
    </row>
    <row r="18" spans="1:7">
      <c r="A18" s="28" t="s">
        <v>178</v>
      </c>
      <c r="B18" s="34" t="s">
        <v>51</v>
      </c>
      <c r="C18" s="29" t="s">
        <v>269</v>
      </c>
      <c r="D18" s="30" t="s">
        <v>5</v>
      </c>
      <c r="E18" s="30" t="s">
        <v>467</v>
      </c>
      <c r="F18" s="25">
        <v>68.612244897959187</v>
      </c>
      <c r="G18" s="25" t="s">
        <v>447</v>
      </c>
    </row>
    <row r="19" spans="1:7">
      <c r="A19" s="31" t="s">
        <v>189</v>
      </c>
      <c r="B19" s="34" t="s">
        <v>62</v>
      </c>
      <c r="C19" s="32" t="s">
        <v>269</v>
      </c>
      <c r="D19" s="33" t="s">
        <v>293</v>
      </c>
      <c r="E19" s="33" t="s">
        <v>467</v>
      </c>
      <c r="F19" s="24">
        <v>64.599999999999994</v>
      </c>
      <c r="G19" s="24" t="s">
        <v>447</v>
      </c>
    </row>
    <row r="20" spans="1:7">
      <c r="A20" s="28" t="s">
        <v>188</v>
      </c>
      <c r="B20" s="34" t="s">
        <v>61</v>
      </c>
      <c r="C20" s="29" t="s">
        <v>269</v>
      </c>
      <c r="D20" s="30" t="s">
        <v>283</v>
      </c>
      <c r="E20" s="30" t="s">
        <v>467</v>
      </c>
      <c r="F20" s="25">
        <v>69.525000000000006</v>
      </c>
      <c r="G20" s="25" t="s">
        <v>447</v>
      </c>
    </row>
    <row r="21" spans="1:7">
      <c r="A21" s="31" t="s">
        <v>183</v>
      </c>
      <c r="B21" s="34" t="s">
        <v>56</v>
      </c>
      <c r="C21" s="32" t="s">
        <v>269</v>
      </c>
      <c r="D21" s="33" t="s">
        <v>283</v>
      </c>
      <c r="E21" s="33" t="s">
        <v>468</v>
      </c>
      <c r="F21" s="24">
        <v>64.849999999999994</v>
      </c>
      <c r="G21" s="24" t="s">
        <v>447</v>
      </c>
    </row>
    <row r="22" spans="1:7">
      <c r="A22" s="28" t="s">
        <v>184</v>
      </c>
      <c r="B22" s="34" t="s">
        <v>57</v>
      </c>
      <c r="C22" s="29" t="s">
        <v>269</v>
      </c>
      <c r="D22" s="30" t="s">
        <v>283</v>
      </c>
      <c r="E22" s="30" t="s">
        <v>467</v>
      </c>
      <c r="F22" s="25">
        <v>63.677777777777777</v>
      </c>
      <c r="G22" s="25" t="s">
        <v>447</v>
      </c>
    </row>
    <row r="23" spans="1:7">
      <c r="A23" s="31" t="s">
        <v>191</v>
      </c>
      <c r="B23" s="34" t="s">
        <v>64</v>
      </c>
      <c r="C23" s="32" t="s">
        <v>270</v>
      </c>
      <c r="D23" s="33" t="s">
        <v>283</v>
      </c>
      <c r="E23" s="33" t="s">
        <v>469</v>
      </c>
      <c r="F23" s="24">
        <v>66.599999999999994</v>
      </c>
      <c r="G23" s="24" t="s">
        <v>447</v>
      </c>
    </row>
    <row r="24" spans="1:7">
      <c r="A24" s="28" t="s">
        <v>192</v>
      </c>
      <c r="B24" s="34" t="s">
        <v>65</v>
      </c>
      <c r="C24" s="29" t="s">
        <v>270</v>
      </c>
      <c r="D24" s="30" t="s">
        <v>283</v>
      </c>
      <c r="E24" s="30" t="s">
        <v>470</v>
      </c>
      <c r="F24" s="25">
        <v>65.599999999999994</v>
      </c>
      <c r="G24" s="25" t="s">
        <v>447</v>
      </c>
    </row>
    <row r="25" spans="1:7">
      <c r="A25" s="31" t="s">
        <v>194</v>
      </c>
      <c r="B25" s="34" t="s">
        <v>67</v>
      </c>
      <c r="C25" s="32" t="s">
        <v>270</v>
      </c>
      <c r="D25" s="33" t="s">
        <v>283</v>
      </c>
      <c r="E25" s="33" t="s">
        <v>471</v>
      </c>
      <c r="F25" s="24">
        <v>68.8</v>
      </c>
      <c r="G25" s="24" t="s">
        <v>447</v>
      </c>
    </row>
    <row r="26" spans="1:7">
      <c r="A26" s="28" t="s">
        <v>195</v>
      </c>
      <c r="B26" s="34" t="s">
        <v>68</v>
      </c>
      <c r="C26" s="29" t="s">
        <v>270</v>
      </c>
      <c r="D26" s="30" t="s">
        <v>283</v>
      </c>
      <c r="E26" s="30" t="s">
        <v>471</v>
      </c>
      <c r="F26" s="25">
        <v>68.8</v>
      </c>
      <c r="G26" s="25" t="s">
        <v>447</v>
      </c>
    </row>
    <row r="27" spans="1:7">
      <c r="A27" s="31" t="s">
        <v>318</v>
      </c>
      <c r="B27" s="34" t="s">
        <v>437</v>
      </c>
      <c r="C27" s="32" t="s">
        <v>270</v>
      </c>
      <c r="D27" s="33" t="s">
        <v>283</v>
      </c>
      <c r="E27" s="33" t="s">
        <v>472</v>
      </c>
      <c r="F27" s="24">
        <v>46</v>
      </c>
      <c r="G27" s="24" t="s">
        <v>448</v>
      </c>
    </row>
    <row r="28" spans="1:7" ht="26">
      <c r="A28" s="28" t="s">
        <v>319</v>
      </c>
      <c r="B28" s="34" t="s">
        <v>423</v>
      </c>
      <c r="C28" s="29" t="s">
        <v>270</v>
      </c>
      <c r="D28" s="30" t="s">
        <v>283</v>
      </c>
      <c r="E28" s="30" t="s">
        <v>471</v>
      </c>
      <c r="F28" s="25">
        <v>47.400000000000006</v>
      </c>
      <c r="G28" s="25" t="s">
        <v>448</v>
      </c>
    </row>
    <row r="29" spans="1:7">
      <c r="A29" s="31" t="s">
        <v>199</v>
      </c>
      <c r="B29" s="34" t="s">
        <v>424</v>
      </c>
      <c r="C29" s="32" t="s">
        <v>270</v>
      </c>
      <c r="D29" s="33" t="s">
        <v>283</v>
      </c>
      <c r="E29" s="33" t="s">
        <v>471</v>
      </c>
      <c r="F29" s="24">
        <v>51</v>
      </c>
      <c r="G29" s="24" t="s">
        <v>448</v>
      </c>
    </row>
    <row r="30" spans="1:7">
      <c r="A30" s="28" t="s">
        <v>200</v>
      </c>
      <c r="B30" s="34" t="s">
        <v>425</v>
      </c>
      <c r="C30" s="29" t="s">
        <v>270</v>
      </c>
      <c r="D30" s="30" t="s">
        <v>283</v>
      </c>
      <c r="E30" s="30" t="s">
        <v>473</v>
      </c>
      <c r="F30" s="25">
        <v>65.599999999999994</v>
      </c>
      <c r="G30" s="25" t="s">
        <v>447</v>
      </c>
    </row>
    <row r="31" spans="1:7">
      <c r="A31" s="31" t="s">
        <v>204</v>
      </c>
      <c r="B31" s="34" t="s">
        <v>74</v>
      </c>
      <c r="C31" s="32" t="s">
        <v>271</v>
      </c>
      <c r="D31" s="33" t="s">
        <v>4</v>
      </c>
      <c r="E31" s="33" t="s">
        <v>474</v>
      </c>
      <c r="F31" s="24">
        <v>63.716666666666654</v>
      </c>
      <c r="G31" s="24" t="s">
        <v>447</v>
      </c>
    </row>
    <row r="32" spans="1:7">
      <c r="A32" s="28" t="s">
        <v>218</v>
      </c>
      <c r="B32" s="34" t="s">
        <v>87</v>
      </c>
      <c r="C32" s="29" t="s">
        <v>275</v>
      </c>
      <c r="D32" s="30" t="s">
        <v>283</v>
      </c>
      <c r="E32" s="30" t="s">
        <v>475</v>
      </c>
      <c r="F32" s="25">
        <v>66</v>
      </c>
      <c r="G32" s="25" t="s">
        <v>447</v>
      </c>
    </row>
    <row r="33" spans="1:7">
      <c r="A33" s="31" t="s">
        <v>220</v>
      </c>
      <c r="B33" s="34" t="s">
        <v>89</v>
      </c>
      <c r="C33" s="32" t="s">
        <v>275</v>
      </c>
      <c r="D33" s="33" t="s">
        <v>283</v>
      </c>
      <c r="E33" s="33" t="s">
        <v>476</v>
      </c>
      <c r="F33" s="24">
        <v>49</v>
      </c>
      <c r="G33" s="24" t="s">
        <v>448</v>
      </c>
    </row>
    <row r="34" spans="1:7">
      <c r="A34" s="28" t="s">
        <v>320</v>
      </c>
      <c r="B34" s="34" t="s">
        <v>321</v>
      </c>
      <c r="C34" s="29" t="s">
        <v>275</v>
      </c>
      <c r="D34" s="30" t="s">
        <v>283</v>
      </c>
      <c r="E34" s="30" t="s">
        <v>477</v>
      </c>
      <c r="F34" s="25">
        <v>48.400000000000006</v>
      </c>
      <c r="G34" s="25" t="s">
        <v>448</v>
      </c>
    </row>
    <row r="35" spans="1:7">
      <c r="A35" s="31" t="s">
        <v>322</v>
      </c>
      <c r="B35" s="34" t="s">
        <v>323</v>
      </c>
      <c r="C35" s="32" t="s">
        <v>275</v>
      </c>
      <c r="D35" s="33" t="s">
        <v>283</v>
      </c>
      <c r="E35" s="33" t="s">
        <v>478</v>
      </c>
      <c r="F35" s="24">
        <v>45.8</v>
      </c>
      <c r="G35" s="24" t="s">
        <v>448</v>
      </c>
    </row>
    <row r="36" spans="1:7">
      <c r="A36" s="28" t="s">
        <v>236</v>
      </c>
      <c r="B36" s="34" t="s">
        <v>105</v>
      </c>
      <c r="C36" s="29" t="s">
        <v>277</v>
      </c>
      <c r="D36" s="30" t="s">
        <v>283</v>
      </c>
      <c r="E36" s="30" t="s">
        <v>479</v>
      </c>
      <c r="F36" s="25">
        <v>67</v>
      </c>
      <c r="G36" s="25" t="s">
        <v>447</v>
      </c>
    </row>
    <row r="37" spans="1:7">
      <c r="A37" s="31" t="s">
        <v>237</v>
      </c>
      <c r="B37" s="34" t="s">
        <v>106</v>
      </c>
      <c r="C37" s="32" t="s">
        <v>277</v>
      </c>
      <c r="D37" s="33" t="s">
        <v>283</v>
      </c>
      <c r="E37" s="33" t="s">
        <v>479</v>
      </c>
      <c r="F37" s="24">
        <v>68.199999999999989</v>
      </c>
      <c r="G37" s="24" t="s">
        <v>447</v>
      </c>
    </row>
    <row r="38" spans="1:7">
      <c r="A38" s="28" t="s">
        <v>228</v>
      </c>
      <c r="B38" s="34" t="s">
        <v>97</v>
      </c>
      <c r="C38" s="29" t="s">
        <v>277</v>
      </c>
      <c r="D38" s="30" t="s">
        <v>283</v>
      </c>
      <c r="E38" s="30" t="s">
        <v>479</v>
      </c>
      <c r="F38" s="25">
        <v>63.2</v>
      </c>
      <c r="G38" s="25" t="s">
        <v>447</v>
      </c>
    </row>
    <row r="39" spans="1:7" ht="26">
      <c r="A39" s="31" t="s">
        <v>201</v>
      </c>
      <c r="B39" s="34" t="s">
        <v>420</v>
      </c>
      <c r="C39" s="32" t="s">
        <v>277</v>
      </c>
      <c r="D39" s="33" t="s">
        <v>283</v>
      </c>
      <c r="E39" s="33" t="s">
        <v>479</v>
      </c>
      <c r="F39" s="24">
        <v>51.2</v>
      </c>
      <c r="G39" s="24" t="s">
        <v>448</v>
      </c>
    </row>
    <row r="40" spans="1:7" ht="26">
      <c r="A40" s="28" t="s">
        <v>214</v>
      </c>
      <c r="B40" s="34" t="s">
        <v>421</v>
      </c>
      <c r="C40" s="29" t="s">
        <v>277</v>
      </c>
      <c r="D40" s="30" t="s">
        <v>283</v>
      </c>
      <c r="E40" s="30" t="s">
        <v>480</v>
      </c>
      <c r="F40" s="25">
        <v>45.8</v>
      </c>
      <c r="G40" s="25" t="s">
        <v>448</v>
      </c>
    </row>
    <row r="41" spans="1:7">
      <c r="A41" s="31" t="s">
        <v>244</v>
      </c>
      <c r="B41" s="34" t="s">
        <v>113</v>
      </c>
      <c r="C41" s="32" t="s">
        <v>277</v>
      </c>
      <c r="D41" s="33" t="s">
        <v>283</v>
      </c>
      <c r="E41" s="33" t="s">
        <v>479</v>
      </c>
      <c r="F41" s="24">
        <v>67</v>
      </c>
      <c r="G41" s="24" t="s">
        <v>447</v>
      </c>
    </row>
    <row r="42" spans="1:7">
      <c r="A42" s="28" t="s">
        <v>242</v>
      </c>
      <c r="B42" s="34" t="s">
        <v>111</v>
      </c>
      <c r="C42" s="29" t="s">
        <v>277</v>
      </c>
      <c r="D42" s="30" t="s">
        <v>283</v>
      </c>
      <c r="E42" s="30" t="s">
        <v>479</v>
      </c>
      <c r="F42" s="25">
        <v>66</v>
      </c>
      <c r="G42" s="25" t="s">
        <v>447</v>
      </c>
    </row>
    <row r="43" spans="1:7">
      <c r="A43" s="31" t="s">
        <v>243</v>
      </c>
      <c r="B43" s="34" t="s">
        <v>112</v>
      </c>
      <c r="C43" s="32" t="s">
        <v>277</v>
      </c>
      <c r="D43" s="33" t="s">
        <v>283</v>
      </c>
      <c r="E43" s="33" t="s">
        <v>479</v>
      </c>
      <c r="F43" s="24">
        <v>60.6</v>
      </c>
      <c r="G43" s="24" t="s">
        <v>447</v>
      </c>
    </row>
    <row r="44" spans="1:7">
      <c r="A44" s="28" t="s">
        <v>245</v>
      </c>
      <c r="B44" s="34" t="s">
        <v>415</v>
      </c>
      <c r="C44" s="29" t="s">
        <v>277</v>
      </c>
      <c r="D44" s="30" t="s">
        <v>283</v>
      </c>
      <c r="E44" s="30" t="s">
        <v>464</v>
      </c>
      <c r="F44" s="25">
        <v>48</v>
      </c>
      <c r="G44" s="25" t="s">
        <v>448</v>
      </c>
    </row>
    <row r="45" spans="1:7">
      <c r="A45" s="31" t="s">
        <v>246</v>
      </c>
      <c r="B45" s="34" t="s">
        <v>114</v>
      </c>
      <c r="C45" s="32" t="s">
        <v>277</v>
      </c>
      <c r="D45" s="33" t="s">
        <v>283</v>
      </c>
      <c r="E45" s="33" t="s">
        <v>464</v>
      </c>
      <c r="F45" s="24">
        <v>67.8</v>
      </c>
      <c r="G45" s="24" t="s">
        <v>447</v>
      </c>
    </row>
    <row r="46" spans="1:7" ht="26">
      <c r="A46" s="28" t="s">
        <v>250</v>
      </c>
      <c r="B46" s="34" t="s">
        <v>416</v>
      </c>
      <c r="C46" s="29" t="s">
        <v>277</v>
      </c>
      <c r="D46" s="30" t="s">
        <v>283</v>
      </c>
      <c r="E46" s="30" t="s">
        <v>464</v>
      </c>
      <c r="F46" s="25">
        <v>55</v>
      </c>
      <c r="G46" s="25" t="s">
        <v>448</v>
      </c>
    </row>
    <row r="47" spans="1:7">
      <c r="A47" s="31" t="s">
        <v>251</v>
      </c>
      <c r="B47" s="34" t="s">
        <v>417</v>
      </c>
      <c r="C47" s="32" t="s">
        <v>277</v>
      </c>
      <c r="D47" s="33" t="s">
        <v>283</v>
      </c>
      <c r="E47" s="33" t="s">
        <v>479</v>
      </c>
      <c r="F47" s="24">
        <v>54.8</v>
      </c>
      <c r="G47" s="24" t="s">
        <v>448</v>
      </c>
    </row>
    <row r="48" spans="1:7">
      <c r="A48" s="28" t="s">
        <v>324</v>
      </c>
      <c r="B48" s="34" t="s">
        <v>418</v>
      </c>
      <c r="C48" s="29" t="s">
        <v>277</v>
      </c>
      <c r="D48" s="30" t="s">
        <v>283</v>
      </c>
      <c r="E48" s="30" t="s">
        <v>479</v>
      </c>
      <c r="F48" s="25">
        <v>52.2</v>
      </c>
      <c r="G48" s="25" t="s">
        <v>448</v>
      </c>
    </row>
    <row r="49" spans="1:7">
      <c r="A49" s="31" t="s">
        <v>325</v>
      </c>
      <c r="B49" s="34" t="s">
        <v>419</v>
      </c>
      <c r="C49" s="32" t="s">
        <v>277</v>
      </c>
      <c r="D49" s="33" t="s">
        <v>283</v>
      </c>
      <c r="E49" s="33" t="s">
        <v>479</v>
      </c>
      <c r="F49" s="24">
        <v>50</v>
      </c>
      <c r="G49" s="24" t="s">
        <v>448</v>
      </c>
    </row>
    <row r="50" spans="1:7" ht="26">
      <c r="A50" s="28" t="s">
        <v>326</v>
      </c>
      <c r="B50" s="34" t="s">
        <v>430</v>
      </c>
      <c r="C50" s="29" t="s">
        <v>277</v>
      </c>
      <c r="D50" s="30" t="s">
        <v>283</v>
      </c>
      <c r="E50" s="30" t="s">
        <v>481</v>
      </c>
      <c r="F50" s="25">
        <v>49.4</v>
      </c>
      <c r="G50" s="25" t="s">
        <v>448</v>
      </c>
    </row>
    <row r="51" spans="1:7">
      <c r="A51" s="31" t="s">
        <v>259</v>
      </c>
      <c r="B51" s="34" t="s">
        <v>124</v>
      </c>
      <c r="C51" s="32" t="s">
        <v>280</v>
      </c>
      <c r="D51" s="33" t="s">
        <v>281</v>
      </c>
      <c r="E51" s="33" t="s">
        <v>482</v>
      </c>
      <c r="F51" s="24">
        <v>66.099999999999994</v>
      </c>
      <c r="G51" s="26" t="s">
        <v>447</v>
      </c>
    </row>
    <row r="52" spans="1:7">
      <c r="A52" s="28" t="s">
        <v>262</v>
      </c>
      <c r="B52" s="34" t="s">
        <v>127</v>
      </c>
      <c r="C52" s="29" t="s">
        <v>280</v>
      </c>
      <c r="D52" s="30" t="s">
        <v>293</v>
      </c>
      <c r="E52" s="30" t="s">
        <v>482</v>
      </c>
      <c r="F52" s="25">
        <v>69</v>
      </c>
      <c r="G52" s="27" t="s">
        <v>447</v>
      </c>
    </row>
    <row r="53" spans="1:7" ht="26">
      <c r="A53" s="31" t="s">
        <v>263</v>
      </c>
      <c r="B53" s="34" t="s">
        <v>128</v>
      </c>
      <c r="C53" s="32" t="s">
        <v>280</v>
      </c>
      <c r="D53" s="33" t="s">
        <v>303</v>
      </c>
      <c r="E53" s="33" t="s">
        <v>483</v>
      </c>
      <c r="F53" s="24">
        <v>67.7</v>
      </c>
      <c r="G53" s="26" t="s">
        <v>447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3"/>
  <sheetViews>
    <sheetView topLeftCell="A4" workbookViewId="0">
      <selection activeCell="A3" sqref="A3"/>
    </sheetView>
  </sheetViews>
  <sheetFormatPr defaultRowHeight="17"/>
  <cols>
    <col min="1" max="1" width="13.81640625" bestFit="1" customWidth="1"/>
    <col min="2" max="2" width="10.36328125" bestFit="1" customWidth="1"/>
    <col min="3" max="5" width="3.453125" bestFit="1" customWidth="1"/>
    <col min="6" max="6" width="2.6328125" bestFit="1" customWidth="1"/>
    <col min="7" max="7" width="7.453125" bestFit="1" customWidth="1"/>
    <col min="8" max="8" width="5.81640625" bestFit="1" customWidth="1"/>
    <col min="9" max="18" width="10.36328125" bestFit="1" customWidth="1"/>
    <col min="19" max="19" width="5.81640625" customWidth="1"/>
  </cols>
  <sheetData>
    <row r="3" spans="1:8">
      <c r="A3" s="15" t="s">
        <v>510</v>
      </c>
      <c r="B3" s="15" t="s">
        <v>450</v>
      </c>
    </row>
    <row r="4" spans="1:8">
      <c r="A4" s="15" t="s">
        <v>443</v>
      </c>
      <c r="B4" t="s">
        <v>449</v>
      </c>
      <c r="C4" t="s">
        <v>445</v>
      </c>
      <c r="D4" t="s">
        <v>446</v>
      </c>
      <c r="E4" t="s">
        <v>447</v>
      </c>
      <c r="F4" t="s">
        <v>448</v>
      </c>
      <c r="G4" t="s">
        <v>509</v>
      </c>
      <c r="H4" t="s">
        <v>444</v>
      </c>
    </row>
    <row r="5" spans="1:8">
      <c r="A5" s="16" t="s">
        <v>277</v>
      </c>
      <c r="B5" s="17"/>
      <c r="C5" s="17">
        <v>6</v>
      </c>
      <c r="D5" s="17">
        <v>9</v>
      </c>
      <c r="E5" s="17">
        <v>7</v>
      </c>
      <c r="F5" s="17">
        <v>2</v>
      </c>
      <c r="G5" s="17"/>
      <c r="H5" s="17">
        <v>24</v>
      </c>
    </row>
    <row r="6" spans="1:8">
      <c r="A6" s="16" t="s">
        <v>267</v>
      </c>
      <c r="B6" s="17"/>
      <c r="C6" s="17">
        <v>1</v>
      </c>
      <c r="D6" s="17">
        <v>4</v>
      </c>
      <c r="E6" s="17">
        <v>1</v>
      </c>
      <c r="F6" s="17"/>
      <c r="G6" s="17"/>
      <c r="H6" s="17">
        <v>6</v>
      </c>
    </row>
    <row r="7" spans="1:8">
      <c r="A7" s="16" t="s">
        <v>271</v>
      </c>
      <c r="B7" s="17"/>
      <c r="C7" s="17">
        <v>1</v>
      </c>
      <c r="D7" s="17">
        <v>2</v>
      </c>
      <c r="E7" s="17">
        <v>1</v>
      </c>
      <c r="F7" s="17"/>
      <c r="G7" s="17"/>
      <c r="H7" s="17">
        <v>4</v>
      </c>
    </row>
    <row r="8" spans="1:8">
      <c r="A8" s="16" t="s">
        <v>276</v>
      </c>
      <c r="B8" s="17"/>
      <c r="C8" s="17">
        <v>2</v>
      </c>
      <c r="D8" s="17">
        <v>2</v>
      </c>
      <c r="E8" s="17"/>
      <c r="F8" s="17"/>
      <c r="G8" s="17"/>
      <c r="H8" s="17">
        <v>4</v>
      </c>
    </row>
    <row r="9" spans="1:8">
      <c r="A9" s="16" t="s">
        <v>268</v>
      </c>
      <c r="B9" s="17"/>
      <c r="C9" s="17">
        <v>2</v>
      </c>
      <c r="D9" s="17">
        <v>2</v>
      </c>
      <c r="E9" s="17"/>
      <c r="F9" s="17"/>
      <c r="G9" s="17"/>
      <c r="H9" s="17">
        <v>4</v>
      </c>
    </row>
    <row r="10" spans="1:8">
      <c r="A10" s="16" t="s">
        <v>266</v>
      </c>
      <c r="B10" s="17"/>
      <c r="C10" s="17">
        <v>2</v>
      </c>
      <c r="D10" s="17">
        <v>7</v>
      </c>
      <c r="E10" s="17">
        <v>3</v>
      </c>
      <c r="F10" s="17">
        <v>1</v>
      </c>
      <c r="G10" s="17"/>
      <c r="H10" s="17">
        <v>13</v>
      </c>
    </row>
    <row r="11" spans="1:8">
      <c r="A11" s="16" t="s">
        <v>270</v>
      </c>
      <c r="B11" s="17"/>
      <c r="C11" s="17">
        <v>2</v>
      </c>
      <c r="D11" s="17">
        <v>3</v>
      </c>
      <c r="E11" s="17">
        <v>4</v>
      </c>
      <c r="F11" s="17"/>
      <c r="G11" s="17"/>
      <c r="H11" s="17">
        <v>9</v>
      </c>
    </row>
    <row r="12" spans="1:8">
      <c r="A12" s="16" t="s">
        <v>275</v>
      </c>
      <c r="B12" s="17"/>
      <c r="C12" s="17">
        <v>3</v>
      </c>
      <c r="D12" s="17">
        <v>4</v>
      </c>
      <c r="E12" s="17">
        <v>1</v>
      </c>
      <c r="F12" s="17">
        <v>3</v>
      </c>
      <c r="G12" s="17"/>
      <c r="H12" s="17">
        <v>11</v>
      </c>
    </row>
    <row r="13" spans="1:8">
      <c r="A13" s="16" t="s">
        <v>265</v>
      </c>
      <c r="B13" s="17"/>
      <c r="C13" s="17">
        <v>3</v>
      </c>
      <c r="D13" s="17">
        <v>7</v>
      </c>
      <c r="E13" s="17">
        <v>7</v>
      </c>
      <c r="F13" s="17">
        <v>3</v>
      </c>
      <c r="G13" s="17"/>
      <c r="H13" s="17">
        <v>20</v>
      </c>
    </row>
    <row r="14" spans="1:8">
      <c r="A14" s="16" t="s">
        <v>264</v>
      </c>
      <c r="B14" s="17"/>
      <c r="C14" s="17">
        <v>2</v>
      </c>
      <c r="D14" s="17">
        <v>1</v>
      </c>
      <c r="E14" s="17"/>
      <c r="F14" s="17"/>
      <c r="G14" s="17"/>
      <c r="H14" s="17">
        <v>3</v>
      </c>
    </row>
    <row r="15" spans="1:8">
      <c r="A15" s="16" t="s">
        <v>278</v>
      </c>
      <c r="B15" s="17"/>
      <c r="C15" s="17"/>
      <c r="D15" s="17"/>
      <c r="E15" s="17"/>
      <c r="F15" s="17"/>
      <c r="G15" s="17"/>
      <c r="H15" s="17"/>
    </row>
    <row r="16" spans="1:8">
      <c r="A16" s="16" t="s">
        <v>269</v>
      </c>
      <c r="B16" s="17"/>
      <c r="C16" s="17">
        <v>4</v>
      </c>
      <c r="D16" s="17">
        <v>5</v>
      </c>
      <c r="E16" s="17">
        <v>6</v>
      </c>
      <c r="F16" s="17"/>
      <c r="G16" s="17"/>
      <c r="H16" s="17">
        <v>15</v>
      </c>
    </row>
    <row r="17" spans="1:8">
      <c r="A17" s="16" t="s">
        <v>272</v>
      </c>
      <c r="B17" s="17"/>
      <c r="C17" s="17">
        <v>2</v>
      </c>
      <c r="D17" s="17">
        <v>1</v>
      </c>
      <c r="E17" s="17"/>
      <c r="F17" s="17"/>
      <c r="G17" s="17"/>
      <c r="H17" s="17">
        <v>3</v>
      </c>
    </row>
    <row r="18" spans="1:8">
      <c r="A18" s="16" t="s">
        <v>274</v>
      </c>
      <c r="B18" s="17"/>
      <c r="C18" s="17">
        <v>1</v>
      </c>
      <c r="D18" s="17">
        <v>1</v>
      </c>
      <c r="E18" s="17"/>
      <c r="F18" s="17"/>
      <c r="G18" s="17"/>
      <c r="H18" s="17">
        <v>2</v>
      </c>
    </row>
    <row r="19" spans="1:8">
      <c r="A19" s="16" t="s">
        <v>273</v>
      </c>
      <c r="B19" s="17"/>
      <c r="C19" s="17"/>
      <c r="D19" s="17">
        <v>1</v>
      </c>
      <c r="E19" s="17"/>
      <c r="F19" s="17"/>
      <c r="G19" s="17"/>
      <c r="H19" s="17">
        <v>1</v>
      </c>
    </row>
    <row r="20" spans="1:8">
      <c r="A20" s="16" t="s">
        <v>280</v>
      </c>
      <c r="B20" s="17"/>
      <c r="C20" s="17"/>
      <c r="D20" s="17">
        <v>2</v>
      </c>
      <c r="E20" s="17">
        <v>3</v>
      </c>
      <c r="F20" s="17"/>
      <c r="G20" s="17"/>
      <c r="H20" s="17">
        <v>5</v>
      </c>
    </row>
    <row r="21" spans="1:8">
      <c r="A21" s="16" t="s">
        <v>279</v>
      </c>
      <c r="B21" s="17">
        <v>1</v>
      </c>
      <c r="C21" s="17"/>
      <c r="D21" s="17"/>
      <c r="E21" s="17"/>
      <c r="F21" s="17"/>
      <c r="G21" s="17"/>
      <c r="H21" s="17">
        <v>1</v>
      </c>
    </row>
    <row r="22" spans="1:8">
      <c r="A22" s="16" t="s">
        <v>509</v>
      </c>
      <c r="B22" s="17"/>
      <c r="C22" s="17"/>
      <c r="D22" s="17"/>
      <c r="E22" s="17"/>
      <c r="F22" s="17"/>
      <c r="G22" s="17"/>
      <c r="H22" s="17"/>
    </row>
    <row r="23" spans="1:8">
      <c r="A23" s="16" t="s">
        <v>444</v>
      </c>
      <c r="B23" s="17">
        <v>1</v>
      </c>
      <c r="C23" s="17">
        <v>31</v>
      </c>
      <c r="D23" s="17">
        <v>51</v>
      </c>
      <c r="E23" s="17">
        <v>33</v>
      </c>
      <c r="F23" s="17">
        <v>9</v>
      </c>
      <c r="G23" s="17"/>
      <c r="H23" s="17">
        <v>125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6"/>
  <sheetViews>
    <sheetView showGridLines="0" topLeftCell="C1" zoomScale="80" zoomScaleNormal="80" workbookViewId="0">
      <selection activeCell="C1" sqref="C1:K1048576"/>
    </sheetView>
  </sheetViews>
  <sheetFormatPr defaultRowHeight="14"/>
  <cols>
    <col min="1" max="1" width="11" style="10" hidden="1" customWidth="1"/>
    <col min="2" max="2" width="9.1796875" style="2" hidden="1" customWidth="1"/>
    <col min="3" max="5" width="8.7265625" style="2"/>
    <col min="6" max="6" width="10.453125" style="2" hidden="1" customWidth="1"/>
    <col min="7" max="7" width="15.7265625" style="38" hidden="1" customWidth="1"/>
    <col min="8" max="8" width="10.453125" style="43" hidden="1" customWidth="1"/>
    <col min="9" max="9" width="12.54296875" style="43" hidden="1" customWidth="1"/>
    <col min="10" max="10" width="20.90625" style="37" customWidth="1"/>
    <col min="11" max="11" width="14.1796875" style="10" customWidth="1"/>
    <col min="12" max="12" width="15.36328125" style="10" hidden="1" customWidth="1"/>
    <col min="13" max="13" width="17.36328125" style="2" hidden="1" customWidth="1"/>
    <col min="14" max="14" width="13.6328125" style="10" hidden="1" customWidth="1"/>
    <col min="15" max="15" width="27" style="10" hidden="1" customWidth="1"/>
    <col min="16" max="16" width="14" style="10" hidden="1" customWidth="1"/>
    <col min="17" max="22" width="14" style="2" hidden="1" customWidth="1"/>
    <col min="23" max="23" width="12.54296875" style="38" hidden="1" customWidth="1"/>
    <col min="24" max="24" width="0" style="2" hidden="1" customWidth="1"/>
    <col min="25" max="16384" width="8.7265625" style="2"/>
  </cols>
  <sheetData>
    <row r="1" spans="1:24">
      <c r="A1" s="10" t="s">
        <v>333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328</v>
      </c>
      <c r="G1" s="40" t="s">
        <v>489</v>
      </c>
      <c r="H1" s="42" t="s">
        <v>485</v>
      </c>
      <c r="I1" s="42" t="s">
        <v>487</v>
      </c>
      <c r="J1" s="35" t="s">
        <v>304</v>
      </c>
      <c r="K1" s="11" t="s">
        <v>486</v>
      </c>
      <c r="L1" s="11" t="s">
        <v>488</v>
      </c>
      <c r="M1" s="11" t="s">
        <v>307</v>
      </c>
      <c r="N1" s="11" t="s">
        <v>305</v>
      </c>
      <c r="O1" s="11" t="s">
        <v>306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414</v>
      </c>
      <c r="V1" s="1" t="s">
        <v>308</v>
      </c>
      <c r="W1" s="38" t="s">
        <v>484</v>
      </c>
    </row>
    <row r="2" spans="1:24" ht="30" customHeight="1">
      <c r="A2" s="10" t="s">
        <v>384</v>
      </c>
      <c r="B2" s="44" t="s">
        <v>493</v>
      </c>
      <c r="C2" s="4" t="s">
        <v>6</v>
      </c>
      <c r="D2" s="6" t="s">
        <v>264</v>
      </c>
      <c r="E2" s="4" t="s">
        <v>281</v>
      </c>
      <c r="F2" s="4" t="s">
        <v>310</v>
      </c>
      <c r="G2" s="41" t="e">
        <f>表格1_14[[#This Row],[加權後總分]]-表格1_14[[#This Row],[獎懲分數]]</f>
        <v>#DIV/0!</v>
      </c>
      <c r="H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" s="39" t="e">
        <f t="shared" ref="I2:I33" si="0">_xlfn.RANK.EQ(G2,$G$2:$G$146,0)</f>
        <v>#DIV/0!</v>
      </c>
      <c r="J2" s="36" t="e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>#DIV/0!</v>
      </c>
      <c r="K2" s="8" t="e">
        <f t="shared" ref="K2:K47" si="1">IF(J2&gt;=90,"A",
 IF(J2&gt;=77,"B",
 IF(J2&gt;=70,"C",
 IF(J2&gt;=60,"D","E"))))</f>
        <v>#DIV/0!</v>
      </c>
      <c r="L2" s="8" t="e">
        <f t="shared" ref="L2:L47" si="2">_xlfn.RANK.EQ(J2,$J$2:$J$146,0)</f>
        <v>#DIV/0!</v>
      </c>
      <c r="M2" s="8" t="e">
        <f>表格1_3[[#This Row],[部內平均]]</f>
        <v>#DIV/0!</v>
      </c>
      <c r="N2" s="8" t="e">
        <f>表格1_3[[#This Row],[共評平均]]</f>
        <v>#DIV/0!</v>
      </c>
      <c r="O2" s="8" t="e">
        <f>表格1_3[[#This Row],[複評平均]]</f>
        <v>#DIV/0!</v>
      </c>
      <c r="P2" s="3"/>
      <c r="Q2" s="3"/>
      <c r="R2" s="3"/>
      <c r="S2" s="3"/>
      <c r="T2" s="3"/>
      <c r="U2" s="3"/>
      <c r="V2" s="3"/>
      <c r="W2" s="38" t="e">
        <v>#DIV/0!</v>
      </c>
    </row>
    <row r="3" spans="1:24">
      <c r="A3" s="10" t="s">
        <v>383</v>
      </c>
      <c r="B3" s="5" t="s">
        <v>130</v>
      </c>
      <c r="C3" s="4" t="s">
        <v>309</v>
      </c>
      <c r="D3" s="6" t="s">
        <v>264</v>
      </c>
      <c r="E3" s="4" t="s">
        <v>282</v>
      </c>
      <c r="F3" s="4" t="s">
        <v>310</v>
      </c>
      <c r="G3" s="41" t="e">
        <f>表格1_14[[#This Row],[加權後總分]]-表格1_14[[#This Row],[獎懲分數]]</f>
        <v>#DIV/0!</v>
      </c>
      <c r="H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" s="39" t="e">
        <f t="shared" si="0"/>
        <v>#DIV/0!</v>
      </c>
      <c r="J3" s="36" t="e">
        <f t="shared" ref="J3:J45" si="3"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>#DIV/0!</v>
      </c>
      <c r="K3" s="8" t="e">
        <f t="shared" si="1"/>
        <v>#DIV/0!</v>
      </c>
      <c r="L3" s="8" t="e">
        <f t="shared" si="2"/>
        <v>#DIV/0!</v>
      </c>
      <c r="M3" s="8" t="e">
        <f>表格1_3[[#This Row],[部內平均]]</f>
        <v>#DIV/0!</v>
      </c>
      <c r="N3" s="8" t="e">
        <f>表格1_3[[#This Row],[共評平均]]</f>
        <v>#DIV/0!</v>
      </c>
      <c r="O3" s="8" t="e">
        <f>表格1_3[[#This Row],[複評平均]]</f>
        <v>#DIV/0!</v>
      </c>
      <c r="P3" s="3"/>
      <c r="Q3" s="3"/>
      <c r="R3" s="3"/>
      <c r="S3" s="3"/>
      <c r="T3" s="3"/>
      <c r="U3" s="3"/>
      <c r="V3" s="3"/>
      <c r="W3" s="38">
        <v>109.61904761904762</v>
      </c>
      <c r="X3" s="2">
        <v>1</v>
      </c>
    </row>
    <row r="4" spans="1:24">
      <c r="A4" s="10" t="s">
        <v>382</v>
      </c>
      <c r="B4" s="5" t="s">
        <v>131</v>
      </c>
      <c r="C4" s="4" t="s">
        <v>310</v>
      </c>
      <c r="D4" s="6" t="s">
        <v>264</v>
      </c>
      <c r="E4" s="4" t="s">
        <v>5</v>
      </c>
      <c r="F4" s="4" t="s">
        <v>119</v>
      </c>
      <c r="G4" s="41" t="e">
        <f>表格1_14[[#This Row],[加權後總分]]-表格1_14[[#This Row],[獎懲分數]]</f>
        <v>#DIV/0!</v>
      </c>
      <c r="H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" s="39" t="e">
        <f t="shared" si="0"/>
        <v>#DIV/0!</v>
      </c>
      <c r="J4" s="36" t="e">
        <f t="shared" si="3"/>
        <v>#DIV/0!</v>
      </c>
      <c r="K4" s="8" t="e">
        <f t="shared" si="1"/>
        <v>#DIV/0!</v>
      </c>
      <c r="L4" s="8" t="e">
        <f t="shared" si="2"/>
        <v>#DIV/0!</v>
      </c>
      <c r="M4" s="8" t="e">
        <f>表格1_3[[#This Row],[部內平均]]</f>
        <v>#DIV/0!</v>
      </c>
      <c r="N4" s="8" t="e">
        <f>表格1_3[[#This Row],[共評平均]]</f>
        <v>#DIV/0!</v>
      </c>
      <c r="O4" s="8"/>
      <c r="P4" s="3"/>
      <c r="Q4" s="3"/>
      <c r="R4" s="3"/>
      <c r="S4" s="3"/>
      <c r="T4" s="3"/>
      <c r="U4" s="3"/>
      <c r="V4" s="3"/>
      <c r="W4" s="38">
        <v>87.6</v>
      </c>
      <c r="X4" s="2">
        <v>2</v>
      </c>
    </row>
    <row r="5" spans="1:24" ht="26">
      <c r="A5" s="10" t="s">
        <v>335</v>
      </c>
      <c r="B5" s="5" t="s">
        <v>133</v>
      </c>
      <c r="C5" s="4" t="s">
        <v>7</v>
      </c>
      <c r="D5" s="6" t="s">
        <v>265</v>
      </c>
      <c r="E5" s="4" t="s">
        <v>284</v>
      </c>
      <c r="F5" s="4" t="s">
        <v>313</v>
      </c>
      <c r="G5" s="41" t="e">
        <f>表格1_14[[#This Row],[加權後總分]]-表格1_14[[#This Row],[獎懲分數]]</f>
        <v>#DIV/0!</v>
      </c>
      <c r="H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" s="39" t="e">
        <f t="shared" si="0"/>
        <v>#DIV/0!</v>
      </c>
      <c r="J5" s="36" t="e">
        <f t="shared" si="3"/>
        <v>#DIV/0!</v>
      </c>
      <c r="K5" s="8" t="e">
        <f t="shared" si="1"/>
        <v>#DIV/0!</v>
      </c>
      <c r="L5" s="8" t="e">
        <f t="shared" si="2"/>
        <v>#DIV/0!</v>
      </c>
      <c r="M5" s="8" t="e">
        <f>表格1_3[[#This Row],[部內平均]]</f>
        <v>#DIV/0!</v>
      </c>
      <c r="N5" s="8"/>
      <c r="O5" s="8" t="e">
        <f>表格1_3[[#This Row],[複評平均]]</f>
        <v>#DIV/0!</v>
      </c>
      <c r="P5" s="3"/>
      <c r="Q5" s="3"/>
      <c r="R5" s="3"/>
      <c r="S5" s="3"/>
      <c r="T5" s="3"/>
      <c r="U5" s="3"/>
      <c r="V5" s="3"/>
      <c r="W5" s="38">
        <v>87.2</v>
      </c>
      <c r="X5" s="2">
        <v>3</v>
      </c>
    </row>
    <row r="6" spans="1:24">
      <c r="A6" s="10" t="s">
        <v>396</v>
      </c>
      <c r="B6" s="5" t="s">
        <v>311</v>
      </c>
      <c r="C6" s="14" t="s">
        <v>434</v>
      </c>
      <c r="D6" s="6" t="s">
        <v>265</v>
      </c>
      <c r="E6" s="4" t="s">
        <v>283</v>
      </c>
      <c r="F6" s="4" t="s">
        <v>313</v>
      </c>
      <c r="G6" s="41" t="e">
        <f>表格1_14[[#This Row],[加權後總分]]-表格1_14[[#This Row],[獎懲分數]]</f>
        <v>#DIV/0!</v>
      </c>
      <c r="H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" s="39" t="e">
        <f t="shared" si="0"/>
        <v>#DIV/0!</v>
      </c>
      <c r="J6" s="36" t="e">
        <f t="shared" si="3"/>
        <v>#DIV/0!</v>
      </c>
      <c r="K6" s="8" t="e">
        <f t="shared" si="1"/>
        <v>#DIV/0!</v>
      </c>
      <c r="L6" s="8" t="e">
        <f t="shared" si="2"/>
        <v>#DIV/0!</v>
      </c>
      <c r="M6" s="8" t="e">
        <f>表格1_3[[#This Row],[部內平均]]</f>
        <v>#DIV/0!</v>
      </c>
      <c r="N6" s="8"/>
      <c r="O6" s="8" t="e">
        <f>表格1_3[[#This Row],[複評平均]]</f>
        <v>#DIV/0!</v>
      </c>
      <c r="P6" s="3"/>
      <c r="Q6" s="3"/>
      <c r="R6" s="3"/>
      <c r="S6" s="3"/>
      <c r="T6" s="3"/>
      <c r="U6" s="3"/>
      <c r="V6" s="3"/>
      <c r="W6" s="38">
        <v>86</v>
      </c>
      <c r="X6" s="2">
        <v>4</v>
      </c>
    </row>
    <row r="7" spans="1:24">
      <c r="A7" s="10" t="s">
        <v>396</v>
      </c>
      <c r="B7" s="5" t="s">
        <v>136</v>
      </c>
      <c r="C7" s="13" t="s">
        <v>10</v>
      </c>
      <c r="D7" s="6" t="s">
        <v>265</v>
      </c>
      <c r="E7" s="4" t="s">
        <v>283</v>
      </c>
      <c r="F7" s="4" t="s">
        <v>313</v>
      </c>
      <c r="G7" s="41" t="e">
        <f>表格1_14[[#This Row],[加權後總分]]-表格1_14[[#This Row],[獎懲分數]]</f>
        <v>#DIV/0!</v>
      </c>
      <c r="H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7" s="39" t="e">
        <f t="shared" si="0"/>
        <v>#DIV/0!</v>
      </c>
      <c r="J7" s="36" t="e">
        <f t="shared" si="3"/>
        <v>#DIV/0!</v>
      </c>
      <c r="K7" s="8" t="e">
        <f t="shared" si="1"/>
        <v>#DIV/0!</v>
      </c>
      <c r="L7" s="8" t="e">
        <f t="shared" si="2"/>
        <v>#DIV/0!</v>
      </c>
      <c r="M7" s="8" t="e">
        <f>表格1_3[[#This Row],[部內平均]]</f>
        <v>#DIV/0!</v>
      </c>
      <c r="N7" s="8"/>
      <c r="O7" s="8" t="e">
        <f>表格1_3[[#This Row],[複評平均]]</f>
        <v>#DIV/0!</v>
      </c>
      <c r="P7" s="3"/>
      <c r="Q7" s="3"/>
      <c r="R7" s="3"/>
      <c r="S7" s="3"/>
      <c r="T7" s="3"/>
      <c r="U7" s="3"/>
      <c r="V7" s="3"/>
      <c r="W7" s="38">
        <v>85.8</v>
      </c>
      <c r="X7" s="2">
        <v>5</v>
      </c>
    </row>
    <row r="8" spans="1:24">
      <c r="A8" s="10" t="s">
        <v>396</v>
      </c>
      <c r="B8" s="5" t="s">
        <v>137</v>
      </c>
      <c r="C8" s="13" t="s">
        <v>11</v>
      </c>
      <c r="D8" s="6" t="s">
        <v>265</v>
      </c>
      <c r="E8" s="4" t="s">
        <v>283</v>
      </c>
      <c r="F8" s="4" t="s">
        <v>313</v>
      </c>
      <c r="G8" s="41" t="e">
        <f>表格1_14[[#This Row],[加權後總分]]-表格1_14[[#This Row],[獎懲分數]]</f>
        <v>#DIV/0!</v>
      </c>
      <c r="H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" s="39" t="e">
        <f t="shared" si="0"/>
        <v>#DIV/0!</v>
      </c>
      <c r="J8" s="36" t="e">
        <f t="shared" si="3"/>
        <v>#DIV/0!</v>
      </c>
      <c r="K8" s="8" t="e">
        <f t="shared" si="1"/>
        <v>#DIV/0!</v>
      </c>
      <c r="L8" s="8" t="e">
        <f t="shared" si="2"/>
        <v>#DIV/0!</v>
      </c>
      <c r="M8" s="8" t="e">
        <f>表格1_3[[#This Row],[部內平均]]</f>
        <v>#DIV/0!</v>
      </c>
      <c r="N8" s="8"/>
      <c r="O8" s="8" t="e">
        <f>表格1_3[[#This Row],[複評平均]]</f>
        <v>#DIV/0!</v>
      </c>
      <c r="P8" s="3"/>
      <c r="Q8" s="3"/>
      <c r="R8" s="3"/>
      <c r="S8" s="3"/>
      <c r="T8" s="3"/>
      <c r="U8" s="3"/>
      <c r="V8" s="3"/>
      <c r="W8" s="38">
        <v>84.86666666666666</v>
      </c>
      <c r="X8" s="2">
        <v>6</v>
      </c>
    </row>
    <row r="9" spans="1:24">
      <c r="A9" s="10" t="s">
        <v>396</v>
      </c>
      <c r="B9" s="5" t="s">
        <v>138</v>
      </c>
      <c r="C9" s="4" t="s">
        <v>12</v>
      </c>
      <c r="D9" s="6" t="s">
        <v>265</v>
      </c>
      <c r="E9" s="4" t="s">
        <v>283</v>
      </c>
      <c r="F9" s="4" t="s">
        <v>93</v>
      </c>
      <c r="G9" s="41" t="e">
        <f>表格1_14[[#This Row],[加權後總分]]-表格1_14[[#This Row],[獎懲分數]]</f>
        <v>#DIV/0!</v>
      </c>
      <c r="H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" s="39" t="e">
        <f t="shared" si="0"/>
        <v>#DIV/0!</v>
      </c>
      <c r="J9" s="36" t="e">
        <f t="shared" si="3"/>
        <v>#DIV/0!</v>
      </c>
      <c r="K9" s="8" t="e">
        <f t="shared" si="1"/>
        <v>#DIV/0!</v>
      </c>
      <c r="L9" s="8" t="e">
        <f t="shared" si="2"/>
        <v>#DIV/0!</v>
      </c>
      <c r="M9" s="8" t="e">
        <f>表格1_3[[#This Row],[部內平均]]</f>
        <v>#DIV/0!</v>
      </c>
      <c r="N9" s="8"/>
      <c r="O9" s="8" t="e">
        <f>表格1_3[[#This Row],[複評平均]]</f>
        <v>#DIV/0!</v>
      </c>
      <c r="P9" s="3"/>
      <c r="Q9" s="3"/>
      <c r="R9" s="3"/>
      <c r="S9" s="3"/>
      <c r="T9" s="3"/>
      <c r="U9" s="3"/>
      <c r="V9" s="3"/>
      <c r="W9" s="38">
        <v>84.8</v>
      </c>
      <c r="X9" s="2">
        <v>7</v>
      </c>
    </row>
    <row r="10" spans="1:24">
      <c r="A10" s="10" t="s">
        <v>396</v>
      </c>
      <c r="B10" s="5" t="s">
        <v>139</v>
      </c>
      <c r="C10" s="4" t="s">
        <v>13</v>
      </c>
      <c r="D10" s="6" t="s">
        <v>265</v>
      </c>
      <c r="E10" s="4" t="s">
        <v>283</v>
      </c>
      <c r="F10" s="4" t="s">
        <v>93</v>
      </c>
      <c r="G10" s="41" t="e">
        <f>表格1_14[[#This Row],[加權後總分]]-表格1_14[[#This Row],[獎懲分數]]</f>
        <v>#DIV/0!</v>
      </c>
      <c r="H1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" s="39" t="e">
        <f t="shared" si="0"/>
        <v>#DIV/0!</v>
      </c>
      <c r="J10" s="36" t="e">
        <f t="shared" si="3"/>
        <v>#DIV/0!</v>
      </c>
      <c r="K10" s="8" t="e">
        <f t="shared" si="1"/>
        <v>#DIV/0!</v>
      </c>
      <c r="L10" s="8" t="e">
        <f t="shared" si="2"/>
        <v>#DIV/0!</v>
      </c>
      <c r="M10" s="8" t="e">
        <f>表格1_3[[#This Row],[部內平均]]</f>
        <v>#DIV/0!</v>
      </c>
      <c r="N10" s="8"/>
      <c r="O10" s="8" t="e">
        <f>表格1_3[[#This Row],[複評平均]]</f>
        <v>#DIV/0!</v>
      </c>
      <c r="P10" s="3"/>
      <c r="Q10" s="3"/>
      <c r="R10" s="3"/>
      <c r="S10" s="3"/>
      <c r="T10" s="3"/>
      <c r="U10" s="3"/>
      <c r="V10" s="3"/>
      <c r="W10" s="38">
        <v>83.8</v>
      </c>
      <c r="X10" s="2">
        <v>8</v>
      </c>
    </row>
    <row r="11" spans="1:24">
      <c r="A11" s="10" t="s">
        <v>396</v>
      </c>
      <c r="B11" s="5" t="s">
        <v>132</v>
      </c>
      <c r="C11" s="4" t="s">
        <v>312</v>
      </c>
      <c r="D11" s="6" t="s">
        <v>265</v>
      </c>
      <c r="E11" s="4" t="s">
        <v>283</v>
      </c>
      <c r="F11" s="4" t="s">
        <v>313</v>
      </c>
      <c r="G11" s="41" t="e">
        <f>表格1_14[[#This Row],[加權後總分]]-表格1_14[[#This Row],[獎懲分數]]</f>
        <v>#DIV/0!</v>
      </c>
      <c r="H1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" s="39" t="e">
        <f t="shared" si="0"/>
        <v>#DIV/0!</v>
      </c>
      <c r="J11" s="36" t="e">
        <f t="shared" si="3"/>
        <v>#DIV/0!</v>
      </c>
      <c r="K11" s="8" t="e">
        <f t="shared" si="1"/>
        <v>#DIV/0!</v>
      </c>
      <c r="L11" s="8" t="e">
        <f t="shared" si="2"/>
        <v>#DIV/0!</v>
      </c>
      <c r="M11" s="8" t="e">
        <f>表格1_3[[#This Row],[部內平均]]</f>
        <v>#DIV/0!</v>
      </c>
      <c r="N11" s="8"/>
      <c r="O11" s="8" t="e">
        <f>表格1_3[[#This Row],[複評平均]]</f>
        <v>#DIV/0!</v>
      </c>
      <c r="P11" s="3"/>
      <c r="Q11" s="3"/>
      <c r="R11" s="3"/>
      <c r="S11" s="3"/>
      <c r="T11" s="3"/>
      <c r="U11" s="3"/>
      <c r="V11" s="3"/>
      <c r="W11" s="38">
        <v>83.8</v>
      </c>
      <c r="X11" s="2">
        <v>9</v>
      </c>
    </row>
    <row r="12" spans="1:24">
      <c r="A12" s="10" t="s">
        <v>396</v>
      </c>
      <c r="B12" s="5" t="s">
        <v>144</v>
      </c>
      <c r="C12" s="4" t="s">
        <v>18</v>
      </c>
      <c r="D12" s="6" t="s">
        <v>265</v>
      </c>
      <c r="E12" s="4" t="s">
        <v>283</v>
      </c>
      <c r="F12" s="4" t="s">
        <v>313</v>
      </c>
      <c r="G12" s="41" t="e">
        <f>表格1_14[[#This Row],[加權後總分]]-表格1_14[[#This Row],[獎懲分數]]</f>
        <v>#DIV/0!</v>
      </c>
      <c r="H1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" s="39" t="e">
        <f t="shared" si="0"/>
        <v>#DIV/0!</v>
      </c>
      <c r="J12" s="36" t="e">
        <f t="shared" si="3"/>
        <v>#DIV/0!</v>
      </c>
      <c r="K12" s="8" t="e">
        <f t="shared" si="1"/>
        <v>#DIV/0!</v>
      </c>
      <c r="L12" s="8" t="e">
        <f t="shared" si="2"/>
        <v>#DIV/0!</v>
      </c>
      <c r="M12" s="8" t="e">
        <f>表格1_3[[#This Row],[部內平均]]</f>
        <v>#DIV/0!</v>
      </c>
      <c r="N12" s="8"/>
      <c r="O12" s="8" t="e">
        <f>表格1_3[[#This Row],[複評平均]]</f>
        <v>#DIV/0!</v>
      </c>
      <c r="P12" s="3"/>
      <c r="Q12" s="3"/>
      <c r="R12" s="3"/>
      <c r="S12" s="3"/>
      <c r="T12" s="3"/>
      <c r="U12" s="3"/>
      <c r="V12" s="3"/>
      <c r="W12" s="38">
        <v>83.6</v>
      </c>
      <c r="X12" s="2">
        <v>10</v>
      </c>
    </row>
    <row r="13" spans="1:24">
      <c r="A13" s="10" t="s">
        <v>396</v>
      </c>
      <c r="B13" s="5" t="s">
        <v>143</v>
      </c>
      <c r="C13" s="13" t="s">
        <v>17</v>
      </c>
      <c r="D13" s="6" t="s">
        <v>265</v>
      </c>
      <c r="E13" s="4" t="s">
        <v>283</v>
      </c>
      <c r="F13" s="4" t="s">
        <v>74</v>
      </c>
      <c r="G13" s="41" t="e">
        <f>表格1_14[[#This Row],[加權後總分]]-表格1_14[[#This Row],[獎懲分數]]</f>
        <v>#DIV/0!</v>
      </c>
      <c r="H1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3" s="39" t="e">
        <f t="shared" si="0"/>
        <v>#DIV/0!</v>
      </c>
      <c r="J13" s="36" t="e">
        <f t="shared" si="3"/>
        <v>#DIV/0!</v>
      </c>
      <c r="K13" s="8" t="e">
        <f t="shared" si="1"/>
        <v>#DIV/0!</v>
      </c>
      <c r="L13" s="8" t="e">
        <f t="shared" si="2"/>
        <v>#DIV/0!</v>
      </c>
      <c r="M13" s="8" t="e">
        <f>表格1_3[[#This Row],[部內平均]]</f>
        <v>#DIV/0!</v>
      </c>
      <c r="N13" s="8"/>
      <c r="O13" s="8" t="e">
        <f>表格1_3[[#This Row],[複評平均]]</f>
        <v>#DIV/0!</v>
      </c>
      <c r="P13" s="3"/>
      <c r="Q13" s="3"/>
      <c r="R13" s="3"/>
      <c r="S13" s="3"/>
      <c r="T13" s="3"/>
      <c r="U13" s="3"/>
      <c r="V13" s="3"/>
      <c r="W13" s="38">
        <v>83.6</v>
      </c>
      <c r="X13" s="2">
        <v>11</v>
      </c>
    </row>
    <row r="14" spans="1:24">
      <c r="A14" s="10" t="s">
        <v>396</v>
      </c>
      <c r="B14" s="5" t="s">
        <v>134</v>
      </c>
      <c r="C14" s="13" t="s">
        <v>8</v>
      </c>
      <c r="D14" s="6" t="s">
        <v>265</v>
      </c>
      <c r="E14" s="4" t="s">
        <v>283</v>
      </c>
      <c r="F14" s="4" t="s">
        <v>313</v>
      </c>
      <c r="G14" s="41" t="e">
        <f>表格1_14[[#This Row],[加權後總分]]-表格1_14[[#This Row],[獎懲分數]]</f>
        <v>#DIV/0!</v>
      </c>
      <c r="H1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4" s="39" t="e">
        <f t="shared" si="0"/>
        <v>#DIV/0!</v>
      </c>
      <c r="J14" s="36" t="e">
        <f t="shared" si="3"/>
        <v>#DIV/0!</v>
      </c>
      <c r="K14" s="8" t="e">
        <f t="shared" si="1"/>
        <v>#DIV/0!</v>
      </c>
      <c r="L14" s="8" t="e">
        <f t="shared" si="2"/>
        <v>#DIV/0!</v>
      </c>
      <c r="M14" s="8" t="e">
        <f>表格1_3[[#This Row],[部內平均]]</f>
        <v>#DIV/0!</v>
      </c>
      <c r="N14" s="8"/>
      <c r="O14" s="8" t="e">
        <f>表格1_3[[#This Row],[複評平均]]</f>
        <v>#DIV/0!</v>
      </c>
      <c r="P14" s="3"/>
      <c r="Q14" s="3"/>
      <c r="R14" s="3"/>
      <c r="S14" s="3"/>
      <c r="T14" s="3"/>
      <c r="U14" s="3"/>
      <c r="V14" s="3"/>
      <c r="W14" s="38">
        <v>82.8</v>
      </c>
      <c r="X14" s="2">
        <v>12</v>
      </c>
    </row>
    <row r="15" spans="1:24">
      <c r="A15" s="10" t="s">
        <v>396</v>
      </c>
      <c r="B15" s="5" t="s">
        <v>135</v>
      </c>
      <c r="C15" s="13" t="s">
        <v>9</v>
      </c>
      <c r="D15" s="6" t="s">
        <v>265</v>
      </c>
      <c r="E15" s="4" t="s">
        <v>283</v>
      </c>
      <c r="F15" s="4" t="s">
        <v>74</v>
      </c>
      <c r="G15" s="41" t="e">
        <f>表格1_14[[#This Row],[加權後總分]]-表格1_14[[#This Row],[獎懲分數]]</f>
        <v>#DIV/0!</v>
      </c>
      <c r="H1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5" s="39" t="e">
        <f t="shared" si="0"/>
        <v>#DIV/0!</v>
      </c>
      <c r="J15" s="36" t="e">
        <f t="shared" si="3"/>
        <v>#DIV/0!</v>
      </c>
      <c r="K15" s="8" t="e">
        <f t="shared" si="1"/>
        <v>#DIV/0!</v>
      </c>
      <c r="L15" s="8" t="e">
        <f t="shared" si="2"/>
        <v>#DIV/0!</v>
      </c>
      <c r="M15" s="8" t="e">
        <f>表格1_3[[#This Row],[部內平均]]</f>
        <v>#DIV/0!</v>
      </c>
      <c r="N15" s="8"/>
      <c r="O15" s="8" t="e">
        <f>表格1_3[[#This Row],[複評平均]]</f>
        <v>#DIV/0!</v>
      </c>
      <c r="P15" s="3"/>
      <c r="Q15" s="3"/>
      <c r="R15" s="3"/>
      <c r="S15" s="3"/>
      <c r="T15" s="3"/>
      <c r="U15" s="3"/>
      <c r="V15" s="3"/>
      <c r="W15" s="38">
        <v>82.2</v>
      </c>
      <c r="X15" s="2">
        <v>13</v>
      </c>
    </row>
    <row r="16" spans="1:24">
      <c r="A16" s="10" t="s">
        <v>396</v>
      </c>
      <c r="B16" s="5" t="s">
        <v>146</v>
      </c>
      <c r="C16" s="4" t="s">
        <v>20</v>
      </c>
      <c r="D16" s="6" t="s">
        <v>265</v>
      </c>
      <c r="E16" s="4" t="s">
        <v>283</v>
      </c>
      <c r="F16" s="4" t="s">
        <v>313</v>
      </c>
      <c r="G16" s="41" t="e">
        <f>表格1_14[[#This Row],[加權後總分]]-表格1_14[[#This Row],[獎懲分數]]</f>
        <v>#DIV/0!</v>
      </c>
      <c r="H1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6" s="39" t="e">
        <f t="shared" si="0"/>
        <v>#DIV/0!</v>
      </c>
      <c r="J16" s="36" t="e">
        <f t="shared" si="3"/>
        <v>#DIV/0!</v>
      </c>
      <c r="K16" s="8" t="e">
        <f t="shared" si="1"/>
        <v>#DIV/0!</v>
      </c>
      <c r="L16" s="8" t="e">
        <f t="shared" si="2"/>
        <v>#DIV/0!</v>
      </c>
      <c r="M16" s="8" t="e">
        <f>表格1_3[[#This Row],[部內平均]]</f>
        <v>#DIV/0!</v>
      </c>
      <c r="N16" s="8"/>
      <c r="O16" s="8" t="e">
        <f>表格1_3[[#This Row],[複評平均]]</f>
        <v>#DIV/0!</v>
      </c>
      <c r="P16" s="3"/>
      <c r="Q16" s="3"/>
      <c r="R16" s="3"/>
      <c r="S16" s="3"/>
      <c r="T16" s="3"/>
      <c r="U16" s="3"/>
      <c r="V16" s="3"/>
      <c r="W16" s="38">
        <v>81.400000000000006</v>
      </c>
      <c r="X16" s="2">
        <v>14</v>
      </c>
    </row>
    <row r="17" spans="1:24">
      <c r="A17" s="10" t="s">
        <v>396</v>
      </c>
      <c r="B17" s="5" t="s">
        <v>140</v>
      </c>
      <c r="C17" s="4" t="s">
        <v>14</v>
      </c>
      <c r="D17" s="6" t="s">
        <v>265</v>
      </c>
      <c r="E17" s="4" t="s">
        <v>283</v>
      </c>
      <c r="F17" s="4" t="s">
        <v>329</v>
      </c>
      <c r="G17" s="41" t="e">
        <f>表格1_14[[#This Row],[加權後總分]]-表格1_14[[#This Row],[獎懲分數]]</f>
        <v>#DIV/0!</v>
      </c>
      <c r="H1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7" s="39" t="e">
        <f t="shared" si="0"/>
        <v>#DIV/0!</v>
      </c>
      <c r="J17" s="36" t="e">
        <f t="shared" si="3"/>
        <v>#DIV/0!</v>
      </c>
      <c r="K17" s="8" t="e">
        <f t="shared" si="1"/>
        <v>#DIV/0!</v>
      </c>
      <c r="L17" s="8" t="e">
        <f t="shared" si="2"/>
        <v>#DIV/0!</v>
      </c>
      <c r="M17" s="8" t="e">
        <f>表格1_3[[#This Row],[部內平均]]</f>
        <v>#DIV/0!</v>
      </c>
      <c r="N17" s="8"/>
      <c r="O17" s="8" t="e">
        <f>表格1_3[[#This Row],[複評平均]]</f>
        <v>#DIV/0!</v>
      </c>
      <c r="P17" s="3"/>
      <c r="Q17" s="3"/>
      <c r="R17" s="3"/>
      <c r="S17" s="3"/>
      <c r="T17" s="3"/>
      <c r="U17" s="3"/>
      <c r="V17" s="3"/>
      <c r="W17" s="38">
        <v>81.349999999999994</v>
      </c>
      <c r="X17" s="2">
        <v>15</v>
      </c>
    </row>
    <row r="18" spans="1:24">
      <c r="A18" s="10" t="s">
        <v>396</v>
      </c>
      <c r="B18" s="5" t="s">
        <v>141</v>
      </c>
      <c r="C18" s="13" t="s">
        <v>15</v>
      </c>
      <c r="D18" s="6" t="s">
        <v>265</v>
      </c>
      <c r="E18" s="4" t="s">
        <v>283</v>
      </c>
      <c r="F18" s="4" t="s">
        <v>313</v>
      </c>
      <c r="G18" s="41" t="e">
        <f>表格1_14[[#This Row],[加權後總分]]-表格1_14[[#This Row],[獎懲分數]]</f>
        <v>#DIV/0!</v>
      </c>
      <c r="H1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8" s="39" t="e">
        <f t="shared" si="0"/>
        <v>#DIV/0!</v>
      </c>
      <c r="J18" s="36" t="e">
        <f t="shared" si="3"/>
        <v>#DIV/0!</v>
      </c>
      <c r="K18" s="8" t="e">
        <f t="shared" si="1"/>
        <v>#DIV/0!</v>
      </c>
      <c r="L18" s="8" t="e">
        <f t="shared" si="2"/>
        <v>#DIV/0!</v>
      </c>
      <c r="M18" s="8" t="e">
        <f>表格1_3[[#This Row],[部內平均]]</f>
        <v>#DIV/0!</v>
      </c>
      <c r="N18" s="8"/>
      <c r="O18" s="8" t="e">
        <f>表格1_3[[#This Row],[複評平均]]</f>
        <v>#DIV/0!</v>
      </c>
      <c r="P18" s="3"/>
      <c r="Q18" s="3"/>
      <c r="R18" s="3"/>
      <c r="S18" s="3"/>
      <c r="T18" s="3"/>
      <c r="U18" s="3"/>
      <c r="V18" s="3"/>
      <c r="W18" s="38">
        <v>81.058333333333337</v>
      </c>
      <c r="X18" s="2">
        <v>16</v>
      </c>
    </row>
    <row r="19" spans="1:24">
      <c r="A19" s="10" t="s">
        <v>396</v>
      </c>
      <c r="B19" s="5" t="s">
        <v>142</v>
      </c>
      <c r="C19" s="14" t="s">
        <v>16</v>
      </c>
      <c r="D19" s="6" t="s">
        <v>265</v>
      </c>
      <c r="E19" s="4" t="s">
        <v>283</v>
      </c>
      <c r="F19" s="4" t="s">
        <v>313</v>
      </c>
      <c r="G19" s="41" t="e">
        <f>表格1_14[[#This Row],[加權後總分]]-表格1_14[[#This Row],[獎懲分數]]</f>
        <v>#DIV/0!</v>
      </c>
      <c r="H1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9" s="39" t="e">
        <f t="shared" si="0"/>
        <v>#DIV/0!</v>
      </c>
      <c r="J19" s="36" t="e">
        <f t="shared" si="3"/>
        <v>#DIV/0!</v>
      </c>
      <c r="K19" s="8" t="e">
        <f t="shared" si="1"/>
        <v>#DIV/0!</v>
      </c>
      <c r="L19" s="8" t="e">
        <f t="shared" si="2"/>
        <v>#DIV/0!</v>
      </c>
      <c r="M19" s="8" t="e">
        <f>表格1_3[[#This Row],[部內平均]]</f>
        <v>#DIV/0!</v>
      </c>
      <c r="N19" s="8"/>
      <c r="O19" s="8" t="e">
        <f>表格1_3[[#This Row],[複評平均]]</f>
        <v>#DIV/0!</v>
      </c>
      <c r="P19" s="3"/>
      <c r="Q19" s="3"/>
      <c r="R19" s="3"/>
      <c r="S19" s="3"/>
      <c r="T19" s="3"/>
      <c r="U19" s="3"/>
      <c r="V19" s="3"/>
      <c r="W19" s="38">
        <v>80.693877551020421</v>
      </c>
      <c r="X19" s="2">
        <v>17</v>
      </c>
    </row>
    <row r="20" spans="1:24">
      <c r="A20" s="10" t="s">
        <v>335</v>
      </c>
      <c r="B20" s="5" t="s">
        <v>150</v>
      </c>
      <c r="C20" s="4" t="s">
        <v>23</v>
      </c>
      <c r="D20" s="6" t="s">
        <v>265</v>
      </c>
      <c r="E20" s="4" t="s">
        <v>285</v>
      </c>
      <c r="F20" s="4" t="s">
        <v>313</v>
      </c>
      <c r="G20" s="41" t="e">
        <f>表格1_14[[#This Row],[加權後總分]]-表格1_14[[#This Row],[獎懲分數]]</f>
        <v>#DIV/0!</v>
      </c>
      <c r="H2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0" s="39" t="e">
        <f t="shared" si="0"/>
        <v>#DIV/0!</v>
      </c>
      <c r="J20" s="36" t="e">
        <f t="shared" si="3"/>
        <v>#DIV/0!</v>
      </c>
      <c r="K20" s="8" t="e">
        <f t="shared" si="1"/>
        <v>#DIV/0!</v>
      </c>
      <c r="L20" s="8" t="e">
        <f t="shared" si="2"/>
        <v>#DIV/0!</v>
      </c>
      <c r="M20" s="8" t="e">
        <f>表格1_3[[#This Row],[部內平均]]</f>
        <v>#DIV/0!</v>
      </c>
      <c r="N20" s="8" t="e">
        <f>表格1_3[[#This Row],[共評平均]]</f>
        <v>#DIV/0!</v>
      </c>
      <c r="O20" s="8" t="e">
        <f>表格1_3[[#This Row],[複評平均]]</f>
        <v>#DIV/0!</v>
      </c>
      <c r="P20" s="3"/>
      <c r="Q20" s="3"/>
      <c r="R20" s="3"/>
      <c r="S20" s="3"/>
      <c r="T20" s="3"/>
      <c r="U20" s="3"/>
      <c r="V20" s="3"/>
      <c r="W20" s="38">
        <v>80.599999999999994</v>
      </c>
      <c r="X20" s="2">
        <v>18</v>
      </c>
    </row>
    <row r="21" spans="1:24">
      <c r="A21" s="10" t="s">
        <v>390</v>
      </c>
      <c r="B21" s="5" t="s">
        <v>147</v>
      </c>
      <c r="C21" s="4" t="s">
        <v>21</v>
      </c>
      <c r="D21" s="6" t="s">
        <v>265</v>
      </c>
      <c r="E21" s="4" t="s">
        <v>283</v>
      </c>
      <c r="F21" s="4" t="s">
        <v>313</v>
      </c>
      <c r="G21" s="41" t="e">
        <f>表格1_14[[#This Row],[加權後總分]]-表格1_14[[#This Row],[獎懲分數]]</f>
        <v>#DIV/0!</v>
      </c>
      <c r="H2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1" s="39" t="e">
        <f t="shared" si="0"/>
        <v>#DIV/0!</v>
      </c>
      <c r="J21" s="36" t="e">
        <f t="shared" si="3"/>
        <v>#DIV/0!</v>
      </c>
      <c r="K21" s="8" t="e">
        <f t="shared" si="1"/>
        <v>#DIV/0!</v>
      </c>
      <c r="L21" s="8" t="e">
        <f t="shared" si="2"/>
        <v>#DIV/0!</v>
      </c>
      <c r="M21" s="8" t="e">
        <f>表格1_3[[#This Row],[部內平均]]</f>
        <v>#DIV/0!</v>
      </c>
      <c r="N21" s="8"/>
      <c r="O21" s="8" t="e">
        <f>表格1_3[[#This Row],[複評平均]]</f>
        <v>#DIV/0!</v>
      </c>
      <c r="P21" s="3"/>
      <c r="Q21" s="3"/>
      <c r="R21" s="3"/>
      <c r="S21" s="3"/>
      <c r="T21" s="3"/>
      <c r="U21" s="3"/>
      <c r="V21" s="3"/>
      <c r="W21" s="38">
        <v>80.5</v>
      </c>
      <c r="X21" s="2">
        <v>19</v>
      </c>
    </row>
    <row r="22" spans="1:24">
      <c r="A22" s="10" t="s">
        <v>389</v>
      </c>
      <c r="B22" s="5" t="s">
        <v>145</v>
      </c>
      <c r="C22" s="4" t="s">
        <v>19</v>
      </c>
      <c r="D22" s="6" t="s">
        <v>265</v>
      </c>
      <c r="E22" s="4" t="s">
        <v>285</v>
      </c>
      <c r="F22" s="4" t="s">
        <v>313</v>
      </c>
      <c r="G22" s="41" t="e">
        <f>表格1_14[[#This Row],[加權後總分]]-表格1_14[[#This Row],[獎懲分數]]</f>
        <v>#DIV/0!</v>
      </c>
      <c r="H2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2" s="39" t="e">
        <f t="shared" si="0"/>
        <v>#DIV/0!</v>
      </c>
      <c r="J22" s="36" t="e">
        <f t="shared" si="3"/>
        <v>#DIV/0!</v>
      </c>
      <c r="K22" s="8" t="e">
        <f t="shared" si="1"/>
        <v>#DIV/0!</v>
      </c>
      <c r="L22" s="8" t="e">
        <f t="shared" si="2"/>
        <v>#DIV/0!</v>
      </c>
      <c r="M22" s="8" t="e">
        <f>表格1_3[[#This Row],[部內平均]]</f>
        <v>#DIV/0!</v>
      </c>
      <c r="N22" s="8" t="e">
        <f>表格1_3[[#This Row],[共評平均]]</f>
        <v>#DIV/0!</v>
      </c>
      <c r="O22" s="8" t="e">
        <f>表格1_3[[#This Row],[複評平均]]</f>
        <v>#DIV/0!</v>
      </c>
      <c r="P22" s="3"/>
      <c r="Q22" s="3"/>
      <c r="R22" s="3"/>
      <c r="S22" s="3"/>
      <c r="T22" s="3"/>
      <c r="U22" s="3"/>
      <c r="V22" s="3"/>
      <c r="W22" s="38">
        <v>79.938775510204081</v>
      </c>
      <c r="X22" s="2">
        <v>20</v>
      </c>
    </row>
    <row r="23" spans="1:24">
      <c r="A23" s="10" t="s">
        <v>335</v>
      </c>
      <c r="B23" s="5" t="s">
        <v>148</v>
      </c>
      <c r="C23" s="4" t="s">
        <v>313</v>
      </c>
      <c r="D23" s="6" t="s">
        <v>265</v>
      </c>
      <c r="E23" s="4" t="s">
        <v>5</v>
      </c>
      <c r="F23" s="4" t="s">
        <v>74</v>
      </c>
      <c r="G23" s="41" t="e">
        <f>表格1_14[[#This Row],[加權後總分]]-表格1_14[[#This Row],[獎懲分數]]</f>
        <v>#DIV/0!</v>
      </c>
      <c r="H2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3" s="39" t="e">
        <f t="shared" si="0"/>
        <v>#DIV/0!</v>
      </c>
      <c r="J23" s="36" t="e">
        <f t="shared" si="3"/>
        <v>#DIV/0!</v>
      </c>
      <c r="K23" s="8" t="e">
        <f t="shared" si="1"/>
        <v>#DIV/0!</v>
      </c>
      <c r="L23" s="8" t="e">
        <f t="shared" si="2"/>
        <v>#DIV/0!</v>
      </c>
      <c r="M23" s="8" t="e">
        <f>表格1_3[[#This Row],[部內平均]]</f>
        <v>#DIV/0!</v>
      </c>
      <c r="N23" s="8" t="e">
        <f>表格1_3[[#This Row],[共評平均]]</f>
        <v>#DIV/0!</v>
      </c>
      <c r="O23" s="8" t="e">
        <f>表格1_3[[#This Row],[複評平均]]</f>
        <v>#DIV/0!</v>
      </c>
      <c r="P23" s="3">
        <v>1</v>
      </c>
      <c r="Q23" s="3"/>
      <c r="R23" s="3"/>
      <c r="S23" s="3"/>
      <c r="T23" s="3"/>
      <c r="U23" s="3"/>
      <c r="V23" s="3">
        <v>3</v>
      </c>
      <c r="W23" s="38">
        <v>79.416666666666657</v>
      </c>
      <c r="X23" s="2">
        <v>21</v>
      </c>
    </row>
    <row r="24" spans="1:24">
      <c r="A24" s="10" t="s">
        <v>397</v>
      </c>
      <c r="B24" s="5" t="s">
        <v>149</v>
      </c>
      <c r="C24" s="14" t="s">
        <v>22</v>
      </c>
      <c r="D24" s="6" t="s">
        <v>265</v>
      </c>
      <c r="E24" s="4" t="s">
        <v>283</v>
      </c>
      <c r="F24" s="4" t="s">
        <v>313</v>
      </c>
      <c r="G24" s="41" t="e">
        <f>表格1_14[[#This Row],[加權後總分]]-表格1_14[[#This Row],[獎懲分數]]</f>
        <v>#DIV/0!</v>
      </c>
      <c r="H2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4" s="39" t="e">
        <f t="shared" si="0"/>
        <v>#DIV/0!</v>
      </c>
      <c r="J24" s="36" t="e">
        <f t="shared" si="3"/>
        <v>#DIV/0!</v>
      </c>
      <c r="K24" s="8" t="e">
        <f t="shared" si="1"/>
        <v>#DIV/0!</v>
      </c>
      <c r="L24" s="8" t="e">
        <f t="shared" si="2"/>
        <v>#DIV/0!</v>
      </c>
      <c r="M24" s="8" t="e">
        <f>表格1_3[[#This Row],[部內平均]]</f>
        <v>#DIV/0!</v>
      </c>
      <c r="N24" s="8"/>
      <c r="O24" s="8" t="e">
        <f>表格1_3[[#This Row],[複評平均]]</f>
        <v>#DIV/0!</v>
      </c>
      <c r="P24" s="3"/>
      <c r="Q24" s="3"/>
      <c r="R24" s="3"/>
      <c r="S24" s="3"/>
      <c r="T24" s="3"/>
      <c r="U24" s="3"/>
      <c r="V24" s="3"/>
      <c r="W24" s="38">
        <v>79.285714285714292</v>
      </c>
      <c r="X24" s="2">
        <v>22</v>
      </c>
    </row>
    <row r="25" spans="1:24">
      <c r="A25" s="10" t="s">
        <v>398</v>
      </c>
      <c r="B25" s="5" t="s">
        <v>151</v>
      </c>
      <c r="C25" s="4" t="s">
        <v>24</v>
      </c>
      <c r="D25" s="6" t="s">
        <v>266</v>
      </c>
      <c r="E25" s="4" t="s">
        <v>283</v>
      </c>
      <c r="F25" s="4" t="s">
        <v>329</v>
      </c>
      <c r="G25" s="41" t="e">
        <f>表格1_14[[#This Row],[加權後總分]]-表格1_14[[#This Row],[獎懲分數]]</f>
        <v>#DIV/0!</v>
      </c>
      <c r="H2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5" s="39" t="e">
        <f t="shared" si="0"/>
        <v>#DIV/0!</v>
      </c>
      <c r="J25" s="36" t="e">
        <f t="shared" si="3"/>
        <v>#DIV/0!</v>
      </c>
      <c r="K25" s="8" t="e">
        <f t="shared" si="1"/>
        <v>#DIV/0!</v>
      </c>
      <c r="L25" s="8" t="e">
        <f t="shared" si="2"/>
        <v>#DIV/0!</v>
      </c>
      <c r="M25" s="8" t="e">
        <f>表格1_3[[#This Row],[部內平均]]</f>
        <v>#DIV/0!</v>
      </c>
      <c r="N25" s="8"/>
      <c r="O25" s="8" t="e">
        <f>表格1_3[[#This Row],[複評平均]]</f>
        <v>#DIV/0!</v>
      </c>
      <c r="P25" s="3"/>
      <c r="Q25" s="3"/>
      <c r="R25" s="3"/>
      <c r="S25" s="3"/>
      <c r="T25" s="3"/>
      <c r="U25" s="3"/>
      <c r="V25" s="3"/>
      <c r="W25" s="38">
        <v>79.109090909090895</v>
      </c>
      <c r="X25" s="2">
        <v>23</v>
      </c>
    </row>
    <row r="26" spans="1:24">
      <c r="A26" s="10" t="s">
        <v>397</v>
      </c>
      <c r="B26" s="5" t="s">
        <v>152</v>
      </c>
      <c r="C26" s="4" t="s">
        <v>25</v>
      </c>
      <c r="D26" s="6" t="s">
        <v>266</v>
      </c>
      <c r="E26" s="4" t="s">
        <v>283</v>
      </c>
      <c r="F26" s="4" t="s">
        <v>35</v>
      </c>
      <c r="G26" s="41" t="e">
        <f>表格1_14[[#This Row],[加權後總分]]-表格1_14[[#This Row],[獎懲分數]]</f>
        <v>#DIV/0!</v>
      </c>
      <c r="H2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6" s="39" t="e">
        <f t="shared" si="0"/>
        <v>#DIV/0!</v>
      </c>
      <c r="J26" s="36" t="e">
        <f t="shared" si="3"/>
        <v>#DIV/0!</v>
      </c>
      <c r="K26" s="8" t="e">
        <f t="shared" si="1"/>
        <v>#DIV/0!</v>
      </c>
      <c r="L26" s="8" t="e">
        <f t="shared" si="2"/>
        <v>#DIV/0!</v>
      </c>
      <c r="M26" s="8" t="e">
        <f>表格1_3[[#This Row],[部內平均]]</f>
        <v>#DIV/0!</v>
      </c>
      <c r="N26" s="8"/>
      <c r="O26" s="8" t="e">
        <f>表格1_3[[#This Row],[複評平均]]</f>
        <v>#DIV/0!</v>
      </c>
      <c r="P26" s="3"/>
      <c r="Q26" s="3"/>
      <c r="R26" s="3"/>
      <c r="S26" s="3"/>
      <c r="T26" s="3"/>
      <c r="U26" s="3"/>
      <c r="V26" s="3"/>
      <c r="W26" s="38">
        <v>79</v>
      </c>
      <c r="X26" s="2">
        <v>24</v>
      </c>
    </row>
    <row r="27" spans="1:24">
      <c r="A27" s="10" t="s">
        <v>399</v>
      </c>
      <c r="B27" s="5" t="s">
        <v>157</v>
      </c>
      <c r="C27" s="13" t="s">
        <v>30</v>
      </c>
      <c r="D27" s="6" t="s">
        <v>266</v>
      </c>
      <c r="E27" s="4" t="s">
        <v>283</v>
      </c>
      <c r="F27" s="4" t="s">
        <v>329</v>
      </c>
      <c r="G27" s="41" t="e">
        <f>表格1_14[[#This Row],[加權後總分]]-表格1_14[[#This Row],[獎懲分數]]</f>
        <v>#DIV/0!</v>
      </c>
      <c r="H2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7" s="39" t="e">
        <f t="shared" si="0"/>
        <v>#DIV/0!</v>
      </c>
      <c r="J27" s="36" t="e">
        <f t="shared" si="3"/>
        <v>#DIV/0!</v>
      </c>
      <c r="K27" s="8" t="e">
        <f t="shared" si="1"/>
        <v>#DIV/0!</v>
      </c>
      <c r="L27" s="8" t="e">
        <f t="shared" si="2"/>
        <v>#DIV/0!</v>
      </c>
      <c r="M27" s="8" t="e">
        <f>表格1_3[[#This Row],[部內平均]]</f>
        <v>#DIV/0!</v>
      </c>
      <c r="N27" s="8"/>
      <c r="O27" s="8" t="e">
        <f>表格1_3[[#This Row],[複評平均]]</f>
        <v>#DIV/0!</v>
      </c>
      <c r="P27" s="3"/>
      <c r="Q27" s="3"/>
      <c r="R27" s="3"/>
      <c r="S27" s="3"/>
      <c r="T27" s="3"/>
      <c r="U27" s="3"/>
      <c r="V27" s="3"/>
      <c r="W27" s="38">
        <v>78.957142857142856</v>
      </c>
      <c r="X27" s="2">
        <v>25</v>
      </c>
    </row>
    <row r="28" spans="1:24">
      <c r="A28" s="10" t="s">
        <v>389</v>
      </c>
      <c r="B28" s="5" t="s">
        <v>153</v>
      </c>
      <c r="C28" s="4" t="s">
        <v>26</v>
      </c>
      <c r="D28" s="6" t="s">
        <v>266</v>
      </c>
      <c r="E28" s="4" t="s">
        <v>283</v>
      </c>
      <c r="F28" s="4" t="s">
        <v>329</v>
      </c>
      <c r="G28" s="41" t="e">
        <f>表格1_14[[#This Row],[加權後總分]]-表格1_14[[#This Row],[獎懲分數]]</f>
        <v>#DIV/0!</v>
      </c>
      <c r="H2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8" s="39" t="e">
        <f t="shared" si="0"/>
        <v>#DIV/0!</v>
      </c>
      <c r="J28" s="36" t="e">
        <f t="shared" si="3"/>
        <v>#DIV/0!</v>
      </c>
      <c r="K28" s="8" t="e">
        <f t="shared" si="1"/>
        <v>#DIV/0!</v>
      </c>
      <c r="L28" s="8" t="e">
        <f t="shared" si="2"/>
        <v>#DIV/0!</v>
      </c>
      <c r="M28" s="8" t="e">
        <f>表格1_3[[#This Row],[部內平均]]</f>
        <v>#DIV/0!</v>
      </c>
      <c r="N28" s="8"/>
      <c r="O28" s="8" t="e">
        <f>表格1_3[[#This Row],[複評平均]]</f>
        <v>#DIV/0!</v>
      </c>
      <c r="P28" s="3"/>
      <c r="Q28" s="3"/>
      <c r="R28" s="3"/>
      <c r="S28" s="3"/>
      <c r="T28" s="3"/>
      <c r="U28" s="3"/>
      <c r="V28" s="3"/>
      <c r="W28" s="38">
        <v>78.732142857142861</v>
      </c>
      <c r="X28" s="2">
        <v>26</v>
      </c>
    </row>
    <row r="29" spans="1:24">
      <c r="A29" s="10" t="s">
        <v>399</v>
      </c>
      <c r="B29" s="5" t="s">
        <v>154</v>
      </c>
      <c r="C29" s="4" t="s">
        <v>27</v>
      </c>
      <c r="D29" s="6" t="s">
        <v>266</v>
      </c>
      <c r="E29" s="4" t="s">
        <v>283</v>
      </c>
      <c r="F29" s="4" t="s">
        <v>329</v>
      </c>
      <c r="G29" s="41" t="e">
        <f>表格1_14[[#This Row],[加權後總分]]-表格1_14[[#This Row],[獎懲分數]]</f>
        <v>#DIV/0!</v>
      </c>
      <c r="H2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29" s="39" t="e">
        <f t="shared" si="0"/>
        <v>#DIV/0!</v>
      </c>
      <c r="J29" s="36" t="e">
        <f t="shared" si="3"/>
        <v>#DIV/0!</v>
      </c>
      <c r="K29" s="8" t="e">
        <f t="shared" si="1"/>
        <v>#DIV/0!</v>
      </c>
      <c r="L29" s="8" t="e">
        <f t="shared" si="2"/>
        <v>#DIV/0!</v>
      </c>
      <c r="M29" s="8" t="e">
        <f>表格1_3[[#This Row],[部內平均]]</f>
        <v>#DIV/0!</v>
      </c>
      <c r="N29" s="8"/>
      <c r="O29" s="8" t="e">
        <f>表格1_3[[#This Row],[複評平均]]</f>
        <v>#DIV/0!</v>
      </c>
      <c r="P29" s="3"/>
      <c r="Q29" s="3"/>
      <c r="R29" s="3"/>
      <c r="S29" s="3"/>
      <c r="T29" s="3"/>
      <c r="U29" s="3"/>
      <c r="V29" s="3"/>
      <c r="W29" s="38">
        <v>78.199999999999989</v>
      </c>
      <c r="X29" s="2">
        <v>27</v>
      </c>
    </row>
    <row r="30" spans="1:24">
      <c r="A30" s="10" t="s">
        <v>400</v>
      </c>
      <c r="B30" s="5" t="s">
        <v>156</v>
      </c>
      <c r="C30" s="4" t="s">
        <v>29</v>
      </c>
      <c r="D30" s="6" t="s">
        <v>266</v>
      </c>
      <c r="E30" s="4" t="s">
        <v>283</v>
      </c>
      <c r="F30" s="4" t="s">
        <v>329</v>
      </c>
      <c r="G30" s="41" t="e">
        <f>表格1_14[[#This Row],[加權後總分]]-表格1_14[[#This Row],[獎懲分數]]</f>
        <v>#DIV/0!</v>
      </c>
      <c r="H3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0" s="39" t="e">
        <f t="shared" si="0"/>
        <v>#DIV/0!</v>
      </c>
      <c r="J30" s="36" t="e">
        <f t="shared" si="3"/>
        <v>#DIV/0!</v>
      </c>
      <c r="K30" s="8" t="e">
        <f t="shared" si="1"/>
        <v>#DIV/0!</v>
      </c>
      <c r="L30" s="8" t="e">
        <f t="shared" si="2"/>
        <v>#DIV/0!</v>
      </c>
      <c r="M30" s="8" t="e">
        <f>表格1_3[[#This Row],[部內平均]]</f>
        <v>#DIV/0!</v>
      </c>
      <c r="N30" s="8"/>
      <c r="O30" s="8" t="e">
        <f>表格1_3[[#This Row],[複評平均]]</f>
        <v>#DIV/0!</v>
      </c>
      <c r="P30" s="3"/>
      <c r="Q30" s="3"/>
      <c r="R30" s="3"/>
      <c r="S30" s="3"/>
      <c r="T30" s="3"/>
      <c r="U30" s="3"/>
      <c r="V30" s="3"/>
      <c r="W30" s="38">
        <v>77.8</v>
      </c>
      <c r="X30" s="2">
        <v>28</v>
      </c>
    </row>
    <row r="31" spans="1:24">
      <c r="A31" s="10" t="s">
        <v>397</v>
      </c>
      <c r="B31" s="5" t="s">
        <v>155</v>
      </c>
      <c r="C31" s="4" t="s">
        <v>28</v>
      </c>
      <c r="D31" s="6" t="s">
        <v>266</v>
      </c>
      <c r="E31" s="4" t="s">
        <v>283</v>
      </c>
      <c r="F31" s="4" t="s">
        <v>329</v>
      </c>
      <c r="G31" s="41" t="e">
        <f>表格1_14[[#This Row],[加權後總分]]-表格1_14[[#This Row],[獎懲分數]]</f>
        <v>#DIV/0!</v>
      </c>
      <c r="H3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1" s="39" t="e">
        <f t="shared" si="0"/>
        <v>#DIV/0!</v>
      </c>
      <c r="J31" s="36" t="e">
        <f t="shared" si="3"/>
        <v>#DIV/0!</v>
      </c>
      <c r="K31" s="8" t="e">
        <f t="shared" si="1"/>
        <v>#DIV/0!</v>
      </c>
      <c r="L31" s="8" t="e">
        <f t="shared" si="2"/>
        <v>#DIV/0!</v>
      </c>
      <c r="M31" s="8" t="e">
        <f>表格1_3[[#This Row],[部內平均]]</f>
        <v>#DIV/0!</v>
      </c>
      <c r="N31" s="8"/>
      <c r="O31" s="8" t="e">
        <f>表格1_3[[#This Row],[複評平均]]</f>
        <v>#DIV/0!</v>
      </c>
      <c r="P31" s="3"/>
      <c r="Q31" s="3"/>
      <c r="R31" s="3"/>
      <c r="S31" s="3"/>
      <c r="T31" s="3"/>
      <c r="U31" s="3"/>
      <c r="V31" s="3"/>
      <c r="W31" s="38">
        <v>77.599999999999994</v>
      </c>
      <c r="X31" s="2">
        <v>29</v>
      </c>
    </row>
    <row r="32" spans="1:24">
      <c r="A32" s="10" t="s">
        <v>389</v>
      </c>
      <c r="B32" s="5" t="s">
        <v>158</v>
      </c>
      <c r="C32" s="13" t="s">
        <v>31</v>
      </c>
      <c r="D32" s="6" t="s">
        <v>266</v>
      </c>
      <c r="E32" s="4" t="s">
        <v>283</v>
      </c>
      <c r="F32" s="4" t="s">
        <v>35</v>
      </c>
      <c r="G32" s="41" t="e">
        <f>表格1_14[[#This Row],[加權後總分]]-表格1_14[[#This Row],[獎懲分數]]</f>
        <v>#DIV/0!</v>
      </c>
      <c r="H3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2" s="39" t="e">
        <f t="shared" si="0"/>
        <v>#DIV/0!</v>
      </c>
      <c r="J32" s="36" t="e">
        <f t="shared" si="3"/>
        <v>#DIV/0!</v>
      </c>
      <c r="K32" s="8" t="e">
        <f t="shared" si="1"/>
        <v>#DIV/0!</v>
      </c>
      <c r="L32" s="8" t="e">
        <f t="shared" si="2"/>
        <v>#DIV/0!</v>
      </c>
      <c r="M32" s="8" t="e">
        <f>表格1_3[[#This Row],[部內平均]]</f>
        <v>#DIV/0!</v>
      </c>
      <c r="N32" s="8"/>
      <c r="O32" s="8" t="e">
        <f>表格1_3[[#This Row],[複評平均]]</f>
        <v>#DIV/0!</v>
      </c>
      <c r="P32" s="3"/>
      <c r="Q32" s="3"/>
      <c r="R32" s="3"/>
      <c r="S32" s="3"/>
      <c r="T32" s="3"/>
      <c r="U32" s="3"/>
      <c r="V32" s="3"/>
      <c r="W32" s="38">
        <v>77.400000000000006</v>
      </c>
      <c r="X32" s="2">
        <v>30</v>
      </c>
    </row>
    <row r="33" spans="1:24">
      <c r="A33" s="10" t="s">
        <v>396</v>
      </c>
      <c r="B33" s="5" t="s">
        <v>160</v>
      </c>
      <c r="C33" s="4" t="s">
        <v>33</v>
      </c>
      <c r="D33" s="6" t="s">
        <v>266</v>
      </c>
      <c r="E33" s="4" t="s">
        <v>283</v>
      </c>
      <c r="F33" s="4" t="s">
        <v>329</v>
      </c>
      <c r="G33" s="41" t="e">
        <f>表格1_14[[#This Row],[加權後總分]]-表格1_14[[#This Row],[獎懲分數]]</f>
        <v>#DIV/0!</v>
      </c>
      <c r="H3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3" s="39" t="e">
        <f t="shared" si="0"/>
        <v>#DIV/0!</v>
      </c>
      <c r="J33" s="36" t="e">
        <f t="shared" si="3"/>
        <v>#DIV/0!</v>
      </c>
      <c r="K33" s="8" t="e">
        <f t="shared" si="1"/>
        <v>#DIV/0!</v>
      </c>
      <c r="L33" s="8" t="e">
        <f t="shared" si="2"/>
        <v>#DIV/0!</v>
      </c>
      <c r="M33" s="8" t="e">
        <f>表格1_3[[#This Row],[部內平均]]</f>
        <v>#DIV/0!</v>
      </c>
      <c r="N33" s="8"/>
      <c r="O33" s="8" t="e">
        <f>表格1_3[[#This Row],[複評平均]]</f>
        <v>#DIV/0!</v>
      </c>
      <c r="P33" s="3"/>
      <c r="Q33" s="3"/>
      <c r="R33" s="3"/>
      <c r="S33" s="3"/>
      <c r="T33" s="3"/>
      <c r="U33" s="3"/>
      <c r="V33" s="3"/>
      <c r="W33" s="38">
        <v>77.3</v>
      </c>
      <c r="X33" s="2">
        <v>31</v>
      </c>
    </row>
    <row r="34" spans="1:24">
      <c r="A34" s="10" t="s">
        <v>401</v>
      </c>
      <c r="B34" s="5" t="s">
        <v>159</v>
      </c>
      <c r="C34" s="4" t="s">
        <v>32</v>
      </c>
      <c r="D34" s="6" t="s">
        <v>266</v>
      </c>
      <c r="E34" s="4" t="s">
        <v>283</v>
      </c>
      <c r="F34" s="4" t="s">
        <v>35</v>
      </c>
      <c r="G34" s="41" t="e">
        <f>表格1_14[[#This Row],[加權後總分]]-表格1_14[[#This Row],[獎懲分數]]</f>
        <v>#DIV/0!</v>
      </c>
      <c r="H3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4" s="39" t="e">
        <f t="shared" ref="I34:I52" si="4">_xlfn.RANK.EQ(G34,$G$2:$G$146,0)</f>
        <v>#DIV/0!</v>
      </c>
      <c r="J34" s="36" t="e">
        <f t="shared" si="3"/>
        <v>#DIV/0!</v>
      </c>
      <c r="K34" s="8" t="e">
        <f t="shared" si="1"/>
        <v>#DIV/0!</v>
      </c>
      <c r="L34" s="8" t="e">
        <f t="shared" si="2"/>
        <v>#DIV/0!</v>
      </c>
      <c r="M34" s="8" t="e">
        <f>表格1_3[[#This Row],[部內平均]]</f>
        <v>#DIV/0!</v>
      </c>
      <c r="N34" s="8"/>
      <c r="O34" s="8" t="e">
        <f>表格1_3[[#This Row],[複評平均]]</f>
        <v>#DIV/0!</v>
      </c>
      <c r="P34" s="3"/>
      <c r="Q34" s="3"/>
      <c r="R34" s="3"/>
      <c r="S34" s="3"/>
      <c r="T34" s="3"/>
      <c r="U34" s="3"/>
      <c r="V34" s="3"/>
      <c r="W34" s="38">
        <v>77.125</v>
      </c>
      <c r="X34" s="2">
        <v>32</v>
      </c>
    </row>
    <row r="35" spans="1:24">
      <c r="A35" s="10" t="s">
        <v>389</v>
      </c>
      <c r="B35" s="5" t="s">
        <v>161</v>
      </c>
      <c r="C35" s="13" t="s">
        <v>34</v>
      </c>
      <c r="D35" s="6" t="s">
        <v>266</v>
      </c>
      <c r="E35" s="4" t="s">
        <v>283</v>
      </c>
      <c r="F35" s="4" t="s">
        <v>35</v>
      </c>
      <c r="G35" s="41" t="e">
        <f>表格1_14[[#This Row],[加權後總分]]-表格1_14[[#This Row],[獎懲分數]]</f>
        <v>#DIV/0!</v>
      </c>
      <c r="H3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5" s="39" t="e">
        <f t="shared" si="4"/>
        <v>#DIV/0!</v>
      </c>
      <c r="J35" s="36" t="e">
        <f t="shared" si="3"/>
        <v>#DIV/0!</v>
      </c>
      <c r="K35" s="8" t="e">
        <f t="shared" si="1"/>
        <v>#DIV/0!</v>
      </c>
      <c r="L35" s="8" t="e">
        <f t="shared" si="2"/>
        <v>#DIV/0!</v>
      </c>
      <c r="M35" s="8" t="e">
        <f>表格1_3[[#This Row],[部內平均]]</f>
        <v>#DIV/0!</v>
      </c>
      <c r="N35" s="8"/>
      <c r="O35" s="8" t="e">
        <f>表格1_3[[#This Row],[複評平均]]</f>
        <v>#DIV/0!</v>
      </c>
      <c r="P35" s="3"/>
      <c r="Q35" s="3"/>
      <c r="R35" s="3"/>
      <c r="S35" s="3"/>
      <c r="T35" s="3"/>
      <c r="U35" s="3"/>
      <c r="V35" s="3"/>
      <c r="W35" s="38">
        <v>77.061224489795933</v>
      </c>
      <c r="X35" s="2">
        <v>33</v>
      </c>
    </row>
    <row r="36" spans="1:24">
      <c r="A36" s="10" t="s">
        <v>396</v>
      </c>
      <c r="B36" s="5" t="s">
        <v>314</v>
      </c>
      <c r="C36" s="14" t="s">
        <v>315</v>
      </c>
      <c r="D36" s="6" t="s">
        <v>266</v>
      </c>
      <c r="E36" s="4" t="s">
        <v>283</v>
      </c>
      <c r="F36" s="4" t="s">
        <v>35</v>
      </c>
      <c r="G36" s="41" t="e">
        <f>表格1_14[[#This Row],[加權後總分]]-表格1_14[[#This Row],[獎懲分數]]</f>
        <v>#DIV/0!</v>
      </c>
      <c r="H3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6" s="39" t="e">
        <f t="shared" si="4"/>
        <v>#DIV/0!</v>
      </c>
      <c r="J36" s="36" t="e">
        <f t="shared" si="3"/>
        <v>#DIV/0!</v>
      </c>
      <c r="K36" s="8" t="e">
        <f t="shared" si="1"/>
        <v>#DIV/0!</v>
      </c>
      <c r="L36" s="8" t="e">
        <f t="shared" si="2"/>
        <v>#DIV/0!</v>
      </c>
      <c r="M36" s="8" t="e">
        <f>表格1_3[[#This Row],[部內平均]]</f>
        <v>#DIV/0!</v>
      </c>
      <c r="N36" s="8"/>
      <c r="O36" s="8" t="e">
        <f>表格1_3[[#This Row],[複評平均]]</f>
        <v>#DIV/0!</v>
      </c>
      <c r="P36" s="3"/>
      <c r="Q36" s="3"/>
      <c r="R36" s="3"/>
      <c r="S36" s="3"/>
      <c r="T36" s="3"/>
      <c r="U36" s="3"/>
      <c r="V36" s="3"/>
      <c r="W36" s="38">
        <v>77</v>
      </c>
      <c r="X36" s="2">
        <v>34</v>
      </c>
    </row>
    <row r="37" spans="1:24">
      <c r="A37" s="10" t="s">
        <v>335</v>
      </c>
      <c r="B37" s="5" t="s">
        <v>162</v>
      </c>
      <c r="C37" s="4" t="s">
        <v>35</v>
      </c>
      <c r="D37" s="6" t="s">
        <v>266</v>
      </c>
      <c r="E37" s="4" t="s">
        <v>286</v>
      </c>
      <c r="F37" s="4" t="s">
        <v>77</v>
      </c>
      <c r="G37" s="41" t="e">
        <f>表格1_14[[#This Row],[加權後總分]]-表格1_14[[#This Row],[獎懲分數]]</f>
        <v>#DIV/0!</v>
      </c>
      <c r="H3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7" s="39" t="e">
        <f t="shared" si="4"/>
        <v>#DIV/0!</v>
      </c>
      <c r="J37" s="36" t="e">
        <f t="shared" si="3"/>
        <v>#DIV/0!</v>
      </c>
      <c r="K37" s="8" t="e">
        <f t="shared" si="1"/>
        <v>#DIV/0!</v>
      </c>
      <c r="L37" s="8" t="e">
        <f t="shared" si="2"/>
        <v>#DIV/0!</v>
      </c>
      <c r="M37" s="8" t="e">
        <f>表格1_3[[#This Row],[部內平均]]</f>
        <v>#DIV/0!</v>
      </c>
      <c r="N37" s="8" t="e">
        <f>表格1_3[[#This Row],[共評平均]]</f>
        <v>#DIV/0!</v>
      </c>
      <c r="O37" s="8"/>
      <c r="P37" s="3"/>
      <c r="Q37" s="3"/>
      <c r="R37" s="3"/>
      <c r="S37" s="3"/>
      <c r="T37" s="3"/>
      <c r="U37" s="3"/>
      <c r="V37" s="3"/>
      <c r="W37" s="38">
        <v>77</v>
      </c>
      <c r="X37" s="2">
        <v>35</v>
      </c>
    </row>
    <row r="38" spans="1:24">
      <c r="A38" s="10" t="s">
        <v>402</v>
      </c>
      <c r="B38" s="5" t="s">
        <v>163</v>
      </c>
      <c r="C38" s="4" t="s">
        <v>36</v>
      </c>
      <c r="D38" s="6" t="s">
        <v>267</v>
      </c>
      <c r="E38" s="4" t="s">
        <v>283</v>
      </c>
      <c r="F38" s="4" t="s">
        <v>38</v>
      </c>
      <c r="G38" s="41" t="e">
        <f>表格1_14[[#This Row],[加權後總分]]-表格1_14[[#This Row],[獎懲分數]]</f>
        <v>#DIV/0!</v>
      </c>
      <c r="H3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8" s="39" t="e">
        <f t="shared" si="4"/>
        <v>#DIV/0!</v>
      </c>
      <c r="J38" s="36" t="e">
        <f t="shared" si="3"/>
        <v>#DIV/0!</v>
      </c>
      <c r="K38" s="8" t="e">
        <f t="shared" si="1"/>
        <v>#DIV/0!</v>
      </c>
      <c r="L38" s="8" t="e">
        <f t="shared" si="2"/>
        <v>#DIV/0!</v>
      </c>
      <c r="M38" s="8" t="e">
        <f>表格1_3[[#This Row],[部內平均]]</f>
        <v>#DIV/0!</v>
      </c>
      <c r="N38" s="8"/>
      <c r="O38" s="8" t="e">
        <f>表格1_3[[#This Row],[複評平均]]</f>
        <v>#DIV/0!</v>
      </c>
      <c r="P38" s="3"/>
      <c r="Q38" s="3"/>
      <c r="R38" s="3"/>
      <c r="S38" s="3"/>
      <c r="T38" s="3"/>
      <c r="U38" s="3"/>
      <c r="V38" s="3"/>
      <c r="W38" s="38">
        <v>76.959183673469383</v>
      </c>
      <c r="X38" s="2">
        <v>36</v>
      </c>
    </row>
    <row r="39" spans="1:24">
      <c r="A39" s="10" t="s">
        <v>335</v>
      </c>
      <c r="B39" s="5" t="s">
        <v>165</v>
      </c>
      <c r="C39" s="4" t="s">
        <v>38</v>
      </c>
      <c r="D39" s="6" t="s">
        <v>267</v>
      </c>
      <c r="E39" s="4" t="s">
        <v>286</v>
      </c>
      <c r="F39" s="4" t="s">
        <v>74</v>
      </c>
      <c r="G39" s="41" t="e">
        <f>表格1_14[[#This Row],[加權後總分]]-表格1_14[[#This Row],[獎懲分數]]</f>
        <v>#DIV/0!</v>
      </c>
      <c r="H3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39" s="39" t="e">
        <f t="shared" si="4"/>
        <v>#DIV/0!</v>
      </c>
      <c r="J39" s="36" t="e">
        <f t="shared" si="3"/>
        <v>#DIV/0!</v>
      </c>
      <c r="K39" s="8" t="e">
        <f t="shared" si="1"/>
        <v>#DIV/0!</v>
      </c>
      <c r="L39" s="8" t="e">
        <f t="shared" si="2"/>
        <v>#DIV/0!</v>
      </c>
      <c r="M39" s="8" t="e">
        <f>表格1_3[[#This Row],[部內平均]]</f>
        <v>#DIV/0!</v>
      </c>
      <c r="N39" s="8" t="e">
        <f>表格1_3[[#This Row],[共評平均]]</f>
        <v>#DIV/0!</v>
      </c>
      <c r="O39" s="8"/>
      <c r="P39" s="3"/>
      <c r="Q39" s="3"/>
      <c r="R39" s="3"/>
      <c r="S39" s="3"/>
      <c r="T39" s="3"/>
      <c r="U39" s="3"/>
      <c r="V39" s="3"/>
      <c r="W39" s="38">
        <v>76.816666666666663</v>
      </c>
      <c r="X39" s="2">
        <v>37</v>
      </c>
    </row>
    <row r="40" spans="1:24">
      <c r="A40" s="10" t="s">
        <v>335</v>
      </c>
      <c r="B40" s="5" t="s">
        <v>164</v>
      </c>
      <c r="C40" s="4" t="s">
        <v>37</v>
      </c>
      <c r="D40" s="6" t="s">
        <v>267</v>
      </c>
      <c r="E40" s="4" t="s">
        <v>285</v>
      </c>
      <c r="F40" s="4" t="s">
        <v>38</v>
      </c>
      <c r="G40" s="41" t="e">
        <f>表格1_14[[#This Row],[加權後總分]]-表格1_14[[#This Row],[獎懲分數]]</f>
        <v>#DIV/0!</v>
      </c>
      <c r="H4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0" s="39" t="e">
        <f t="shared" si="4"/>
        <v>#DIV/0!</v>
      </c>
      <c r="J40" s="36" t="e">
        <f t="shared" si="3"/>
        <v>#DIV/0!</v>
      </c>
      <c r="K40" s="8" t="e">
        <f t="shared" si="1"/>
        <v>#DIV/0!</v>
      </c>
      <c r="L40" s="8" t="e">
        <f t="shared" si="2"/>
        <v>#DIV/0!</v>
      </c>
      <c r="M40" s="8" t="e">
        <f>表格1_3[[#This Row],[部內平均]]</f>
        <v>#DIV/0!</v>
      </c>
      <c r="N40" s="8" t="e">
        <f>表格1_3[[#This Row],[共評平均]]</f>
        <v>#DIV/0!</v>
      </c>
      <c r="O40" s="8" t="e">
        <f>表格1_3[[#This Row],[複評平均]]</f>
        <v>#DIV/0!</v>
      </c>
      <c r="P40" s="3"/>
      <c r="Q40" s="3"/>
      <c r="R40" s="3"/>
      <c r="S40" s="3"/>
      <c r="T40" s="3"/>
      <c r="U40" s="3"/>
      <c r="V40" s="3"/>
      <c r="W40" s="38">
        <v>76.800000000000011</v>
      </c>
      <c r="X40" s="2">
        <v>38</v>
      </c>
    </row>
    <row r="41" spans="1:24">
      <c r="A41" s="10" t="s">
        <v>403</v>
      </c>
      <c r="B41" s="5" t="s">
        <v>166</v>
      </c>
      <c r="C41" s="13" t="s">
        <v>39</v>
      </c>
      <c r="D41" s="6" t="s">
        <v>267</v>
      </c>
      <c r="E41" s="4" t="s">
        <v>283</v>
      </c>
      <c r="F41" s="4" t="s">
        <v>93</v>
      </c>
      <c r="G41" s="41" t="e">
        <f>表格1_14[[#This Row],[加權後總分]]-表格1_14[[#This Row],[獎懲分數]]</f>
        <v>#DIV/0!</v>
      </c>
      <c r="H4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1" s="39" t="e">
        <f t="shared" si="4"/>
        <v>#DIV/0!</v>
      </c>
      <c r="J41" s="36" t="e">
        <f t="shared" si="3"/>
        <v>#DIV/0!</v>
      </c>
      <c r="K41" s="8" t="e">
        <f t="shared" si="1"/>
        <v>#DIV/0!</v>
      </c>
      <c r="L41" s="8" t="e">
        <f t="shared" si="2"/>
        <v>#DIV/0!</v>
      </c>
      <c r="M41" s="8" t="e">
        <f>表格1_3[[#This Row],[部內平均]]</f>
        <v>#DIV/0!</v>
      </c>
      <c r="N41" s="8"/>
      <c r="O41" s="8" t="e">
        <f>表格1_3[[#This Row],[複評平均]]</f>
        <v>#DIV/0!</v>
      </c>
      <c r="P41" s="3"/>
      <c r="Q41" s="3"/>
      <c r="R41" s="3"/>
      <c r="S41" s="3"/>
      <c r="T41" s="3"/>
      <c r="U41" s="3"/>
      <c r="V41" s="3"/>
      <c r="W41" s="38">
        <v>76.8</v>
      </c>
      <c r="X41" s="2">
        <v>39</v>
      </c>
    </row>
    <row r="42" spans="1:24">
      <c r="A42" s="10" t="s">
        <v>396</v>
      </c>
      <c r="B42" s="5" t="s">
        <v>167</v>
      </c>
      <c r="C42" s="4" t="s">
        <v>40</v>
      </c>
      <c r="D42" s="6" t="s">
        <v>267</v>
      </c>
      <c r="E42" s="4" t="s">
        <v>283</v>
      </c>
      <c r="F42" s="4" t="s">
        <v>38</v>
      </c>
      <c r="G42" s="41" t="e">
        <f>表格1_14[[#This Row],[加權後總分]]-表格1_14[[#This Row],[獎懲分數]]</f>
        <v>#DIV/0!</v>
      </c>
      <c r="H4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2" s="39" t="e">
        <f t="shared" si="4"/>
        <v>#DIV/0!</v>
      </c>
      <c r="J42" s="36" t="e">
        <f t="shared" si="3"/>
        <v>#DIV/0!</v>
      </c>
      <c r="K42" s="8" t="e">
        <f t="shared" si="1"/>
        <v>#DIV/0!</v>
      </c>
      <c r="L42" s="8" t="e">
        <f t="shared" si="2"/>
        <v>#DIV/0!</v>
      </c>
      <c r="M42" s="8" t="e">
        <f>表格1_3[[#This Row],[部內平均]]</f>
        <v>#DIV/0!</v>
      </c>
      <c r="N42" s="8"/>
      <c r="O42" s="8" t="e">
        <f>表格1_3[[#This Row],[複評平均]]</f>
        <v>#DIV/0!</v>
      </c>
      <c r="P42" s="3"/>
      <c r="Q42" s="3"/>
      <c r="R42" s="3"/>
      <c r="S42" s="3"/>
      <c r="T42" s="3"/>
      <c r="U42" s="3"/>
      <c r="V42" s="3"/>
      <c r="W42" s="38">
        <v>76.400000000000006</v>
      </c>
      <c r="X42" s="2">
        <v>40</v>
      </c>
    </row>
    <row r="43" spans="1:24">
      <c r="A43" s="10" t="s">
        <v>404</v>
      </c>
      <c r="B43" s="5" t="s">
        <v>168</v>
      </c>
      <c r="C43" s="4" t="s">
        <v>41</v>
      </c>
      <c r="D43" s="6" t="s">
        <v>267</v>
      </c>
      <c r="E43" s="4" t="s">
        <v>283</v>
      </c>
      <c r="F43" s="4" t="s">
        <v>38</v>
      </c>
      <c r="G43" s="41" t="e">
        <f>表格1_14[[#This Row],[加權後總分]]-表格1_14[[#This Row],[獎懲分數]]</f>
        <v>#DIV/0!</v>
      </c>
      <c r="H4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3" s="39" t="e">
        <f t="shared" si="4"/>
        <v>#DIV/0!</v>
      </c>
      <c r="J43" s="36" t="e">
        <f t="shared" si="3"/>
        <v>#DIV/0!</v>
      </c>
      <c r="K43" s="8" t="e">
        <f t="shared" si="1"/>
        <v>#DIV/0!</v>
      </c>
      <c r="L43" s="8" t="e">
        <f t="shared" si="2"/>
        <v>#DIV/0!</v>
      </c>
      <c r="M43" s="8" t="e">
        <f>表格1_3[[#This Row],[部內平均]]</f>
        <v>#DIV/0!</v>
      </c>
      <c r="N43" s="8"/>
      <c r="O43" s="8" t="e">
        <f>表格1_3[[#This Row],[複評平均]]</f>
        <v>#DIV/0!</v>
      </c>
      <c r="P43" s="3"/>
      <c r="Q43" s="3"/>
      <c r="R43" s="3"/>
      <c r="S43" s="3"/>
      <c r="T43" s="3"/>
      <c r="U43" s="3"/>
      <c r="V43" s="3"/>
      <c r="W43" s="38">
        <v>76.400000000000006</v>
      </c>
      <c r="X43" s="2">
        <v>41</v>
      </c>
    </row>
    <row r="44" spans="1:24">
      <c r="A44" s="10" t="s">
        <v>383</v>
      </c>
      <c r="B44" s="5" t="s">
        <v>169</v>
      </c>
      <c r="C44" s="4" t="s">
        <v>42</v>
      </c>
      <c r="D44" s="6" t="s">
        <v>268</v>
      </c>
      <c r="E44" s="4" t="s">
        <v>287</v>
      </c>
      <c r="F44" s="4" t="s">
        <v>120</v>
      </c>
      <c r="G44" s="41" t="e">
        <f>表格1_14[[#This Row],[加權後總分]]-表格1_14[[#This Row],[獎懲分數]]</f>
        <v>#DIV/0!</v>
      </c>
      <c r="H4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4" s="39" t="e">
        <f t="shared" si="4"/>
        <v>#DIV/0!</v>
      </c>
      <c r="J44" s="36" t="e">
        <f t="shared" si="3"/>
        <v>#DIV/0!</v>
      </c>
      <c r="K44" s="8" t="e">
        <f t="shared" si="1"/>
        <v>#DIV/0!</v>
      </c>
      <c r="L44" s="8" t="e">
        <f t="shared" si="2"/>
        <v>#DIV/0!</v>
      </c>
      <c r="M44" s="8" t="e">
        <f>表格1_3[[#This Row],[部內平均]]</f>
        <v>#DIV/0!</v>
      </c>
      <c r="N44" s="8" t="e">
        <f>表格1_3[[#This Row],[共評平均]]</f>
        <v>#DIV/0!</v>
      </c>
      <c r="O44" s="8">
        <v>76</v>
      </c>
      <c r="P44" s="3"/>
      <c r="Q44" s="3"/>
      <c r="R44" s="3"/>
      <c r="S44" s="3"/>
      <c r="T44" s="3"/>
      <c r="U44" s="3"/>
      <c r="V44" s="3"/>
      <c r="W44" s="38">
        <v>76</v>
      </c>
      <c r="X44" s="2">
        <v>42</v>
      </c>
    </row>
    <row r="45" spans="1:24">
      <c r="A45" s="10" t="s">
        <v>382</v>
      </c>
      <c r="B45" s="5" t="s">
        <v>171</v>
      </c>
      <c r="C45" s="4" t="s">
        <v>44</v>
      </c>
      <c r="D45" s="6" t="s">
        <v>268</v>
      </c>
      <c r="E45" s="4" t="s">
        <v>287</v>
      </c>
      <c r="F45" s="4" t="s">
        <v>120</v>
      </c>
      <c r="G45" s="41" t="e">
        <f>表格1_14[[#This Row],[加權後總分]]-表格1_14[[#This Row],[獎懲分數]]</f>
        <v>#DIV/0!</v>
      </c>
      <c r="H4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5" s="39" t="e">
        <f t="shared" si="4"/>
        <v>#DIV/0!</v>
      </c>
      <c r="J45" s="36" t="e">
        <f t="shared" si="3"/>
        <v>#DIV/0!</v>
      </c>
      <c r="K45" s="8" t="e">
        <f t="shared" si="1"/>
        <v>#DIV/0!</v>
      </c>
      <c r="L45" s="8" t="e">
        <f t="shared" si="2"/>
        <v>#DIV/0!</v>
      </c>
      <c r="M45" s="8" t="e">
        <f>表格1_3[[#This Row],[部內平均]]</f>
        <v>#DIV/0!</v>
      </c>
      <c r="N45" s="8" t="e">
        <f>表格1_3[[#This Row],[共評平均]]</f>
        <v>#DIV/0!</v>
      </c>
      <c r="O45" s="8">
        <v>85</v>
      </c>
      <c r="P45" s="3"/>
      <c r="Q45" s="3"/>
      <c r="R45" s="3"/>
      <c r="S45" s="3"/>
      <c r="T45" s="3"/>
      <c r="U45" s="3"/>
      <c r="V45" s="3"/>
      <c r="W45" s="38">
        <v>76</v>
      </c>
      <c r="X45" s="2">
        <v>43</v>
      </c>
    </row>
    <row r="46" spans="1:24">
      <c r="A46" s="10" t="s">
        <v>380</v>
      </c>
      <c r="B46" s="5" t="s">
        <v>172</v>
      </c>
      <c r="C46" s="4" t="s">
        <v>45</v>
      </c>
      <c r="D46" s="6" t="s">
        <v>268</v>
      </c>
      <c r="E46" s="4" t="s">
        <v>288</v>
      </c>
      <c r="F46" s="4" t="s">
        <v>120</v>
      </c>
      <c r="G46" s="41" t="e">
        <f>表格1_14[[#This Row],[加權後總分]]</f>
        <v>#DIV/0!</v>
      </c>
      <c r="H4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6" s="39" t="e">
        <f t="shared" si="4"/>
        <v>#DIV/0!</v>
      </c>
      <c r="J46" s="36" t="e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)+表格1_14[[#This Row],[獎懲分數]]</f>
        <v>#DIV/0!</v>
      </c>
      <c r="K46" s="8" t="e">
        <f t="shared" si="1"/>
        <v>#DIV/0!</v>
      </c>
      <c r="L46" s="8" t="e">
        <f t="shared" si="2"/>
        <v>#DIV/0!</v>
      </c>
      <c r="M46" s="8" t="e">
        <f>表格1_3[[#This Row],[部內平均]]</f>
        <v>#DIV/0!</v>
      </c>
      <c r="N46" s="8" t="e">
        <f>表格1_3[[#This Row],[共評平均]]</f>
        <v>#DIV/0!</v>
      </c>
      <c r="O46" s="8">
        <v>77.2</v>
      </c>
      <c r="P46" s="3"/>
      <c r="Q46" s="3"/>
      <c r="R46" s="3"/>
      <c r="S46" s="3"/>
      <c r="T46" s="3"/>
      <c r="U46" s="3"/>
      <c r="V46" s="3">
        <v>-10</v>
      </c>
      <c r="W46" s="38">
        <v>75.900000000000006</v>
      </c>
      <c r="X46" s="2">
        <v>44</v>
      </c>
    </row>
    <row r="47" spans="1:24">
      <c r="A47" s="10" t="s">
        <v>380</v>
      </c>
      <c r="B47" s="5" t="s">
        <v>173</v>
      </c>
      <c r="C47" s="4" t="s">
        <v>46</v>
      </c>
      <c r="D47" s="6" t="s">
        <v>268</v>
      </c>
      <c r="E47" s="4" t="s">
        <v>287</v>
      </c>
      <c r="F47" s="4" t="s">
        <v>120</v>
      </c>
      <c r="G47" s="41" t="e">
        <f>表格1_14[[#This Row],[加權後總分]]-表格1_14[[#This Row],[獎懲分數]]</f>
        <v>#DIV/0!</v>
      </c>
      <c r="H4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7" s="39" t="e">
        <f t="shared" si="4"/>
        <v>#DIV/0!</v>
      </c>
      <c r="J47" s="36" t="e">
        <f>IF(
AND(M47&lt;&gt;"",N47&lt;&gt;"",O47&lt;&gt;""),
M47*20% + N47*50% + O47*30%,
IF(
AND(M47&lt;&gt;"",N47="",O47=""),
M47,
IF(
AND(M47="",N47&lt;&gt;"",O47=""),
N47,
IF(
AND(M47="",N47="",O47&lt;&gt;""),
O47,
IF(
AND(M47&lt;&gt;"",N47&lt;&gt;"",O47=""),
M47/(20%+50%)*20% + N47/(20%+50%)*50%,
IF(
AND(M47&lt;&gt;"",N47="",O47&lt;&gt;""),
M47/(20%+30%)*20% + O47/(20%+30%)*30%,
IF(
AND(M47="",N47&lt;&gt;"",O47&lt;&gt;""),
N47/(50%+30%)*50% + O47/(50%+30%)*30%,
""
)
)
)
)
)
) + V47
)</f>
        <v>#DIV/0!</v>
      </c>
      <c r="K47" s="8" t="e">
        <f t="shared" si="1"/>
        <v>#DIV/0!</v>
      </c>
      <c r="L47" s="8" t="e">
        <f t="shared" si="2"/>
        <v>#DIV/0!</v>
      </c>
      <c r="M47" s="8" t="e">
        <f>表格1_3[[#This Row],[部內平均]]</f>
        <v>#DIV/0!</v>
      </c>
      <c r="N47" s="8" t="e">
        <f>表格1_3[[#This Row],[共評平均]]</f>
        <v>#DIV/0!</v>
      </c>
      <c r="O47" s="8">
        <v>71</v>
      </c>
      <c r="P47" s="3"/>
      <c r="Q47" s="3"/>
      <c r="R47" s="3"/>
      <c r="S47" s="3"/>
      <c r="T47" s="3"/>
      <c r="U47" s="3"/>
      <c r="V47" s="3"/>
      <c r="W47" s="38">
        <v>75.849999999999994</v>
      </c>
      <c r="X47" s="2">
        <v>45</v>
      </c>
    </row>
    <row r="48" spans="1:24">
      <c r="A48" s="10" t="s">
        <v>392</v>
      </c>
      <c r="B48" s="5" t="s">
        <v>170</v>
      </c>
      <c r="C48" s="4" t="s">
        <v>43</v>
      </c>
      <c r="D48" s="6" t="s">
        <v>268</v>
      </c>
      <c r="E48" s="4" t="s">
        <v>287</v>
      </c>
      <c r="F48" s="4" t="s">
        <v>45</v>
      </c>
      <c r="G48" s="41"/>
      <c r="H48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48" s="39" t="e">
        <f t="shared" si="4"/>
        <v>#DIV/0!</v>
      </c>
      <c r="J48" s="36"/>
      <c r="K48" s="8"/>
      <c r="L48" s="8"/>
      <c r="M48" s="8" t="e">
        <f>表格1_3[[#This Row],[部內平均]]</f>
        <v>#DIV/0!</v>
      </c>
      <c r="N48" s="8" t="e">
        <f>表格1_3[[#This Row],[共評平均]]</f>
        <v>#DIV/0!</v>
      </c>
      <c r="O48" s="8" t="e">
        <f>表格1_3[[#This Row],[複評平均]]</f>
        <v>#DIV/0!</v>
      </c>
      <c r="P48" s="3"/>
      <c r="Q48" s="3"/>
      <c r="R48" s="3"/>
      <c r="S48" s="3"/>
      <c r="T48" s="3"/>
      <c r="U48" s="3"/>
      <c r="V48" s="3"/>
      <c r="W48" s="38">
        <v>75.8</v>
      </c>
      <c r="X48" s="2">
        <v>46</v>
      </c>
    </row>
    <row r="49" spans="1:24" ht="26">
      <c r="A49" s="10" t="s">
        <v>383</v>
      </c>
      <c r="B49" s="5" t="s">
        <v>175</v>
      </c>
      <c r="C49" s="4" t="s">
        <v>48</v>
      </c>
      <c r="D49" s="6" t="s">
        <v>269</v>
      </c>
      <c r="E49" s="4" t="s">
        <v>290</v>
      </c>
      <c r="F49" s="4" t="s">
        <v>53</v>
      </c>
      <c r="G49" s="41" t="e">
        <f>表格1_14[[#This Row],[加權後總分]]-表格1_14[[#This Row],[獎懲分數]]</f>
        <v>#DIV/0!</v>
      </c>
      <c r="H4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49" s="39" t="e">
        <f t="shared" si="4"/>
        <v>#DIV/0!</v>
      </c>
      <c r="J49" s="36" t="e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>#DIV/0!</v>
      </c>
      <c r="K49" s="8" t="e">
        <f>IF(J49&gt;=90,"A",
 IF(J49&gt;=77,"B",
 IF(J49&gt;=70,"C",
 IF(J49&gt;=60,"D","E"))))</f>
        <v>#DIV/0!</v>
      </c>
      <c r="L49" s="8" t="e">
        <f>_xlfn.RANK.EQ(J49,$J$2:$J$146,0)</f>
        <v>#DIV/0!</v>
      </c>
      <c r="M49" s="8" t="e">
        <f>表格1_3[[#This Row],[部內平均]]</f>
        <v>#DIV/0!</v>
      </c>
      <c r="N49" s="8" t="e">
        <f>表格1_3[[#This Row],[共評平均]]</f>
        <v>#DIV/0!</v>
      </c>
      <c r="O49" s="8" t="e">
        <f>表格1_3[[#This Row],[複評平均]]</f>
        <v>#DIV/0!</v>
      </c>
      <c r="P49" s="3"/>
      <c r="Q49" s="3"/>
      <c r="R49" s="3"/>
      <c r="S49" s="3"/>
      <c r="T49" s="3"/>
      <c r="U49" s="3"/>
      <c r="V49" s="3"/>
      <c r="W49" s="38">
        <v>75.8</v>
      </c>
      <c r="X49" s="2">
        <v>47</v>
      </c>
    </row>
    <row r="50" spans="1:24">
      <c r="A50" s="10" t="s">
        <v>390</v>
      </c>
      <c r="B50" s="5" t="s">
        <v>176</v>
      </c>
      <c r="C50" s="13" t="s">
        <v>49</v>
      </c>
      <c r="D50" s="6" t="s">
        <v>269</v>
      </c>
      <c r="E50" s="4" t="s">
        <v>283</v>
      </c>
      <c r="F50" s="4" t="s">
        <v>93</v>
      </c>
      <c r="G50" s="41" t="e">
        <f>表格1_14[[#This Row],[加權後總分]]-表格1_14[[#This Row],[獎懲分數]]</f>
        <v>#DIV/0!</v>
      </c>
      <c r="H5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0" s="39" t="e">
        <f t="shared" si="4"/>
        <v>#DIV/0!</v>
      </c>
      <c r="J50" s="36" t="e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>#DIV/0!</v>
      </c>
      <c r="K50" s="8" t="e">
        <f>IF(J50&gt;=90,"A",
 IF(J50&gt;=77,"B",
 IF(J50&gt;=70,"C",
 IF(J50&gt;=60,"D","E"))))</f>
        <v>#DIV/0!</v>
      </c>
      <c r="L50" s="8" t="e">
        <f>_xlfn.RANK.EQ(J50,$J$2:$J$146,0)</f>
        <v>#DIV/0!</v>
      </c>
      <c r="M50" s="8" t="e">
        <f>表格1_3[[#This Row],[部內平均]]</f>
        <v>#DIV/0!</v>
      </c>
      <c r="N50" s="8" t="e">
        <f>表格1_3[[#This Row],[共評平均]]</f>
        <v>#DIV/0!</v>
      </c>
      <c r="O50" s="8" t="e">
        <f>表格1_3[[#This Row],[複評平均]]</f>
        <v>#DIV/0!</v>
      </c>
      <c r="P50" s="3"/>
      <c r="Q50" s="3"/>
      <c r="R50" s="3"/>
      <c r="S50" s="3"/>
      <c r="T50" s="3"/>
      <c r="U50" s="3"/>
      <c r="V50" s="3"/>
      <c r="W50" s="38">
        <v>75.7</v>
      </c>
      <c r="X50" s="2">
        <v>48</v>
      </c>
    </row>
    <row r="51" spans="1:24">
      <c r="A51" s="10" t="s">
        <v>338</v>
      </c>
      <c r="B51" s="5" t="s">
        <v>177</v>
      </c>
      <c r="C51" s="4" t="s">
        <v>50</v>
      </c>
      <c r="D51" s="6" t="s">
        <v>269</v>
      </c>
      <c r="E51" s="4" t="s">
        <v>291</v>
      </c>
      <c r="F51" s="4" t="s">
        <v>53</v>
      </c>
      <c r="G51" s="41" t="e">
        <f>表格1_14[[#This Row],[加權後總分]]-表格1_14[[#This Row],[獎懲分數]]</f>
        <v>#DIV/0!</v>
      </c>
      <c r="H5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1" s="39" t="e">
        <f t="shared" si="4"/>
        <v>#DIV/0!</v>
      </c>
      <c r="J51" s="36" t="e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>#DIV/0!</v>
      </c>
      <c r="K51" s="8" t="e">
        <f>IF(J51&gt;=90,"A",
 IF(J51&gt;=77,"B",
 IF(J51&gt;=70,"C",
 IF(J51&gt;=60,"D","E"))))</f>
        <v>#DIV/0!</v>
      </c>
      <c r="L51" s="8" t="e">
        <f>_xlfn.RANK.EQ(J51,$J$2:$J$146,0)</f>
        <v>#DIV/0!</v>
      </c>
      <c r="M51" s="8" t="e">
        <f>表格1_3[[#This Row],[部內平均]]</f>
        <v>#DIV/0!</v>
      </c>
      <c r="N51" s="8" t="e">
        <f>表格1_3[[#This Row],[共評平均]]</f>
        <v>#DIV/0!</v>
      </c>
      <c r="O51" s="8" t="e">
        <f>表格1_3[[#This Row],[複評平均]]</f>
        <v>#DIV/0!</v>
      </c>
      <c r="P51" s="3"/>
      <c r="Q51" s="3"/>
      <c r="R51" s="3"/>
      <c r="S51" s="3"/>
      <c r="T51" s="3"/>
      <c r="U51" s="3"/>
      <c r="V51" s="3"/>
      <c r="W51" s="38">
        <v>75.599999999999994</v>
      </c>
      <c r="X51" s="2">
        <v>49</v>
      </c>
    </row>
    <row r="52" spans="1:24">
      <c r="A52" s="10" t="s">
        <v>337</v>
      </c>
      <c r="B52" s="5" t="s">
        <v>174</v>
      </c>
      <c r="C52" s="4" t="s">
        <v>47</v>
      </c>
      <c r="D52" s="6" t="s">
        <v>269</v>
      </c>
      <c r="E52" s="4" t="s">
        <v>289</v>
      </c>
      <c r="F52" s="4" t="s">
        <v>53</v>
      </c>
      <c r="G52" s="41" t="e">
        <f>表格1_14[[#This Row],[加權後總分]]-表格1_14[[#This Row],[獎懲分數]]</f>
        <v>#DIV/0!</v>
      </c>
      <c r="H5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2" s="39" t="e">
        <f t="shared" si="4"/>
        <v>#DIV/0!</v>
      </c>
      <c r="J52" s="36" t="e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>#DIV/0!</v>
      </c>
      <c r="K52" s="8" t="e">
        <f>IF(J52&gt;=90,"A",
 IF(J52&gt;=77,"B",
 IF(J52&gt;=70,"C",
 IF(J52&gt;=60,"D","E"))))</f>
        <v>#DIV/0!</v>
      </c>
      <c r="L52" s="8" t="e">
        <f>_xlfn.RANK.EQ(J52,$J$2:$J$146,0)</f>
        <v>#DIV/0!</v>
      </c>
      <c r="M52" s="8" t="e">
        <f>表格1_3[[#This Row],[部內平均]]</f>
        <v>#DIV/0!</v>
      </c>
      <c r="N52" s="8" t="e">
        <f>表格1_3[[#This Row],[共評平均]]</f>
        <v>#DIV/0!</v>
      </c>
      <c r="O52" s="8" t="e">
        <f>表格1_3[[#This Row],[複評平均]]</f>
        <v>#DIV/0!</v>
      </c>
      <c r="P52" s="3"/>
      <c r="Q52" s="3"/>
      <c r="R52" s="3"/>
      <c r="S52" s="3"/>
      <c r="T52" s="3"/>
      <c r="U52" s="3"/>
      <c r="V52" s="3"/>
      <c r="W52" s="38">
        <v>75.199999999999989</v>
      </c>
      <c r="X52" s="2">
        <v>50</v>
      </c>
    </row>
    <row r="53" spans="1:24">
      <c r="A53" s="10" t="s">
        <v>387</v>
      </c>
      <c r="B53" s="5" t="s">
        <v>316</v>
      </c>
      <c r="C53" s="9" t="s">
        <v>317</v>
      </c>
      <c r="D53" s="6" t="s">
        <v>269</v>
      </c>
      <c r="E53" s="4" t="s">
        <v>327</v>
      </c>
      <c r="F53" s="4" t="s">
        <v>53</v>
      </c>
      <c r="G53" s="41"/>
      <c r="H53" s="39"/>
      <c r="I53" s="39"/>
      <c r="J53" s="36"/>
      <c r="K53" s="8"/>
      <c r="L53" s="8"/>
      <c r="M53" s="8" t="e">
        <f>表格1_3[[#This Row],[部內平均]]</f>
        <v>#DIV/0!</v>
      </c>
      <c r="N53" s="8" t="e">
        <f>表格1_3[[#This Row],[共評平均]]</f>
        <v>#DIV/0!</v>
      </c>
      <c r="O53" s="8" t="e">
        <f>表格1_3[[#This Row],[複評平均]]</f>
        <v>#DIV/0!</v>
      </c>
      <c r="P53" s="3"/>
      <c r="Q53" s="3"/>
      <c r="R53" s="3"/>
      <c r="S53" s="3"/>
      <c r="T53" s="3"/>
      <c r="U53" s="3"/>
      <c r="V53" s="3"/>
      <c r="W53" s="38">
        <v>75.099999999999994</v>
      </c>
      <c r="X53" s="2">
        <v>51</v>
      </c>
    </row>
    <row r="54" spans="1:24">
      <c r="A54" s="10" t="s">
        <v>339</v>
      </c>
      <c r="B54" s="5" t="s">
        <v>178</v>
      </c>
      <c r="C54" s="4" t="s">
        <v>51</v>
      </c>
      <c r="D54" s="6" t="s">
        <v>269</v>
      </c>
      <c r="E54" s="4" t="s">
        <v>5</v>
      </c>
      <c r="F54" s="4" t="s">
        <v>120</v>
      </c>
      <c r="G54" s="41" t="e">
        <f>表格1_14[[#This Row],[加權後總分]]-表格1_14[[#This Row],[獎懲分數]]</f>
        <v>#DIV/0!</v>
      </c>
      <c r="H5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4" s="39" t="e">
        <f>_xlfn.RANK.EQ(G54,$G$2:$G$146,0)</f>
        <v>#DIV/0!</v>
      </c>
      <c r="J54" s="36" t="e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>#DIV/0!</v>
      </c>
      <c r="K54" s="8" t="e">
        <f>IF(J54&gt;=90,"A",
 IF(J54&gt;=77,"B",
 IF(J54&gt;=70,"C",
 IF(J54&gt;=60,"D","E"))))</f>
        <v>#DIV/0!</v>
      </c>
      <c r="L54" s="8" t="e">
        <f>_xlfn.RANK.EQ(J54,$J$2:$J$146,0)</f>
        <v>#DIV/0!</v>
      </c>
      <c r="M54" s="8" t="e">
        <f>表格1_3[[#This Row],[部內平均]]</f>
        <v>#DIV/0!</v>
      </c>
      <c r="N54" s="8" t="e">
        <f>表格1_3[[#This Row],[共評平均]]</f>
        <v>#DIV/0!</v>
      </c>
      <c r="O54" s="8"/>
      <c r="P54" s="3"/>
      <c r="Q54" s="3"/>
      <c r="R54" s="3"/>
      <c r="S54" s="3">
        <v>2</v>
      </c>
      <c r="T54" s="3"/>
      <c r="U54" s="3"/>
      <c r="V54" s="3">
        <v>-6</v>
      </c>
      <c r="W54" s="38">
        <v>74.826666666666668</v>
      </c>
      <c r="X54" s="2">
        <v>52</v>
      </c>
    </row>
    <row r="55" spans="1:24">
      <c r="A55" s="10" t="s">
        <v>340</v>
      </c>
      <c r="B55" s="5" t="s">
        <v>182</v>
      </c>
      <c r="C55" s="4" t="s">
        <v>55</v>
      </c>
      <c r="D55" s="6" t="s">
        <v>269</v>
      </c>
      <c r="E55" s="4" t="s">
        <v>5</v>
      </c>
      <c r="F55" s="4" t="s">
        <v>53</v>
      </c>
      <c r="G55" s="41" t="e">
        <f>表格1_14[[#This Row],[加權後總分]]-表格1_14[[#This Row],[獎懲分數]]</f>
        <v>#DIV/0!</v>
      </c>
      <c r="H5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5" s="39" t="e">
        <f>_xlfn.RANK.EQ(G55,$G$2:$G$146,0)</f>
        <v>#DIV/0!</v>
      </c>
      <c r="J55" s="36" t="e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>#DIV/0!</v>
      </c>
      <c r="K55" s="8" t="e">
        <f>IF(J55&gt;=90,"A",
 IF(J55&gt;=77,"B",
 IF(J55&gt;=70,"C",
 IF(J55&gt;=60,"D","E"))))</f>
        <v>#DIV/0!</v>
      </c>
      <c r="L55" s="8" t="e">
        <f>_xlfn.RANK.EQ(J55,$J$2:$J$146,0)</f>
        <v>#DIV/0!</v>
      </c>
      <c r="M55" s="8" t="e">
        <f>表格1_3[[#This Row],[部內平均]]</f>
        <v>#DIV/0!</v>
      </c>
      <c r="N55" s="8" t="e">
        <f>表格1_3[[#This Row],[共評平均]]</f>
        <v>#DIV/0!</v>
      </c>
      <c r="O55" s="8"/>
      <c r="P55" s="3"/>
      <c r="Q55" s="3"/>
      <c r="R55" s="3"/>
      <c r="S55" s="3"/>
      <c r="T55" s="3"/>
      <c r="U55" s="3"/>
      <c r="V55" s="3"/>
      <c r="W55" s="38">
        <v>74.8</v>
      </c>
      <c r="X55" s="2">
        <v>53</v>
      </c>
    </row>
    <row r="56" spans="1:24">
      <c r="A56" s="10" t="s">
        <v>341</v>
      </c>
      <c r="B56" s="5" t="s">
        <v>181</v>
      </c>
      <c r="C56" s="4" t="s">
        <v>54</v>
      </c>
      <c r="D56" s="6" t="s">
        <v>269</v>
      </c>
      <c r="E56" s="4" t="s">
        <v>281</v>
      </c>
      <c r="F56" s="4" t="s">
        <v>53</v>
      </c>
      <c r="G56" s="41" t="e">
        <f>表格1_14[[#This Row],[加權後總分]]-表格1_14[[#This Row],[獎懲分數]]</f>
        <v>#DIV/0!</v>
      </c>
      <c r="H5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6" s="39" t="e">
        <f>_xlfn.RANK.EQ(G56,$G$2:$G$146,0)</f>
        <v>#DIV/0!</v>
      </c>
      <c r="J56" s="36" t="e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>#DIV/0!</v>
      </c>
      <c r="K56" s="8" t="e">
        <f>IF(J56&gt;=90,"A",
 IF(J56&gt;=77,"B",
 IF(J56&gt;=70,"C",
 IF(J56&gt;=60,"D","E"))))</f>
        <v>#DIV/0!</v>
      </c>
      <c r="L56" s="8" t="e">
        <f>_xlfn.RANK.EQ(J56,$J$2:$J$146,0)</f>
        <v>#DIV/0!</v>
      </c>
      <c r="M56" s="8" t="e">
        <f>表格1_3[[#This Row],[部內平均]]</f>
        <v>#DIV/0!</v>
      </c>
      <c r="N56" s="8" t="e">
        <f>表格1_3[[#This Row],[共評平均]]</f>
        <v>#DIV/0!</v>
      </c>
      <c r="O56" s="8"/>
      <c r="P56" s="3"/>
      <c r="Q56" s="3"/>
      <c r="R56" s="3"/>
      <c r="S56" s="3"/>
      <c r="T56" s="3"/>
      <c r="U56" s="3"/>
      <c r="V56" s="3"/>
      <c r="W56" s="38">
        <v>74.733333333333334</v>
      </c>
      <c r="X56" s="2">
        <v>54</v>
      </c>
    </row>
    <row r="57" spans="1:24">
      <c r="A57" s="10" t="s">
        <v>388</v>
      </c>
      <c r="B57" s="5" t="s">
        <v>179</v>
      </c>
      <c r="C57" s="4" t="s">
        <v>52</v>
      </c>
      <c r="D57" s="6" t="s">
        <v>269</v>
      </c>
      <c r="E57" s="4" t="s">
        <v>285</v>
      </c>
      <c r="F57" s="4" t="s">
        <v>55</v>
      </c>
      <c r="G57" s="41"/>
      <c r="H57" s="39"/>
      <c r="I57" s="39"/>
      <c r="J57" s="36"/>
      <c r="K57" s="8"/>
      <c r="L57" s="8"/>
      <c r="M57" s="8" t="e">
        <f>表格1_3[[#This Row],[部內平均]]</f>
        <v>#DIV/0!</v>
      </c>
      <c r="N57" s="8" t="e">
        <f>表格1_3[[#This Row],[共評平均]]</f>
        <v>#DIV/0!</v>
      </c>
      <c r="O57" s="8"/>
      <c r="P57" s="3"/>
      <c r="Q57" s="3"/>
      <c r="R57" s="3"/>
      <c r="S57" s="3"/>
      <c r="T57" s="3"/>
      <c r="U57" s="3"/>
      <c r="V57" s="3"/>
      <c r="W57" s="38">
        <v>74.7</v>
      </c>
      <c r="X57" s="2">
        <v>55</v>
      </c>
    </row>
    <row r="58" spans="1:24">
      <c r="A58" s="10" t="s">
        <v>342</v>
      </c>
      <c r="B58" s="5" t="s">
        <v>180</v>
      </c>
      <c r="C58" s="4" t="s">
        <v>53</v>
      </c>
      <c r="D58" s="6" t="s">
        <v>269</v>
      </c>
      <c r="E58" s="4" t="s">
        <v>292</v>
      </c>
      <c r="F58" s="4" t="s">
        <v>119</v>
      </c>
      <c r="G58" s="41" t="e">
        <f>表格1_14[[#This Row],[加權後總分]]-表格1_14[[#This Row],[獎懲分數]]</f>
        <v>#DIV/0!</v>
      </c>
      <c r="H5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8" s="39" t="e">
        <f t="shared" ref="I58:I95" si="5">_xlfn.RANK.EQ(G58,$G$2:$G$146,0)</f>
        <v>#DIV/0!</v>
      </c>
      <c r="J58" s="36" t="e">
        <f t="shared" ref="J58:J65" si="6"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>#DIV/0!</v>
      </c>
      <c r="K58" s="8" t="e">
        <f t="shared" ref="K58:K74" si="7">IF(J58&gt;=90,"A",
 IF(J58&gt;=77,"B",
 IF(J58&gt;=70,"C",
 IF(J58&gt;=60,"D","E"))))</f>
        <v>#DIV/0!</v>
      </c>
      <c r="L58" s="8" t="e">
        <f t="shared" ref="L58:L95" si="8">_xlfn.RANK.EQ(J58,$J$2:$J$146,0)</f>
        <v>#DIV/0!</v>
      </c>
      <c r="M58" s="8" t="e">
        <f>表格1_3[[#This Row],[部內平均]]</f>
        <v>#DIV/0!</v>
      </c>
      <c r="N58" s="8" t="e">
        <f>表格1_3[[#This Row],[共評平均]]</f>
        <v>#DIV/0!</v>
      </c>
      <c r="O58" s="8">
        <v>80</v>
      </c>
      <c r="P58" s="3"/>
      <c r="Q58" s="3"/>
      <c r="R58" s="3"/>
      <c r="S58" s="3"/>
      <c r="T58" s="3"/>
      <c r="U58" s="3"/>
      <c r="V58" s="3"/>
      <c r="W58" s="38">
        <v>74.599999999999994</v>
      </c>
      <c r="X58" s="2">
        <v>56</v>
      </c>
    </row>
    <row r="59" spans="1:24">
      <c r="A59" s="10" t="s">
        <v>383</v>
      </c>
      <c r="B59" s="5" t="s">
        <v>189</v>
      </c>
      <c r="C59" s="13" t="s">
        <v>62</v>
      </c>
      <c r="D59" s="6" t="s">
        <v>269</v>
      </c>
      <c r="E59" s="4" t="s">
        <v>293</v>
      </c>
      <c r="F59" s="4" t="s">
        <v>53</v>
      </c>
      <c r="G59" s="41" t="e">
        <f>表格1_14[[#This Row],[加權後總分]]-表格1_14[[#This Row],[獎懲分數]]</f>
        <v>#DIV/0!</v>
      </c>
      <c r="H5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59" s="39" t="e">
        <f t="shared" si="5"/>
        <v>#DIV/0!</v>
      </c>
      <c r="J59" s="36" t="e">
        <f t="shared" si="6"/>
        <v>#DIV/0!</v>
      </c>
      <c r="K59" s="8" t="e">
        <f t="shared" si="7"/>
        <v>#DIV/0!</v>
      </c>
      <c r="L59" s="8" t="e">
        <f t="shared" si="8"/>
        <v>#DIV/0!</v>
      </c>
      <c r="M59" s="8" t="e">
        <f>表格1_3[[#This Row],[部內平均]]</f>
        <v>#DIV/0!</v>
      </c>
      <c r="N59" s="8" t="e">
        <f>表格1_3[[#This Row],[共評平均]]</f>
        <v>#DIV/0!</v>
      </c>
      <c r="O59" s="8" t="e">
        <f>表格1_3[[#This Row],[複評平均]]</f>
        <v>#DIV/0!</v>
      </c>
      <c r="P59" s="3"/>
      <c r="Q59" s="3"/>
      <c r="R59" s="3"/>
      <c r="S59" s="3"/>
      <c r="T59" s="3"/>
      <c r="U59" s="3"/>
      <c r="V59" s="3"/>
      <c r="W59" s="38">
        <v>74.400000000000006</v>
      </c>
      <c r="X59" s="2">
        <v>57</v>
      </c>
    </row>
    <row r="60" spans="1:24">
      <c r="A60" s="10" t="s">
        <v>386</v>
      </c>
      <c r="B60" s="5" t="s">
        <v>187</v>
      </c>
      <c r="C60" s="4" t="s">
        <v>60</v>
      </c>
      <c r="D60" s="6" t="s">
        <v>269</v>
      </c>
      <c r="E60" s="4" t="s">
        <v>283</v>
      </c>
      <c r="F60" s="4" t="s">
        <v>53</v>
      </c>
      <c r="G60" s="41" t="e">
        <f>表格1_14[[#This Row],[加權後總分]]-表格1_14[[#This Row],[獎懲分數]]</f>
        <v>#DIV/0!</v>
      </c>
      <c r="H6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0" s="39" t="e">
        <f t="shared" si="5"/>
        <v>#DIV/0!</v>
      </c>
      <c r="J60" s="36" t="e">
        <f t="shared" si="6"/>
        <v>#DIV/0!</v>
      </c>
      <c r="K60" s="8" t="e">
        <f t="shared" si="7"/>
        <v>#DIV/0!</v>
      </c>
      <c r="L60" s="8" t="e">
        <f t="shared" si="8"/>
        <v>#DIV/0!</v>
      </c>
      <c r="M60" s="8" t="e">
        <f>表格1_3[[#This Row],[部內平均]]</f>
        <v>#DIV/0!</v>
      </c>
      <c r="N60" s="8" t="e">
        <f>表格1_3[[#This Row],[共評平均]]</f>
        <v>#DIV/0!</v>
      </c>
      <c r="O60" s="8" t="e">
        <f>表格1_3[[#This Row],[複評平均]]</f>
        <v>#DIV/0!</v>
      </c>
      <c r="P60" s="3"/>
      <c r="Q60" s="3"/>
      <c r="R60" s="3"/>
      <c r="S60" s="3"/>
      <c r="T60" s="3"/>
      <c r="U60" s="3"/>
      <c r="V60" s="3"/>
      <c r="W60" s="38">
        <v>74.2</v>
      </c>
      <c r="X60" s="2">
        <v>58</v>
      </c>
    </row>
    <row r="61" spans="1:24">
      <c r="A61" s="10" t="s">
        <v>382</v>
      </c>
      <c r="B61" s="5" t="s">
        <v>188</v>
      </c>
      <c r="C61" s="13" t="s">
        <v>61</v>
      </c>
      <c r="D61" s="6" t="s">
        <v>269</v>
      </c>
      <c r="E61" s="4" t="s">
        <v>283</v>
      </c>
      <c r="F61" s="4" t="s">
        <v>53</v>
      </c>
      <c r="G61" s="41" t="e">
        <f>表格1_14[[#This Row],[加權後總分]]-表格1_14[[#This Row],[獎懲分數]]</f>
        <v>#DIV/0!</v>
      </c>
      <c r="H6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1" s="39" t="e">
        <f t="shared" si="5"/>
        <v>#DIV/0!</v>
      </c>
      <c r="J61" s="36" t="e">
        <f t="shared" si="6"/>
        <v>#DIV/0!</v>
      </c>
      <c r="K61" s="8" t="e">
        <f t="shared" si="7"/>
        <v>#DIV/0!</v>
      </c>
      <c r="L61" s="8" t="e">
        <f t="shared" si="8"/>
        <v>#DIV/0!</v>
      </c>
      <c r="M61" s="8" t="e">
        <f>表格1_3[[#This Row],[部內平均]]</f>
        <v>#DIV/0!</v>
      </c>
      <c r="N61" s="8" t="e">
        <f>表格1_3[[#This Row],[共評平均]]</f>
        <v>#DIV/0!</v>
      </c>
      <c r="O61" s="8" t="e">
        <f>表格1_3[[#This Row],[複評平均]]</f>
        <v>#DIV/0!</v>
      </c>
      <c r="P61" s="3"/>
      <c r="Q61" s="3"/>
      <c r="R61" s="3"/>
      <c r="S61" s="3"/>
      <c r="T61" s="3"/>
      <c r="U61" s="3"/>
      <c r="V61" s="3"/>
      <c r="W61" s="38">
        <v>74.199999999999989</v>
      </c>
      <c r="X61" s="2">
        <v>59</v>
      </c>
    </row>
    <row r="62" spans="1:24">
      <c r="A62" s="10" t="s">
        <v>385</v>
      </c>
      <c r="B62" s="5" t="s">
        <v>183</v>
      </c>
      <c r="C62" s="14" t="s">
        <v>56</v>
      </c>
      <c r="D62" s="6" t="s">
        <v>269</v>
      </c>
      <c r="E62" s="4" t="s">
        <v>283</v>
      </c>
      <c r="F62" s="4" t="s">
        <v>53</v>
      </c>
      <c r="G62" s="41" t="e">
        <f>表格1_14[[#This Row],[加權後總分]]-表格1_14[[#This Row],[獎懲分數]]</f>
        <v>#DIV/0!</v>
      </c>
      <c r="H6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2" s="39" t="e">
        <f t="shared" si="5"/>
        <v>#DIV/0!</v>
      </c>
      <c r="J62" s="36" t="e">
        <f t="shared" si="6"/>
        <v>#DIV/0!</v>
      </c>
      <c r="K62" s="8" t="e">
        <f t="shared" si="7"/>
        <v>#DIV/0!</v>
      </c>
      <c r="L62" s="8" t="e">
        <f t="shared" si="8"/>
        <v>#DIV/0!</v>
      </c>
      <c r="M62" s="8" t="e">
        <f>表格1_3[[#This Row],[部內平均]]</f>
        <v>#DIV/0!</v>
      </c>
      <c r="N62" s="8" t="e">
        <f>表格1_3[[#This Row],[共評平均]]</f>
        <v>#DIV/0!</v>
      </c>
      <c r="O62" s="8" t="e">
        <f>表格1_3[[#This Row],[複評平均]]</f>
        <v>#DIV/0!</v>
      </c>
      <c r="P62" s="3"/>
      <c r="Q62" s="3"/>
      <c r="R62" s="3"/>
      <c r="S62" s="3">
        <v>2</v>
      </c>
      <c r="T62" s="3"/>
      <c r="U62" s="3"/>
      <c r="V62" s="3">
        <v>-6</v>
      </c>
      <c r="W62" s="38">
        <v>74</v>
      </c>
      <c r="X62" s="2">
        <v>60</v>
      </c>
    </row>
    <row r="63" spans="1:24">
      <c r="A63" s="10" t="s">
        <v>389</v>
      </c>
      <c r="B63" s="5" t="s">
        <v>184</v>
      </c>
      <c r="C63" s="13" t="s">
        <v>57</v>
      </c>
      <c r="D63" s="6" t="s">
        <v>269</v>
      </c>
      <c r="E63" s="4" t="s">
        <v>283</v>
      </c>
      <c r="F63" s="4" t="s">
        <v>53</v>
      </c>
      <c r="G63" s="41" t="e">
        <f>表格1_14[[#This Row],[加權後總分]]-表格1_14[[#This Row],[獎懲分數]]</f>
        <v>#DIV/0!</v>
      </c>
      <c r="H6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3" s="39" t="e">
        <f t="shared" si="5"/>
        <v>#DIV/0!</v>
      </c>
      <c r="J63" s="36" t="e">
        <f t="shared" si="6"/>
        <v>#DIV/0!</v>
      </c>
      <c r="K63" s="8" t="e">
        <f t="shared" si="7"/>
        <v>#DIV/0!</v>
      </c>
      <c r="L63" s="8" t="e">
        <f t="shared" si="8"/>
        <v>#DIV/0!</v>
      </c>
      <c r="M63" s="8" t="e">
        <f>表格1_3[[#This Row],[部內平均]]</f>
        <v>#DIV/0!</v>
      </c>
      <c r="N63" s="8" t="e">
        <f>表格1_3[[#This Row],[共評平均]]</f>
        <v>#DIV/0!</v>
      </c>
      <c r="O63" s="8" t="e">
        <f>表格1_3[[#This Row],[複評平均]]</f>
        <v>#DIV/0!</v>
      </c>
      <c r="P63" s="3"/>
      <c r="Q63" s="3"/>
      <c r="R63" s="3"/>
      <c r="S63" s="3">
        <v>1</v>
      </c>
      <c r="T63" s="3"/>
      <c r="U63" s="3"/>
      <c r="V63" s="3">
        <v>-3</v>
      </c>
      <c r="W63" s="38">
        <v>73.800000000000011</v>
      </c>
      <c r="X63" s="2">
        <v>61</v>
      </c>
    </row>
    <row r="64" spans="1:24">
      <c r="A64" s="10" t="s">
        <v>340</v>
      </c>
      <c r="B64" s="5" t="s">
        <v>185</v>
      </c>
      <c r="C64" s="4" t="s">
        <v>58</v>
      </c>
      <c r="D64" s="6" t="s">
        <v>269</v>
      </c>
      <c r="E64" s="4" t="s">
        <v>285</v>
      </c>
      <c r="F64" s="4" t="s">
        <v>53</v>
      </c>
      <c r="G64" s="41" t="e">
        <f>表格1_14[[#This Row],[加權後總分]]-表格1_14[[#This Row],[獎懲分數]]</f>
        <v>#DIV/0!</v>
      </c>
      <c r="H6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4" s="39" t="e">
        <f t="shared" si="5"/>
        <v>#DIV/0!</v>
      </c>
      <c r="J64" s="36" t="e">
        <f t="shared" si="6"/>
        <v>#DIV/0!</v>
      </c>
      <c r="K64" s="8" t="e">
        <f t="shared" si="7"/>
        <v>#DIV/0!</v>
      </c>
      <c r="L64" s="8" t="e">
        <f t="shared" si="8"/>
        <v>#DIV/0!</v>
      </c>
      <c r="M64" s="8" t="e">
        <f>表格1_3[[#This Row],[部內平均]]</f>
        <v>#DIV/0!</v>
      </c>
      <c r="N64" s="8" t="e">
        <f>表格1_3[[#This Row],[共評平均]]</f>
        <v>#DIV/0!</v>
      </c>
      <c r="O64" s="8" t="e">
        <f>表格1_3[[#This Row],[複評平均]]</f>
        <v>#DIV/0!</v>
      </c>
      <c r="P64" s="3"/>
      <c r="Q64" s="3"/>
      <c r="R64" s="3"/>
      <c r="S64" s="3"/>
      <c r="T64" s="3"/>
      <c r="U64" s="3"/>
      <c r="V64" s="3"/>
      <c r="W64" s="38">
        <v>73.8</v>
      </c>
      <c r="X64" s="2">
        <v>62</v>
      </c>
    </row>
    <row r="65" spans="1:24">
      <c r="A65" s="10" t="s">
        <v>337</v>
      </c>
      <c r="B65" s="5" t="s">
        <v>186</v>
      </c>
      <c r="C65" s="4" t="s">
        <v>59</v>
      </c>
      <c r="D65" s="6" t="s">
        <v>269</v>
      </c>
      <c r="E65" s="4" t="s">
        <v>293</v>
      </c>
      <c r="F65" s="4" t="s">
        <v>55</v>
      </c>
      <c r="G65" s="41" t="e">
        <f>表格1_14[[#This Row],[加權後總分]]-表格1_14[[#This Row],[獎懲分數]]</f>
        <v>#DIV/0!</v>
      </c>
      <c r="H6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5" s="39" t="e">
        <f t="shared" si="5"/>
        <v>#DIV/0!</v>
      </c>
      <c r="J65" s="36" t="e">
        <f t="shared" si="6"/>
        <v>#DIV/0!</v>
      </c>
      <c r="K65" s="8" t="e">
        <f t="shared" si="7"/>
        <v>#DIV/0!</v>
      </c>
      <c r="L65" s="8" t="e">
        <f t="shared" si="8"/>
        <v>#DIV/0!</v>
      </c>
      <c r="M65" s="8" t="e">
        <f>表格1_3[[#This Row],[部內平均]]</f>
        <v>#DIV/0!</v>
      </c>
      <c r="N65" s="8" t="e">
        <f>表格1_3[[#This Row],[共評平均]]</f>
        <v>#DIV/0!</v>
      </c>
      <c r="O65" s="8" t="e">
        <f>表格1_3[[#This Row],[複評平均]]</f>
        <v>#DIV/0!</v>
      </c>
      <c r="P65" s="3"/>
      <c r="Q65" s="3"/>
      <c r="R65" s="3"/>
      <c r="S65" s="3"/>
      <c r="T65" s="3"/>
      <c r="U65" s="3"/>
      <c r="V65" s="3"/>
      <c r="W65" s="38">
        <v>73.599999999999994</v>
      </c>
      <c r="X65" s="2">
        <v>63</v>
      </c>
    </row>
    <row r="66" spans="1:24">
      <c r="A66" s="10" t="s">
        <v>405</v>
      </c>
      <c r="B66" s="5" t="s">
        <v>196</v>
      </c>
      <c r="C66" s="4" t="s">
        <v>69</v>
      </c>
      <c r="D66" s="6" t="s">
        <v>270</v>
      </c>
      <c r="E66" s="4" t="s">
        <v>5</v>
      </c>
      <c r="F66" s="4" t="s">
        <v>77</v>
      </c>
      <c r="G66" s="41" t="e">
        <f>表格1_14[[#This Row],[加權後總分]]-表格1_14[[#This Row],[獎懲分數]]</f>
        <v>#DIV/0!</v>
      </c>
      <c r="H6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6" s="39" t="e">
        <f t="shared" si="5"/>
        <v>#DIV/0!</v>
      </c>
      <c r="J66" s="36" t="e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>#DIV/0!</v>
      </c>
      <c r="K66" s="8" t="e">
        <f t="shared" si="7"/>
        <v>#DIV/0!</v>
      </c>
      <c r="L66" s="8" t="e">
        <f t="shared" si="8"/>
        <v>#DIV/0!</v>
      </c>
      <c r="M66" s="8" t="e">
        <f>表格1_3[[#This Row],[部內平均]]</f>
        <v>#DIV/0!</v>
      </c>
      <c r="N66" s="8" t="e">
        <f>表格1_3[[#This Row],[共評平均]]</f>
        <v>#DIV/0!</v>
      </c>
      <c r="O66" s="8"/>
      <c r="P66" s="3"/>
      <c r="Q66" s="3"/>
      <c r="R66" s="3"/>
      <c r="S66" s="3"/>
      <c r="T66" s="3"/>
      <c r="U66" s="3"/>
      <c r="V66" s="3"/>
      <c r="W66" s="38">
        <v>73.5</v>
      </c>
      <c r="X66" s="2">
        <v>64</v>
      </c>
    </row>
    <row r="67" spans="1:24">
      <c r="A67" s="10" t="s">
        <v>406</v>
      </c>
      <c r="B67" s="5" t="s">
        <v>197</v>
      </c>
      <c r="C67" s="4" t="s">
        <v>70</v>
      </c>
      <c r="D67" s="6" t="s">
        <v>270</v>
      </c>
      <c r="E67" s="4" t="s">
        <v>283</v>
      </c>
      <c r="F67" s="4" t="s">
        <v>77</v>
      </c>
      <c r="G67" s="41" t="e">
        <f>表格1_14[[#This Row],[加權後總分]]-表格1_14[[#This Row],[獎懲分數]]</f>
        <v>#DIV/0!</v>
      </c>
      <c r="H6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7" s="39" t="e">
        <f t="shared" si="5"/>
        <v>#DIV/0!</v>
      </c>
      <c r="J67" s="36" t="e">
        <f>IF(
AND(M67&lt;&gt;"",N67&lt;&gt;"",O67&lt;&gt;""),
M67*20% + N67*50% + O67*30%,
IF(
AND(M67&lt;&gt;"",N67="",O67=""),
M67,
IF(
AND(M67="",N67&lt;&gt;"",O67=""),
N67,
IF(
AND(M67="",N67="",O67&lt;&gt;""),
O67,
IF(
AND(M67&lt;&gt;"",N67&lt;&gt;"",O67=""),
M67/(20%+50%)*20% + N67/(20%+50%)*50%,
IF(
AND(M67&lt;&gt;"",N67="",O67&lt;&gt;""),
M67/(20%+30%)*20% + O67/(20%+30%)*30%,
IF(
AND(M67="",N67&lt;&gt;"",O67&lt;&gt;""),
N67/(50%+30%)*50% + O67/(50%+30%)*30%,
""
)
)
)
)
)
) + V67
)</f>
        <v>#DIV/0!</v>
      </c>
      <c r="K67" s="8" t="e">
        <f t="shared" si="7"/>
        <v>#DIV/0!</v>
      </c>
      <c r="L67" s="8" t="e">
        <f t="shared" si="8"/>
        <v>#DIV/0!</v>
      </c>
      <c r="M67" s="8" t="e">
        <f>表格1_3[[#This Row],[部內平均]]</f>
        <v>#DIV/0!</v>
      </c>
      <c r="N67" s="8"/>
      <c r="O67" s="8" t="e">
        <f>表格1_3[[#This Row],[複評平均]]</f>
        <v>#DIV/0!</v>
      </c>
      <c r="P67" s="3"/>
      <c r="Q67" s="3"/>
      <c r="R67" s="3"/>
      <c r="S67" s="3"/>
      <c r="T67" s="3"/>
      <c r="U67" s="3"/>
      <c r="V67" s="3"/>
      <c r="W67" s="38">
        <v>73.275000000000006</v>
      </c>
      <c r="X67" s="2">
        <v>65</v>
      </c>
    </row>
    <row r="68" spans="1:24">
      <c r="A68" s="10" t="s">
        <v>335</v>
      </c>
      <c r="B68" s="5" t="s">
        <v>190</v>
      </c>
      <c r="C68" s="4" t="s">
        <v>63</v>
      </c>
      <c r="D68" s="6" t="s">
        <v>270</v>
      </c>
      <c r="E68" s="4" t="s">
        <v>286</v>
      </c>
      <c r="F68" s="4" t="s">
        <v>77</v>
      </c>
      <c r="G68" s="41" t="e">
        <f>表格1_14[[#This Row],[加權後總分]]-表格1_14[[#This Row],[獎懲分數]]</f>
        <v>#DIV/0!</v>
      </c>
      <c r="H6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8" s="39" t="e">
        <f t="shared" si="5"/>
        <v>#DIV/0!</v>
      </c>
      <c r="J68" s="36" t="e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>#DIV/0!</v>
      </c>
      <c r="K68" s="8" t="e">
        <f t="shared" si="7"/>
        <v>#DIV/0!</v>
      </c>
      <c r="L68" s="8" t="e">
        <f t="shared" si="8"/>
        <v>#DIV/0!</v>
      </c>
      <c r="M68" s="8" t="e">
        <f>表格1_3[[#This Row],[部內平均]]</f>
        <v>#DIV/0!</v>
      </c>
      <c r="N68" s="8" t="e">
        <f>表格1_3[[#This Row],[共評平均]]</f>
        <v>#DIV/0!</v>
      </c>
      <c r="O68" s="8"/>
      <c r="P68" s="3"/>
      <c r="Q68" s="3"/>
      <c r="R68" s="3"/>
      <c r="S68" s="3"/>
      <c r="T68" s="3"/>
      <c r="U68" s="3"/>
      <c r="V68" s="3"/>
      <c r="W68" s="38">
        <v>73.2</v>
      </c>
      <c r="X68" s="2">
        <v>66</v>
      </c>
    </row>
    <row r="69" spans="1:24">
      <c r="A69" s="10" t="s">
        <v>389</v>
      </c>
      <c r="B69" s="5" t="s">
        <v>191</v>
      </c>
      <c r="C69" s="13" t="s">
        <v>64</v>
      </c>
      <c r="D69" s="6" t="s">
        <v>270</v>
      </c>
      <c r="E69" s="4" t="s">
        <v>283</v>
      </c>
      <c r="F69" s="4" t="s">
        <v>63</v>
      </c>
      <c r="G69" s="41" t="e">
        <f>表格1_14[[#This Row],[加權後總分]]-表格1_14[[#This Row],[獎懲分數]]</f>
        <v>#DIV/0!</v>
      </c>
      <c r="H6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69" s="39" t="e">
        <f t="shared" si="5"/>
        <v>#DIV/0!</v>
      </c>
      <c r="J69" s="36" t="e">
        <f t="shared" ref="J69:J74" si="9">IF(
AND(M69&lt;&gt;"",N69&lt;&gt;"",O69&lt;&gt;""),
M69*20% + N69*50% + O69*30%,
IF(
AND(M69&lt;&gt;"",N69="",O69=""),
M69,
IF(
AND(M69="",N69&lt;&gt;"",O69=""),
N69,
IF(
AND(M69="",N69="",O69&lt;&gt;""),
O69,
IF(
AND(M69&lt;&gt;"",N69&lt;&gt;"",O69=""),
M69/(20%+50%)*20% + N69/(20%+50%)*50%,
IF(
AND(M69&lt;&gt;"",N69="",O69&lt;&gt;""),
M69/(20%+30%)*20% + O69/(20%+30%)*30%,
IF(
AND(M69="",N69&lt;&gt;"",O69&lt;&gt;""),
N69/(50%+30%)*50% + O69/(50%+30%)*30%,
""
)
)
)
)
)
) + V69
)</f>
        <v>#DIV/0!</v>
      </c>
      <c r="K69" s="8" t="e">
        <f t="shared" si="7"/>
        <v>#DIV/0!</v>
      </c>
      <c r="L69" s="8" t="e">
        <f t="shared" si="8"/>
        <v>#DIV/0!</v>
      </c>
      <c r="M69" s="8" t="e">
        <f>表格1_3[[#This Row],[部內平均]]</f>
        <v>#DIV/0!</v>
      </c>
      <c r="N69" s="8"/>
      <c r="O69" s="8" t="e">
        <f>表格1_3[[#This Row],[複評平均]]</f>
        <v>#DIV/0!</v>
      </c>
      <c r="P69" s="3"/>
      <c r="Q69" s="3"/>
      <c r="R69" s="3"/>
      <c r="S69" s="3"/>
      <c r="T69" s="3"/>
      <c r="U69" s="3"/>
      <c r="V69" s="3"/>
      <c r="W69" s="38">
        <v>73.199999999999989</v>
      </c>
      <c r="X69" s="2">
        <v>67</v>
      </c>
    </row>
    <row r="70" spans="1:24">
      <c r="A70" s="10" t="s">
        <v>389</v>
      </c>
      <c r="B70" s="5" t="s">
        <v>192</v>
      </c>
      <c r="C70" s="13" t="s">
        <v>65</v>
      </c>
      <c r="D70" s="6" t="s">
        <v>270</v>
      </c>
      <c r="E70" s="4" t="s">
        <v>283</v>
      </c>
      <c r="F70" s="4" t="s">
        <v>77</v>
      </c>
      <c r="G70" s="41" t="e">
        <f>表格1_14[[#This Row],[加權後總分]]-表格1_14[[#This Row],[獎懲分數]]</f>
        <v>#DIV/0!</v>
      </c>
      <c r="H7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70" s="39" t="e">
        <f t="shared" si="5"/>
        <v>#DIV/0!</v>
      </c>
      <c r="J70" s="36" t="e">
        <f t="shared" si="9"/>
        <v>#DIV/0!</v>
      </c>
      <c r="K70" s="8" t="e">
        <f t="shared" si="7"/>
        <v>#DIV/0!</v>
      </c>
      <c r="L70" s="8" t="e">
        <f t="shared" si="8"/>
        <v>#DIV/0!</v>
      </c>
      <c r="M70" s="8" t="e">
        <f>表格1_3[[#This Row],[部內平均]]</f>
        <v>#DIV/0!</v>
      </c>
      <c r="N70" s="8"/>
      <c r="O70" s="8" t="e">
        <f>表格1_3[[#This Row],[複評平均]]</f>
        <v>#DIV/0!</v>
      </c>
      <c r="P70" s="3"/>
      <c r="Q70" s="3"/>
      <c r="R70" s="3"/>
      <c r="S70" s="3"/>
      <c r="T70" s="3"/>
      <c r="U70" s="3"/>
      <c r="V70" s="3"/>
      <c r="W70" s="38">
        <v>73.175000000000011</v>
      </c>
      <c r="X70" s="2">
        <v>68</v>
      </c>
    </row>
    <row r="71" spans="1:24">
      <c r="A71" s="10" t="s">
        <v>389</v>
      </c>
      <c r="B71" s="5" t="s">
        <v>194</v>
      </c>
      <c r="C71" s="13" t="s">
        <v>67</v>
      </c>
      <c r="D71" s="6" t="s">
        <v>270</v>
      </c>
      <c r="E71" s="4" t="s">
        <v>283</v>
      </c>
      <c r="F71" s="4" t="s">
        <v>74</v>
      </c>
      <c r="G71" s="41" t="e">
        <f>表格1_14[[#This Row],[加權後總分]]-表格1_14[[#This Row],[獎懲分數]]</f>
        <v>#DIV/0!</v>
      </c>
      <c r="H7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71" s="39" t="e">
        <f t="shared" si="5"/>
        <v>#DIV/0!</v>
      </c>
      <c r="J71" s="36" t="e">
        <f t="shared" si="9"/>
        <v>#DIV/0!</v>
      </c>
      <c r="K71" s="8" t="e">
        <f t="shared" si="7"/>
        <v>#DIV/0!</v>
      </c>
      <c r="L71" s="8" t="e">
        <f t="shared" si="8"/>
        <v>#DIV/0!</v>
      </c>
      <c r="M71" s="8" t="e">
        <f>表格1_3[[#This Row],[部內平均]]</f>
        <v>#DIV/0!</v>
      </c>
      <c r="N71" s="8"/>
      <c r="O71" s="8" t="e">
        <f>表格1_3[[#This Row],[複評平均]]</f>
        <v>#DIV/0!</v>
      </c>
      <c r="P71" s="3"/>
      <c r="Q71" s="3"/>
      <c r="R71" s="3"/>
      <c r="S71" s="3"/>
      <c r="T71" s="3"/>
      <c r="U71" s="3"/>
      <c r="V71" s="3"/>
      <c r="W71" s="38">
        <v>73</v>
      </c>
      <c r="X71" s="2">
        <v>69</v>
      </c>
    </row>
    <row r="72" spans="1:24">
      <c r="A72" s="10" t="s">
        <v>389</v>
      </c>
      <c r="B72" s="5" t="s">
        <v>195</v>
      </c>
      <c r="C72" s="13" t="s">
        <v>68</v>
      </c>
      <c r="D72" s="6" t="s">
        <v>270</v>
      </c>
      <c r="E72" s="4" t="s">
        <v>283</v>
      </c>
      <c r="F72" s="4" t="s">
        <v>63</v>
      </c>
      <c r="G72" s="41" t="e">
        <f>表格1_14[[#This Row],[加權後總分]]-表格1_14[[#This Row],[獎懲分數]]</f>
        <v>#DIV/0!</v>
      </c>
      <c r="H7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72" s="39" t="e">
        <f t="shared" si="5"/>
        <v>#DIV/0!</v>
      </c>
      <c r="J72" s="36" t="e">
        <f t="shared" si="9"/>
        <v>#DIV/0!</v>
      </c>
      <c r="K72" s="8" t="e">
        <f t="shared" si="7"/>
        <v>#DIV/0!</v>
      </c>
      <c r="L72" s="8" t="e">
        <f t="shared" si="8"/>
        <v>#DIV/0!</v>
      </c>
      <c r="M72" s="8" t="e">
        <f>表格1_3[[#This Row],[部內平均]]</f>
        <v>#DIV/0!</v>
      </c>
      <c r="N72" s="8"/>
      <c r="O72" s="8" t="e">
        <f>表格1_3[[#This Row],[複評平均]]</f>
        <v>#DIV/0!</v>
      </c>
      <c r="P72" s="3"/>
      <c r="Q72" s="3"/>
      <c r="R72" s="3"/>
      <c r="S72" s="3"/>
      <c r="T72" s="3"/>
      <c r="U72" s="3"/>
      <c r="V72" s="3"/>
      <c r="W72" s="38">
        <v>72.8</v>
      </c>
      <c r="X72" s="2">
        <v>70</v>
      </c>
    </row>
    <row r="73" spans="1:24">
      <c r="A73" s="10" t="s">
        <v>389</v>
      </c>
      <c r="B73" s="5" t="s">
        <v>193</v>
      </c>
      <c r="C73" s="4" t="s">
        <v>66</v>
      </c>
      <c r="D73" s="6" t="s">
        <v>270</v>
      </c>
      <c r="E73" s="4" t="s">
        <v>283</v>
      </c>
      <c r="F73" s="4" t="s">
        <v>77</v>
      </c>
      <c r="G73" s="41" t="e">
        <f>表格1_14[[#This Row],[加權後總分]]-表格1_14[[#This Row],[獎懲分數]]</f>
        <v>#DIV/0!</v>
      </c>
      <c r="H7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73" s="39" t="e">
        <f t="shared" si="5"/>
        <v>#DIV/0!</v>
      </c>
      <c r="J73" s="36" t="e">
        <f t="shared" si="9"/>
        <v>#DIV/0!</v>
      </c>
      <c r="K73" s="8" t="e">
        <f t="shared" si="7"/>
        <v>#DIV/0!</v>
      </c>
      <c r="L73" s="8" t="e">
        <f t="shared" si="8"/>
        <v>#DIV/0!</v>
      </c>
      <c r="M73" s="8" t="e">
        <f>表格1_3[[#This Row],[部內平均]]</f>
        <v>#DIV/0!</v>
      </c>
      <c r="N73" s="8"/>
      <c r="O73" s="8" t="e">
        <f>表格1_3[[#This Row],[複評平均]]</f>
        <v>#DIV/0!</v>
      </c>
      <c r="P73" s="3"/>
      <c r="Q73" s="3"/>
      <c r="R73" s="3"/>
      <c r="S73" s="3"/>
      <c r="T73" s="3"/>
      <c r="U73" s="3"/>
      <c r="V73" s="3"/>
      <c r="W73" s="38">
        <v>72.8</v>
      </c>
      <c r="X73" s="2">
        <v>71</v>
      </c>
    </row>
    <row r="74" spans="1:24">
      <c r="A74" s="10" t="s">
        <v>389</v>
      </c>
      <c r="B74" s="5" t="s">
        <v>198</v>
      </c>
      <c r="C74" s="4" t="s">
        <v>71</v>
      </c>
      <c r="D74" s="6" t="s">
        <v>270</v>
      </c>
      <c r="E74" s="4" t="s">
        <v>283</v>
      </c>
      <c r="F74" s="4" t="s">
        <v>77</v>
      </c>
      <c r="G74" s="41" t="e">
        <f>表格1_14[[#This Row],[加權後總分]]-表格1_14[[#This Row],[獎懲分數]]</f>
        <v>#DIV/0!</v>
      </c>
      <c r="H7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74" s="39" t="e">
        <f t="shared" si="5"/>
        <v>#DIV/0!</v>
      </c>
      <c r="J74" s="36" t="e">
        <f t="shared" si="9"/>
        <v>#DIV/0!</v>
      </c>
      <c r="K74" s="8" t="e">
        <f t="shared" si="7"/>
        <v>#DIV/0!</v>
      </c>
      <c r="L74" s="8" t="e">
        <f t="shared" si="8"/>
        <v>#DIV/0!</v>
      </c>
      <c r="M74" s="8" t="e">
        <f>表格1_3[[#This Row],[部內平均]]</f>
        <v>#DIV/0!</v>
      </c>
      <c r="N74" s="8"/>
      <c r="O74" s="8" t="e">
        <f>表格1_3[[#This Row],[複評平均]]</f>
        <v>#DIV/0!</v>
      </c>
      <c r="P74" s="3"/>
      <c r="Q74" s="3"/>
      <c r="R74" s="3"/>
      <c r="S74" s="3"/>
      <c r="T74" s="3"/>
      <c r="U74" s="3"/>
      <c r="V74" s="3"/>
      <c r="W74" s="38">
        <v>72.75</v>
      </c>
      <c r="X74" s="2">
        <v>72</v>
      </c>
    </row>
    <row r="75" spans="1:24">
      <c r="A75" s="10" t="s">
        <v>389</v>
      </c>
      <c r="B75" s="5" t="s">
        <v>318</v>
      </c>
      <c r="C75" s="12" t="s">
        <v>438</v>
      </c>
      <c r="D75" s="6" t="s">
        <v>270</v>
      </c>
      <c r="E75" s="4" t="s">
        <v>283</v>
      </c>
      <c r="F75" s="4" t="s">
        <v>63</v>
      </c>
      <c r="G75" s="41">
        <f>表格1_14[[#This Row],[加權後總分]]-表格1_14[[#This Row],[獎懲分數]]</f>
        <v>0</v>
      </c>
      <c r="H75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75" s="39" t="e">
        <f t="shared" si="5"/>
        <v>#DIV/0!</v>
      </c>
      <c r="J75" s="36"/>
      <c r="K75" s="8"/>
      <c r="L75" s="8" t="e">
        <f t="shared" si="8"/>
        <v>#DIV/0!</v>
      </c>
      <c r="M75" s="8" t="e">
        <f>表格1_3[[#This Row],[部內平均]]</f>
        <v>#DIV/0!</v>
      </c>
      <c r="N75" s="8"/>
      <c r="O75" s="8" t="e">
        <f>表格1_3[[#This Row],[複評平均]]</f>
        <v>#DIV/0!</v>
      </c>
      <c r="P75" s="3"/>
      <c r="Q75" s="3"/>
      <c r="R75" s="3"/>
      <c r="S75" s="3"/>
      <c r="T75" s="3"/>
      <c r="U75" s="3"/>
      <c r="V75" s="3"/>
      <c r="W75" s="38">
        <v>72.599999999999994</v>
      </c>
      <c r="X75" s="2">
        <v>73</v>
      </c>
    </row>
    <row r="76" spans="1:24" ht="26">
      <c r="A76" s="10" t="s">
        <v>389</v>
      </c>
      <c r="B76" s="5" t="s">
        <v>319</v>
      </c>
      <c r="C76" s="12" t="s">
        <v>439</v>
      </c>
      <c r="D76" s="6" t="s">
        <v>270</v>
      </c>
      <c r="E76" s="4" t="s">
        <v>283</v>
      </c>
      <c r="F76" s="4" t="s">
        <v>63</v>
      </c>
      <c r="G76" s="41">
        <f>表格1_14[[#This Row],[加權後總分]]-表格1_14[[#This Row],[獎懲分數]]</f>
        <v>0</v>
      </c>
      <c r="H76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76" s="39" t="e">
        <f t="shared" si="5"/>
        <v>#DIV/0!</v>
      </c>
      <c r="J76" s="36"/>
      <c r="K76" s="8"/>
      <c r="L76" s="8" t="e">
        <f t="shared" si="8"/>
        <v>#DIV/0!</v>
      </c>
      <c r="M76" s="8" t="e">
        <f>表格1_3[[#This Row],[部內平均]]</f>
        <v>#DIV/0!</v>
      </c>
      <c r="N76" s="8"/>
      <c r="O76" s="8" t="e">
        <f>表格1_3[[#This Row],[複評平均]]</f>
        <v>#DIV/0!</v>
      </c>
      <c r="P76" s="3"/>
      <c r="Q76" s="3"/>
      <c r="R76" s="3"/>
      <c r="S76" s="3"/>
      <c r="T76" s="3"/>
      <c r="U76" s="3"/>
      <c r="V76" s="3"/>
      <c r="W76" s="38">
        <v>72.474999999999994</v>
      </c>
      <c r="X76" s="2">
        <v>74</v>
      </c>
    </row>
    <row r="77" spans="1:24">
      <c r="A77" s="10" t="s">
        <v>389</v>
      </c>
      <c r="B77" s="5" t="s">
        <v>199</v>
      </c>
      <c r="C77" s="12" t="s">
        <v>440</v>
      </c>
      <c r="D77" s="6" t="s">
        <v>270</v>
      </c>
      <c r="E77" s="4" t="s">
        <v>283</v>
      </c>
      <c r="F77" s="4" t="s">
        <v>63</v>
      </c>
      <c r="G77" s="41">
        <f>表格1_14[[#This Row],[加權後總分]]-表格1_14[[#This Row],[獎懲分數]]</f>
        <v>0</v>
      </c>
      <c r="H77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77" s="39" t="e">
        <f t="shared" si="5"/>
        <v>#DIV/0!</v>
      </c>
      <c r="J77" s="36"/>
      <c r="K77" s="8"/>
      <c r="L77" s="8" t="e">
        <f t="shared" si="8"/>
        <v>#DIV/0!</v>
      </c>
      <c r="M77" s="8" t="e">
        <f>表格1_3[[#This Row],[部內平均]]</f>
        <v>#DIV/0!</v>
      </c>
      <c r="N77" s="8"/>
      <c r="O77" s="8" t="e">
        <f>表格1_3[[#This Row],[複評平均]]</f>
        <v>#DIV/0!</v>
      </c>
      <c r="P77" s="3"/>
      <c r="Q77" s="3"/>
      <c r="R77" s="3"/>
      <c r="S77" s="3"/>
      <c r="T77" s="3"/>
      <c r="U77" s="3"/>
      <c r="V77" s="3"/>
      <c r="W77" s="38">
        <v>72.433333333333337</v>
      </c>
      <c r="X77" s="2">
        <v>75</v>
      </c>
    </row>
    <row r="78" spans="1:24">
      <c r="A78" s="10" t="s">
        <v>389</v>
      </c>
      <c r="B78" s="5" t="s">
        <v>200</v>
      </c>
      <c r="C78" s="12" t="s">
        <v>441</v>
      </c>
      <c r="D78" s="6" t="s">
        <v>270</v>
      </c>
      <c r="E78" s="4" t="s">
        <v>283</v>
      </c>
      <c r="F78" s="4" t="s">
        <v>63</v>
      </c>
      <c r="G78" s="41">
        <f>表格1_14[[#This Row],[加權後總分]]-表格1_14[[#This Row],[獎懲分數]]</f>
        <v>0</v>
      </c>
      <c r="H78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78" s="39" t="e">
        <f t="shared" si="5"/>
        <v>#DIV/0!</v>
      </c>
      <c r="J78" s="36"/>
      <c r="K78" s="8"/>
      <c r="L78" s="8" t="e">
        <f t="shared" si="8"/>
        <v>#DIV/0!</v>
      </c>
      <c r="M78" s="8" t="e">
        <f>表格1_3[[#This Row],[部內平均]]</f>
        <v>#DIV/0!</v>
      </c>
      <c r="N78" s="8"/>
      <c r="O78" s="8" t="e">
        <f>表格1_3[[#This Row],[複評平均]]</f>
        <v>#DIV/0!</v>
      </c>
      <c r="P78" s="3"/>
      <c r="Q78" s="3"/>
      <c r="R78" s="3"/>
      <c r="S78" s="3"/>
      <c r="T78" s="3"/>
      <c r="U78" s="3"/>
      <c r="V78" s="3"/>
      <c r="W78" s="38">
        <v>72.2</v>
      </c>
      <c r="X78" s="2">
        <v>76</v>
      </c>
    </row>
    <row r="79" spans="1:24">
      <c r="A79" s="10" t="s">
        <v>384</v>
      </c>
      <c r="B79" s="5" t="s">
        <v>203</v>
      </c>
      <c r="C79" s="4" t="s">
        <v>73</v>
      </c>
      <c r="D79" s="6" t="s">
        <v>271</v>
      </c>
      <c r="E79" s="4" t="s">
        <v>294</v>
      </c>
      <c r="F79" s="4" t="s">
        <v>72</v>
      </c>
      <c r="G79" s="41" t="e">
        <f>表格1_14[[#This Row],[加權後總分]]-表格1_14[[#This Row],[獎懲分數]]</f>
        <v>#DIV/0!</v>
      </c>
      <c r="H7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79" s="39" t="e">
        <f t="shared" si="5"/>
        <v>#DIV/0!</v>
      </c>
      <c r="J79" s="36" t="e">
        <f t="shared" ref="J79:J91" si="10">IF(
AND(M79&lt;&gt;"",N79&lt;&gt;"",O79&lt;&gt;""),
M79*20% + N79*50% + O79*30%,
IF(
AND(M79&lt;&gt;"",N79="",O79=""),
M79,
IF(
AND(M79="",N79&lt;&gt;"",O79=""),
N79,
IF(
AND(M79="",N79="",O79&lt;&gt;""),
O79,
IF(
AND(M79&lt;&gt;"",N79&lt;&gt;"",O79=""),
M79/(20%+50%)*20% + N79/(20%+50%)*50%,
IF(
AND(M79&lt;&gt;"",N79="",O79&lt;&gt;""),
M79/(20%+30%)*20% + O79/(20%+30%)*30%,
IF(
AND(M79="",N79&lt;&gt;"",O79&lt;&gt;""),
N79/(50%+30%)*50% + O79/(50%+30%)*30%,
""
)
)
)
)
)
) + V79
)</f>
        <v>#DIV/0!</v>
      </c>
      <c r="K79" s="8" t="e">
        <f t="shared" ref="K79:K95" si="11">IF(J79&gt;=90,"A",
 IF(J79&gt;=77,"B",
 IF(J79&gt;=70,"C",
 IF(J79&gt;=60,"D","E"))))</f>
        <v>#DIV/0!</v>
      </c>
      <c r="L79" s="8" t="e">
        <f t="shared" si="8"/>
        <v>#DIV/0!</v>
      </c>
      <c r="M79" s="8" t="e">
        <f>表格1_3[[#This Row],[部內平均]]</f>
        <v>#DIV/0!</v>
      </c>
      <c r="N79" s="8" t="e">
        <f>表格1_3[[#This Row],[共評平均]]</f>
        <v>#DIV/0!</v>
      </c>
      <c r="O79" s="8" t="e">
        <f>表格1_3[[#This Row],[複評平均]]</f>
        <v>#DIV/0!</v>
      </c>
      <c r="P79" s="3"/>
      <c r="Q79" s="3"/>
      <c r="R79" s="3"/>
      <c r="S79" s="3"/>
      <c r="T79" s="3"/>
      <c r="U79" s="3"/>
      <c r="V79" s="3"/>
      <c r="W79" s="38">
        <v>71.875</v>
      </c>
      <c r="X79" s="2">
        <v>77</v>
      </c>
    </row>
    <row r="80" spans="1:24">
      <c r="A80" s="10" t="s">
        <v>380</v>
      </c>
      <c r="B80" s="5" t="s">
        <v>202</v>
      </c>
      <c r="C80" s="4" t="s">
        <v>72</v>
      </c>
      <c r="D80" s="6" t="s">
        <v>271</v>
      </c>
      <c r="E80" s="4" t="s">
        <v>288</v>
      </c>
      <c r="F80" s="4" t="s">
        <v>120</v>
      </c>
      <c r="G80" s="41" t="e">
        <f>表格1_14[[#This Row],[加權後總分]]-表格1_14[[#This Row],[獎懲分數]]</f>
        <v>#DIV/0!</v>
      </c>
      <c r="H8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0" s="39" t="e">
        <f t="shared" si="5"/>
        <v>#DIV/0!</v>
      </c>
      <c r="J80" s="36" t="e">
        <f t="shared" si="10"/>
        <v>#DIV/0!</v>
      </c>
      <c r="K80" s="8" t="e">
        <f t="shared" si="11"/>
        <v>#DIV/0!</v>
      </c>
      <c r="L80" s="8" t="e">
        <f t="shared" si="8"/>
        <v>#DIV/0!</v>
      </c>
      <c r="M80" s="8" t="e">
        <f>表格1_3[[#This Row],[部內平均]]</f>
        <v>#DIV/0!</v>
      </c>
      <c r="N80" s="8" t="e">
        <f>表格1_3[[#This Row],[共評平均]]</f>
        <v>#DIV/0!</v>
      </c>
      <c r="O80" s="8"/>
      <c r="P80" s="3"/>
      <c r="Q80" s="3"/>
      <c r="R80" s="3"/>
      <c r="S80" s="3"/>
      <c r="T80" s="3"/>
      <c r="U80" s="3"/>
      <c r="V80" s="3"/>
      <c r="W80" s="38">
        <v>71.599999999999994</v>
      </c>
      <c r="X80" s="2">
        <v>78</v>
      </c>
    </row>
    <row r="81" spans="1:24">
      <c r="A81" s="10" t="s">
        <v>380</v>
      </c>
      <c r="B81" s="5" t="s">
        <v>204</v>
      </c>
      <c r="C81" s="13" t="s">
        <v>74</v>
      </c>
      <c r="D81" s="6" t="s">
        <v>271</v>
      </c>
      <c r="E81" s="4" t="s">
        <v>4</v>
      </c>
      <c r="F81" s="4" t="s">
        <v>72</v>
      </c>
      <c r="G81" s="41" t="e">
        <f>表格1_14[[#This Row],[加權後總分]]-表格1_14[[#This Row],[獎懲分數]]</f>
        <v>#DIV/0!</v>
      </c>
      <c r="H8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1" s="39" t="e">
        <f t="shared" si="5"/>
        <v>#DIV/0!</v>
      </c>
      <c r="J81" s="36" t="e">
        <f t="shared" si="10"/>
        <v>#DIV/0!</v>
      </c>
      <c r="K81" s="8" t="e">
        <f t="shared" si="11"/>
        <v>#DIV/0!</v>
      </c>
      <c r="L81" s="8" t="e">
        <f t="shared" si="8"/>
        <v>#DIV/0!</v>
      </c>
      <c r="M81" s="8" t="e">
        <f>表格1_3[[#This Row],[部內平均]]</f>
        <v>#DIV/0!</v>
      </c>
      <c r="N81" s="8" t="e">
        <f>表格1_3[[#This Row],[共評平均]]</f>
        <v>#DIV/0!</v>
      </c>
      <c r="O81" s="8" t="e">
        <f>表格1_3[[#This Row],[複評平均]]</f>
        <v>#DIV/0!</v>
      </c>
      <c r="P81" s="3"/>
      <c r="Q81" s="3"/>
      <c r="R81" s="3"/>
      <c r="S81" s="3"/>
      <c r="T81" s="3"/>
      <c r="U81" s="3"/>
      <c r="V81" s="3"/>
      <c r="W81" s="38">
        <v>71</v>
      </c>
      <c r="X81" s="2">
        <v>79</v>
      </c>
    </row>
    <row r="82" spans="1:24">
      <c r="A82" s="10" t="s">
        <v>383</v>
      </c>
      <c r="B82" s="5" t="s">
        <v>205</v>
      </c>
      <c r="C82" s="4" t="s">
        <v>75</v>
      </c>
      <c r="D82" s="6" t="s">
        <v>271</v>
      </c>
      <c r="E82" s="4" t="s">
        <v>283</v>
      </c>
      <c r="F82" s="4" t="s">
        <v>330</v>
      </c>
      <c r="G82" s="41" t="e">
        <f>表格1_14[[#This Row],[加權後總分]]-表格1_14[[#This Row],[獎懲分數]]</f>
        <v>#DIV/0!</v>
      </c>
      <c r="H8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2" s="39" t="e">
        <f t="shared" si="5"/>
        <v>#DIV/0!</v>
      </c>
      <c r="J82" s="36" t="e">
        <f t="shared" si="10"/>
        <v>#DIV/0!</v>
      </c>
      <c r="K82" s="8" t="e">
        <f t="shared" si="11"/>
        <v>#DIV/0!</v>
      </c>
      <c r="L82" s="8" t="e">
        <f t="shared" si="8"/>
        <v>#DIV/0!</v>
      </c>
      <c r="M82" s="8" t="e">
        <f>表格1_3[[#This Row],[部內平均]]</f>
        <v>#DIV/0!</v>
      </c>
      <c r="N82" s="8" t="e">
        <f>表格1_3[[#This Row],[共評平均]]</f>
        <v>#DIV/0!</v>
      </c>
      <c r="O82" s="8" t="e">
        <f>表格1_3[[#This Row],[複評平均]]</f>
        <v>#DIV/0!</v>
      </c>
      <c r="P82" s="3"/>
      <c r="Q82" s="3"/>
      <c r="R82" s="3"/>
      <c r="S82" s="3"/>
      <c r="T82" s="3"/>
      <c r="U82" s="3"/>
      <c r="V82" s="3"/>
      <c r="W82" s="38">
        <v>71</v>
      </c>
      <c r="X82" s="2">
        <v>80</v>
      </c>
    </row>
    <row r="83" spans="1:24">
      <c r="A83" s="10" t="s">
        <v>343</v>
      </c>
      <c r="B83" s="5" t="s">
        <v>206</v>
      </c>
      <c r="C83" s="4" t="s">
        <v>76</v>
      </c>
      <c r="D83" s="6" t="s">
        <v>272</v>
      </c>
      <c r="E83" s="4" t="s">
        <v>288</v>
      </c>
      <c r="F83" s="4" t="s">
        <v>120</v>
      </c>
      <c r="G83" s="41" t="e">
        <f>表格1_14[[#This Row],[加權後總分]]-表格1_14[[#This Row],[獎懲分數]]</f>
        <v>#DIV/0!</v>
      </c>
      <c r="H8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3" s="39" t="e">
        <f t="shared" si="5"/>
        <v>#DIV/0!</v>
      </c>
      <c r="J83" s="36" t="e">
        <f t="shared" si="10"/>
        <v>#DIV/0!</v>
      </c>
      <c r="K83" s="8" t="e">
        <f t="shared" si="11"/>
        <v>#DIV/0!</v>
      </c>
      <c r="L83" s="8" t="e">
        <f t="shared" si="8"/>
        <v>#DIV/0!</v>
      </c>
      <c r="M83" s="8"/>
      <c r="N83" s="8" t="e">
        <f>表格1_3[[#This Row],[共評平均]]</f>
        <v>#DIV/0!</v>
      </c>
      <c r="O83" s="8">
        <v>83.8</v>
      </c>
      <c r="P83" s="3">
        <v>1</v>
      </c>
      <c r="Q83" s="3"/>
      <c r="R83" s="3"/>
      <c r="S83" s="3"/>
      <c r="T83" s="3"/>
      <c r="U83" s="3"/>
      <c r="V83" s="3">
        <v>3</v>
      </c>
      <c r="W83" s="38">
        <v>70.8</v>
      </c>
      <c r="X83" s="2">
        <v>81</v>
      </c>
    </row>
    <row r="84" spans="1:24">
      <c r="A84" s="10" t="s">
        <v>340</v>
      </c>
      <c r="B84" s="5" t="s">
        <v>207</v>
      </c>
      <c r="C84" s="4" t="s">
        <v>77</v>
      </c>
      <c r="D84" s="6" t="s">
        <v>272</v>
      </c>
      <c r="E84" s="4" t="s">
        <v>292</v>
      </c>
      <c r="F84" s="4" t="s">
        <v>74</v>
      </c>
      <c r="G84" s="41" t="e">
        <f>表格1_14[[#This Row],[加權後總分]]-表格1_14[[#This Row],[獎懲分數]]</f>
        <v>#DIV/0!</v>
      </c>
      <c r="H8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4" s="39" t="e">
        <f t="shared" si="5"/>
        <v>#DIV/0!</v>
      </c>
      <c r="J84" s="36" t="e">
        <f t="shared" si="10"/>
        <v>#DIV/0!</v>
      </c>
      <c r="K84" s="8" t="e">
        <f t="shared" si="11"/>
        <v>#DIV/0!</v>
      </c>
      <c r="L84" s="8" t="e">
        <f t="shared" si="8"/>
        <v>#DIV/0!</v>
      </c>
      <c r="M84" s="8" t="e">
        <f>表格1_3[[#This Row],[部內平均]]</f>
        <v>#DIV/0!</v>
      </c>
      <c r="N84" s="8" t="e">
        <f>表格1_3[[#This Row],[共評平均]]</f>
        <v>#DIV/0!</v>
      </c>
      <c r="O84" s="8">
        <v>79.599999999999994</v>
      </c>
      <c r="P84" s="3"/>
      <c r="Q84" s="3"/>
      <c r="R84" s="3"/>
      <c r="S84" s="3"/>
      <c r="T84" s="3"/>
      <c r="U84" s="3"/>
      <c r="V84" s="3"/>
      <c r="W84" s="38">
        <v>70.599999999999994</v>
      </c>
      <c r="X84" s="2">
        <v>82</v>
      </c>
    </row>
    <row r="85" spans="1:24">
      <c r="A85" s="10" t="s">
        <v>386</v>
      </c>
      <c r="B85" s="5" t="s">
        <v>208</v>
      </c>
      <c r="C85" s="4" t="s">
        <v>78</v>
      </c>
      <c r="D85" s="6" t="s">
        <v>272</v>
      </c>
      <c r="E85" s="4" t="s">
        <v>293</v>
      </c>
      <c r="F85" s="4" t="s">
        <v>76</v>
      </c>
      <c r="G85" s="41" t="e">
        <f>表格1_14[[#This Row],[加權後總分]]-表格1_14[[#This Row],[獎懲分數]]</f>
        <v>#DIV/0!</v>
      </c>
      <c r="H8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5" s="39" t="e">
        <f t="shared" si="5"/>
        <v>#DIV/0!</v>
      </c>
      <c r="J85" s="36" t="e">
        <f t="shared" si="10"/>
        <v>#DIV/0!</v>
      </c>
      <c r="K85" s="8" t="e">
        <f t="shared" si="11"/>
        <v>#DIV/0!</v>
      </c>
      <c r="L85" s="8" t="e">
        <f t="shared" si="8"/>
        <v>#DIV/0!</v>
      </c>
      <c r="M85" s="8" t="e">
        <f>表格1_3[[#This Row],[部內平均]]</f>
        <v>#DIV/0!</v>
      </c>
      <c r="N85" s="8" t="e">
        <f>表格1_3[[#This Row],[共評平均]]</f>
        <v>#DIV/0!</v>
      </c>
      <c r="O85" s="8" t="e">
        <f>表格1_3[[#This Row],[複評平均]]</f>
        <v>#DIV/0!</v>
      </c>
      <c r="P85" s="3"/>
      <c r="Q85" s="3"/>
      <c r="R85" s="3"/>
      <c r="S85" s="3"/>
      <c r="T85" s="3"/>
      <c r="U85" s="3"/>
      <c r="V85" s="3"/>
      <c r="W85" s="38">
        <v>70.599999999999994</v>
      </c>
      <c r="X85" s="2">
        <v>83</v>
      </c>
    </row>
    <row r="86" spans="1:24">
      <c r="A86" s="10" t="s">
        <v>339</v>
      </c>
      <c r="B86" s="5" t="s">
        <v>209</v>
      </c>
      <c r="C86" s="4" t="s">
        <v>79</v>
      </c>
      <c r="D86" s="6" t="s">
        <v>273</v>
      </c>
      <c r="E86" s="4" t="s">
        <v>295</v>
      </c>
      <c r="F86" s="4" t="s">
        <v>119</v>
      </c>
      <c r="G86" s="41" t="e">
        <f>表格1_14[[#This Row],[加權後總分]]-表格1_14[[#This Row],[獎懲分數]]</f>
        <v>#DIV/0!</v>
      </c>
      <c r="H8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6" s="39" t="e">
        <f t="shared" si="5"/>
        <v>#DIV/0!</v>
      </c>
      <c r="J86" s="36" t="e">
        <f t="shared" si="10"/>
        <v>#DIV/0!</v>
      </c>
      <c r="K86" s="8" t="e">
        <f t="shared" si="11"/>
        <v>#DIV/0!</v>
      </c>
      <c r="L86" s="8" t="e">
        <f t="shared" si="8"/>
        <v>#DIV/0!</v>
      </c>
      <c r="M86" s="8"/>
      <c r="N86" s="8" t="e">
        <f>表格1_3[[#This Row],[共評平均]]</f>
        <v>#DIV/0!</v>
      </c>
      <c r="O86" s="8"/>
      <c r="P86" s="3">
        <v>1</v>
      </c>
      <c r="Q86" s="3"/>
      <c r="R86" s="3"/>
      <c r="S86" s="3"/>
      <c r="T86" s="3"/>
      <c r="U86" s="3"/>
      <c r="V86" s="3">
        <v>3</v>
      </c>
      <c r="W86" s="38">
        <v>69.525000000000006</v>
      </c>
      <c r="X86" s="2">
        <v>84</v>
      </c>
    </row>
    <row r="87" spans="1:24">
      <c r="A87" s="10" t="s">
        <v>344</v>
      </c>
      <c r="B87" s="5" t="s">
        <v>210</v>
      </c>
      <c r="C87" s="4" t="s">
        <v>80</v>
      </c>
      <c r="D87" s="6" t="s">
        <v>274</v>
      </c>
      <c r="E87" s="4" t="s">
        <v>296</v>
      </c>
      <c r="F87" s="4" t="s">
        <v>79</v>
      </c>
      <c r="G87" s="41" t="e">
        <f>表格1_14[[#This Row],[加權後總分]]-表格1_14[[#This Row],[獎懲分數]]</f>
        <v>#DIV/0!</v>
      </c>
      <c r="H8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7" s="39" t="e">
        <f t="shared" si="5"/>
        <v>#DIV/0!</v>
      </c>
      <c r="J87" s="36" t="e">
        <f t="shared" si="10"/>
        <v>#DIV/0!</v>
      </c>
      <c r="K87" s="8" t="e">
        <f t="shared" si="11"/>
        <v>#DIV/0!</v>
      </c>
      <c r="L87" s="8" t="e">
        <f t="shared" si="8"/>
        <v>#DIV/0!</v>
      </c>
      <c r="M87" s="8" t="e">
        <f>表格1_3[[#This Row],[部內平均]]</f>
        <v>#DIV/0!</v>
      </c>
      <c r="N87" s="8" t="e">
        <f>表格1_3[[#This Row],[共評平均]]</f>
        <v>#DIV/0!</v>
      </c>
      <c r="O87" s="8" t="e">
        <f>表格1_3[[#This Row],[複評平均]]</f>
        <v>#DIV/0!</v>
      </c>
      <c r="P87" s="3"/>
      <c r="Q87" s="3"/>
      <c r="R87" s="3"/>
      <c r="S87" s="3"/>
      <c r="T87" s="3"/>
      <c r="U87" s="3"/>
      <c r="V87" s="3"/>
      <c r="W87" s="38">
        <v>69.2</v>
      </c>
      <c r="X87" s="2">
        <v>85</v>
      </c>
    </row>
    <row r="88" spans="1:24">
      <c r="A88" s="10" t="s">
        <v>345</v>
      </c>
      <c r="B88" s="5" t="s">
        <v>211</v>
      </c>
      <c r="C88" s="4" t="s">
        <v>81</v>
      </c>
      <c r="D88" s="6" t="s">
        <v>274</v>
      </c>
      <c r="E88" s="4" t="s">
        <v>296</v>
      </c>
      <c r="F88" s="4" t="s">
        <v>93</v>
      </c>
      <c r="G88" s="41" t="e">
        <f>表格1_14[[#This Row],[加權後總分]]-表格1_14[[#This Row],[獎懲分數]]</f>
        <v>#DIV/0!</v>
      </c>
      <c r="H8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8" s="39" t="e">
        <f t="shared" si="5"/>
        <v>#DIV/0!</v>
      </c>
      <c r="J88" s="36" t="e">
        <f t="shared" si="10"/>
        <v>#DIV/0!</v>
      </c>
      <c r="K88" s="8" t="e">
        <f t="shared" si="11"/>
        <v>#DIV/0!</v>
      </c>
      <c r="L88" s="8" t="e">
        <f t="shared" si="8"/>
        <v>#DIV/0!</v>
      </c>
      <c r="M88" s="8" t="e">
        <f>表格1_3[[#This Row],[部內平均]]</f>
        <v>#DIV/0!</v>
      </c>
      <c r="N88" s="8" t="e">
        <f>表格1_3[[#This Row],[共評平均]]</f>
        <v>#DIV/0!</v>
      </c>
      <c r="O88" s="8" t="e">
        <f>表格1_3[[#This Row],[複評平均]]</f>
        <v>#DIV/0!</v>
      </c>
      <c r="P88" s="3">
        <v>1</v>
      </c>
      <c r="Q88" s="3"/>
      <c r="R88" s="3"/>
      <c r="S88" s="3"/>
      <c r="T88" s="3"/>
      <c r="U88" s="3"/>
      <c r="V88" s="3">
        <v>3</v>
      </c>
      <c r="W88" s="38">
        <v>69</v>
      </c>
      <c r="X88" s="2">
        <v>86</v>
      </c>
    </row>
    <row r="89" spans="1:24">
      <c r="A89" s="10" t="s">
        <v>335</v>
      </c>
      <c r="B89" s="5" t="s">
        <v>212</v>
      </c>
      <c r="C89" s="4" t="s">
        <v>82</v>
      </c>
      <c r="D89" s="6" t="s">
        <v>275</v>
      </c>
      <c r="E89" s="4" t="s">
        <v>285</v>
      </c>
      <c r="F89" s="4" t="s">
        <v>331</v>
      </c>
      <c r="G89" s="41" t="e">
        <f>表格1_14[[#This Row],[加權後總分]]-表格1_14[[#This Row],[獎懲分數]]</f>
        <v>#DIV/0!</v>
      </c>
      <c r="H8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89" s="39" t="e">
        <f t="shared" si="5"/>
        <v>#DIV/0!</v>
      </c>
      <c r="J89" s="36" t="e">
        <f t="shared" si="10"/>
        <v>#DIV/0!</v>
      </c>
      <c r="K89" s="8" t="e">
        <f t="shared" si="11"/>
        <v>#DIV/0!</v>
      </c>
      <c r="L89" s="8" t="e">
        <f t="shared" si="8"/>
        <v>#DIV/0!</v>
      </c>
      <c r="M89" s="8"/>
      <c r="N89" s="8" t="e">
        <f>表格1_3[[#This Row],[共評平均]]</f>
        <v>#DIV/0!</v>
      </c>
      <c r="O89" s="8" t="e">
        <f>表格1_3[[#This Row],[複評平均]]</f>
        <v>#DIV/0!</v>
      </c>
      <c r="P89" s="3"/>
      <c r="Q89" s="3"/>
      <c r="R89" s="3"/>
      <c r="S89" s="3"/>
      <c r="T89" s="3"/>
      <c r="U89" s="3"/>
      <c r="V89" s="3"/>
      <c r="W89" s="38">
        <v>68.8</v>
      </c>
      <c r="X89" s="2">
        <v>87</v>
      </c>
    </row>
    <row r="90" spans="1:24">
      <c r="A90" s="10" t="s">
        <v>399</v>
      </c>
      <c r="B90" s="5" t="s">
        <v>213</v>
      </c>
      <c r="C90" s="4" t="s">
        <v>334</v>
      </c>
      <c r="D90" s="6" t="s">
        <v>275</v>
      </c>
      <c r="E90" s="4" t="s">
        <v>283</v>
      </c>
      <c r="F90" s="4" t="s">
        <v>35</v>
      </c>
      <c r="G90" s="41" t="e">
        <f>表格1_14[[#This Row],[加權後總分]]-表格1_14[[#This Row],[獎懲分數]]</f>
        <v>#DIV/0!</v>
      </c>
      <c r="H9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0" s="39" t="e">
        <f t="shared" si="5"/>
        <v>#DIV/0!</v>
      </c>
      <c r="J90" s="36" t="e">
        <f t="shared" si="10"/>
        <v>#DIV/0!</v>
      </c>
      <c r="K90" s="8" t="e">
        <f t="shared" si="11"/>
        <v>#DIV/0!</v>
      </c>
      <c r="L90" s="8" t="e">
        <f t="shared" si="8"/>
        <v>#DIV/0!</v>
      </c>
      <c r="M90" s="8" t="e">
        <f>表格1_3[[#This Row],[部內平均]]</f>
        <v>#DIV/0!</v>
      </c>
      <c r="N90" s="8"/>
      <c r="O90" s="8" t="e">
        <f>表格1_3[[#This Row],[複評平均]]</f>
        <v>#DIV/0!</v>
      </c>
      <c r="P90" s="3"/>
      <c r="Q90" s="3"/>
      <c r="R90" s="3"/>
      <c r="S90" s="3"/>
      <c r="T90" s="3"/>
      <c r="U90" s="3"/>
      <c r="V90" s="3"/>
      <c r="W90" s="38">
        <v>68.8</v>
      </c>
      <c r="X90" s="2">
        <v>88</v>
      </c>
    </row>
    <row r="91" spans="1:24">
      <c r="A91" s="10" t="s">
        <v>399</v>
      </c>
      <c r="B91" s="5" t="s">
        <v>215</v>
      </c>
      <c r="C91" s="4" t="s">
        <v>84</v>
      </c>
      <c r="D91" s="6" t="s">
        <v>275</v>
      </c>
      <c r="E91" s="4" t="s">
        <v>283</v>
      </c>
      <c r="F91" s="4" t="s">
        <v>35</v>
      </c>
      <c r="G91" s="41" t="e">
        <f>表格1_14[[#This Row],[加權後總分]]-表格1_14[[#This Row],[獎懲分數]]</f>
        <v>#DIV/0!</v>
      </c>
      <c r="H9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1" s="39" t="e">
        <f t="shared" si="5"/>
        <v>#DIV/0!</v>
      </c>
      <c r="J91" s="36" t="e">
        <f t="shared" si="10"/>
        <v>#DIV/0!</v>
      </c>
      <c r="K91" s="8" t="e">
        <f t="shared" si="11"/>
        <v>#DIV/0!</v>
      </c>
      <c r="L91" s="8" t="e">
        <f t="shared" si="8"/>
        <v>#DIV/0!</v>
      </c>
      <c r="M91" s="8" t="e">
        <f>表格1_3[[#This Row],[部內平均]]</f>
        <v>#DIV/0!</v>
      </c>
      <c r="N91" s="8"/>
      <c r="O91" s="8" t="e">
        <f>表格1_3[[#This Row],[複評平均]]</f>
        <v>#DIV/0!</v>
      </c>
      <c r="P91" s="3"/>
      <c r="Q91" s="3"/>
      <c r="R91" s="3"/>
      <c r="S91" s="3"/>
      <c r="T91" s="3"/>
      <c r="U91" s="3"/>
      <c r="V91" s="3"/>
      <c r="W91" s="38">
        <v>68.8</v>
      </c>
      <c r="X91" s="2">
        <v>89</v>
      </c>
    </row>
    <row r="92" spans="1:24">
      <c r="A92" s="10" t="s">
        <v>399</v>
      </c>
      <c r="B92" s="5" t="s">
        <v>219</v>
      </c>
      <c r="C92" s="4" t="s">
        <v>88</v>
      </c>
      <c r="D92" s="6" t="s">
        <v>275</v>
      </c>
      <c r="E92" s="4" t="s">
        <v>283</v>
      </c>
      <c r="F92" s="4" t="s">
        <v>35</v>
      </c>
      <c r="G92" s="41" t="e">
        <f>表格1_14[[#This Row],[加權後總分]]-表格1_14[[#This Row],[獎懲分數]]</f>
        <v>#DIV/0!</v>
      </c>
      <c r="H9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2" s="39" t="e">
        <f t="shared" si="5"/>
        <v>#DIV/0!</v>
      </c>
      <c r="J92" s="36" t="e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>#DIV/0!</v>
      </c>
      <c r="K92" s="8" t="e">
        <f t="shared" si="11"/>
        <v>#DIV/0!</v>
      </c>
      <c r="L92" s="8" t="e">
        <f t="shared" si="8"/>
        <v>#DIV/0!</v>
      </c>
      <c r="M92" s="8" t="e">
        <f>表格1_3[[#This Row],[部內平均]]</f>
        <v>#DIV/0!</v>
      </c>
      <c r="N92" s="8"/>
      <c r="O92" s="8" t="e">
        <f>表格1_3[[#This Row],[複評平均]]</f>
        <v>#DIV/0!</v>
      </c>
      <c r="P92" s="3"/>
      <c r="Q92" s="3"/>
      <c r="R92" s="3"/>
      <c r="S92" s="3"/>
      <c r="T92" s="3"/>
      <c r="U92" s="3"/>
      <c r="V92" s="3"/>
      <c r="W92" s="38">
        <v>68.612244897959187</v>
      </c>
      <c r="X92" s="2">
        <v>90</v>
      </c>
    </row>
    <row r="93" spans="1:24">
      <c r="A93" s="10" t="s">
        <v>399</v>
      </c>
      <c r="B93" s="5" t="s">
        <v>216</v>
      </c>
      <c r="C93" s="4" t="s">
        <v>85</v>
      </c>
      <c r="D93" s="6" t="s">
        <v>275</v>
      </c>
      <c r="E93" s="4" t="s">
        <v>283</v>
      </c>
      <c r="F93" s="4" t="s">
        <v>35</v>
      </c>
      <c r="G93" s="41" t="e">
        <f>表格1_14[[#This Row],[加權後總分]]-表格1_14[[#This Row],[獎懲分數]]</f>
        <v>#DIV/0!</v>
      </c>
      <c r="H9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3" s="39" t="e">
        <f t="shared" si="5"/>
        <v>#DIV/0!</v>
      </c>
      <c r="J93" s="36" t="e">
        <f>IF(
AND(M93&lt;&gt;"",N93&lt;&gt;"",O93&lt;&gt;""),
M93*20% + N93*50% + O93*30%,
IF(
AND(M93&lt;&gt;"",N93="",O93=""),
M93,
IF(
AND(M93="",N93&lt;&gt;"",O93=""),
N93,
IF(
AND(M93="",N93="",O93&lt;&gt;""),
O93,
IF(
AND(M93&lt;&gt;"",N93&lt;&gt;"",O93=""),
M93/(20%+50%)*20% + N93/(20%+50%)*50%,
IF(
AND(M93&lt;&gt;"",N93="",O93&lt;&gt;""),
M93/(20%+30%)*20% + O93/(20%+30%)*30%,
IF(
AND(M93="",N93&lt;&gt;"",O93&lt;&gt;""),
N93/(50%+30%)*50% + O93/(50%+30%)*30%,
""
)
)
)
)
)
) + V93
)</f>
        <v>#DIV/0!</v>
      </c>
      <c r="K93" s="8" t="e">
        <f t="shared" si="11"/>
        <v>#DIV/0!</v>
      </c>
      <c r="L93" s="8" t="e">
        <f t="shared" si="8"/>
        <v>#DIV/0!</v>
      </c>
      <c r="M93" s="8" t="e">
        <f>表格1_3[[#This Row],[部內平均]]</f>
        <v>#DIV/0!</v>
      </c>
      <c r="N93" s="8"/>
      <c r="O93" s="8" t="e">
        <f>表格1_3[[#This Row],[複評平均]]</f>
        <v>#DIV/0!</v>
      </c>
      <c r="P93" s="3"/>
      <c r="Q93" s="3"/>
      <c r="R93" s="3"/>
      <c r="S93" s="3"/>
      <c r="T93" s="3"/>
      <c r="U93" s="3"/>
      <c r="V93" s="3"/>
      <c r="W93" s="38">
        <v>68.566666666666663</v>
      </c>
      <c r="X93" s="2">
        <v>91</v>
      </c>
    </row>
    <row r="94" spans="1:24">
      <c r="A94" s="10" t="s">
        <v>399</v>
      </c>
      <c r="B94" s="5" t="s">
        <v>217</v>
      </c>
      <c r="C94" s="4" t="s">
        <v>86</v>
      </c>
      <c r="D94" s="6" t="s">
        <v>275</v>
      </c>
      <c r="E94" s="4" t="s">
        <v>283</v>
      </c>
      <c r="F94" s="4" t="s">
        <v>35</v>
      </c>
      <c r="G94" s="41" t="e">
        <f>表格1_14[[#This Row],[加權後總分]]-表格1_14[[#This Row],[獎懲分數]]</f>
        <v>#DIV/0!</v>
      </c>
      <c r="H9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4" s="39" t="e">
        <f t="shared" si="5"/>
        <v>#DIV/0!</v>
      </c>
      <c r="J94" s="36" t="e">
        <f>IF(
AND(M94&lt;&gt;"",N94&lt;&gt;"",O94&lt;&gt;""),
M94*20% + N94*50% + O94*30%,
IF(
AND(M94&lt;&gt;"",N94="",O94=""),
M94,
IF(
AND(M94="",N94&lt;&gt;"",O94=""),
N94,
IF(
AND(M94="",N94="",O94&lt;&gt;""),
O94,
IF(
AND(M94&lt;&gt;"",N94&lt;&gt;"",O94=""),
M94/(20%+50%)*20% + N94/(20%+50%)*50%,
IF(
AND(M94&lt;&gt;"",N94="",O94&lt;&gt;""),
M94/(20%+30%)*20% + O94/(20%+30%)*30%,
IF(
AND(M94="",N94&lt;&gt;"",O94&lt;&gt;""),
N94/(50%+30%)*50% + O94/(50%+30%)*30%,
""
)
)
)
)
)
) + V94
)</f>
        <v>#DIV/0!</v>
      </c>
      <c r="K94" s="8" t="e">
        <f t="shared" si="11"/>
        <v>#DIV/0!</v>
      </c>
      <c r="L94" s="8" t="e">
        <f t="shared" si="8"/>
        <v>#DIV/0!</v>
      </c>
      <c r="M94" s="8" t="e">
        <f>表格1_3[[#This Row],[部內平均]]</f>
        <v>#DIV/0!</v>
      </c>
      <c r="N94" s="8"/>
      <c r="O94" s="8" t="e">
        <f>表格1_3[[#This Row],[複評平均]]</f>
        <v>#DIV/0!</v>
      </c>
      <c r="P94" s="3"/>
      <c r="Q94" s="3"/>
      <c r="R94" s="3"/>
      <c r="S94" s="3"/>
      <c r="T94" s="3"/>
      <c r="U94" s="3"/>
      <c r="V94" s="3"/>
      <c r="W94" s="38">
        <v>68.400000000000006</v>
      </c>
      <c r="X94" s="2">
        <v>92</v>
      </c>
    </row>
    <row r="95" spans="1:24">
      <c r="A95" s="10" t="s">
        <v>399</v>
      </c>
      <c r="B95" s="5" t="s">
        <v>218</v>
      </c>
      <c r="C95" s="13" t="s">
        <v>87</v>
      </c>
      <c r="D95" s="6" t="s">
        <v>275</v>
      </c>
      <c r="E95" s="4" t="s">
        <v>283</v>
      </c>
      <c r="F95" s="4" t="s">
        <v>313</v>
      </c>
      <c r="G95" s="41" t="e">
        <f>表格1_14[[#This Row],[加權後總分]]-表格1_14[[#This Row],[獎懲分數]]</f>
        <v>#DIV/0!</v>
      </c>
      <c r="H9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5" s="39" t="e">
        <f t="shared" si="5"/>
        <v>#DIV/0!</v>
      </c>
      <c r="J95" s="36" t="e">
        <f>IF(
AND(M95&lt;&gt;"",N95&lt;&gt;"",O95&lt;&gt;""),
M95*20% + N95*50% + O95*30%,
IF(
AND(M95&lt;&gt;"",N95="",O95=""),
M95,
IF(
AND(M95="",N95&lt;&gt;"",O95=""),
N95,
IF(
AND(M95="",N95="",O95&lt;&gt;""),
O95,
IF(
AND(M95&lt;&gt;"",N95&lt;&gt;"",O95=""),
M95/(20%+50%)*20% + N95/(20%+50%)*50%,
IF(
AND(M95&lt;&gt;"",N95="",O95&lt;&gt;""),
M95/(20%+30%)*20% + O95/(20%+30%)*30%,
IF(
AND(M95="",N95&lt;&gt;"",O95&lt;&gt;""),
N95/(50%+30%)*50% + O95/(50%+30%)*30%,
""
)
)
)
)
)
) + V95
)</f>
        <v>#DIV/0!</v>
      </c>
      <c r="K95" s="8" t="e">
        <f t="shared" si="11"/>
        <v>#DIV/0!</v>
      </c>
      <c r="L95" s="8" t="e">
        <f t="shared" si="8"/>
        <v>#DIV/0!</v>
      </c>
      <c r="M95" s="8" t="e">
        <f>表格1_3[[#This Row],[部內平均]]</f>
        <v>#DIV/0!</v>
      </c>
      <c r="N95" s="8"/>
      <c r="O95" s="8" t="e">
        <f>表格1_3[[#This Row],[複評平均]]</f>
        <v>#DIV/0!</v>
      </c>
      <c r="P95" s="3"/>
      <c r="Q95" s="3"/>
      <c r="R95" s="3"/>
      <c r="S95" s="3"/>
      <c r="T95" s="3"/>
      <c r="U95" s="3"/>
      <c r="V95" s="3"/>
      <c r="W95" s="38">
        <v>68.199999999999989</v>
      </c>
      <c r="X95" s="2">
        <v>93</v>
      </c>
    </row>
    <row r="96" spans="1:24" ht="26">
      <c r="A96" s="10" t="s">
        <v>399</v>
      </c>
      <c r="B96" s="5" t="s">
        <v>247</v>
      </c>
      <c r="C96" s="4" t="s">
        <v>442</v>
      </c>
      <c r="D96" s="6" t="s">
        <v>275</v>
      </c>
      <c r="E96" s="4" t="s">
        <v>283</v>
      </c>
      <c r="F96" s="4" t="s">
        <v>93</v>
      </c>
      <c r="G96" s="41"/>
      <c r="H96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96" s="39"/>
      <c r="J96" s="36"/>
      <c r="K96" s="8"/>
      <c r="L96" s="8"/>
      <c r="M96" s="8" t="e">
        <f>表格1_3[[#This Row],[部內平均]]</f>
        <v>#DIV/0!</v>
      </c>
      <c r="N96" s="8"/>
      <c r="O96" s="8" t="e">
        <f>表格1_3[[#This Row],[複評平均]]</f>
        <v>#DIV/0!</v>
      </c>
      <c r="P96" s="3"/>
      <c r="Q96" s="3"/>
      <c r="R96" s="3"/>
      <c r="S96" s="3"/>
      <c r="T96" s="3"/>
      <c r="U96" s="3"/>
      <c r="V96" s="3"/>
      <c r="W96" s="38">
        <v>67.8</v>
      </c>
      <c r="X96" s="2">
        <v>94</v>
      </c>
    </row>
    <row r="97" spans="1:24">
      <c r="A97" s="10" t="s">
        <v>399</v>
      </c>
      <c r="B97" s="5" t="s">
        <v>220</v>
      </c>
      <c r="C97" s="14" t="s">
        <v>89</v>
      </c>
      <c r="D97" s="6" t="s">
        <v>275</v>
      </c>
      <c r="E97" s="4" t="s">
        <v>283</v>
      </c>
      <c r="F97" s="4" t="s">
        <v>332</v>
      </c>
      <c r="G97" s="41" t="e">
        <f>表格1_14[[#This Row],[加權後總分]]-表格1_14[[#This Row],[獎懲分數]]</f>
        <v>#DIV/0!</v>
      </c>
      <c r="H9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7" s="39" t="e">
        <f t="shared" ref="I97:I130" si="12">_xlfn.RANK.EQ(G97,$G$2:$G$146,0)</f>
        <v>#DIV/0!</v>
      </c>
      <c r="J97" s="36" t="e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>#DIV/0!</v>
      </c>
      <c r="K97" s="8" t="e">
        <f>IF(J97&gt;=90,"A",
 IF(J97&gt;=80,"B",
 IF(J97&gt;=70,"C",
 IF(J97&gt;=60,"D","E"))))</f>
        <v>#DIV/0!</v>
      </c>
      <c r="L97" s="8" t="e">
        <f>_xlfn.RANK.EQ(J97,$J$2:$J$146,0)</f>
        <v>#DIV/0!</v>
      </c>
      <c r="M97" s="8" t="e">
        <f>表格1_3[[#This Row],[部內平均]]</f>
        <v>#DIV/0!</v>
      </c>
      <c r="N97" s="8"/>
      <c r="O97" s="8" t="e">
        <f>表格1_3[[#This Row],[複評平均]]</f>
        <v>#DIV/0!</v>
      </c>
      <c r="P97" s="3"/>
      <c r="Q97" s="3"/>
      <c r="R97" s="3"/>
      <c r="S97" s="3"/>
      <c r="T97" s="3"/>
      <c r="U97" s="3"/>
      <c r="V97" s="3"/>
      <c r="W97" s="38">
        <v>67.8</v>
      </c>
      <c r="X97" s="2">
        <v>95</v>
      </c>
    </row>
    <row r="98" spans="1:24">
      <c r="A98" s="10" t="s">
        <v>399</v>
      </c>
      <c r="B98" s="5" t="s">
        <v>221</v>
      </c>
      <c r="C98" s="4" t="s">
        <v>90</v>
      </c>
      <c r="D98" s="6" t="s">
        <v>275</v>
      </c>
      <c r="E98" s="4" t="s">
        <v>283</v>
      </c>
      <c r="F98" s="4" t="s">
        <v>35</v>
      </c>
      <c r="G98" s="41" t="e">
        <f>表格1_14[[#This Row],[加權後總分]]-表格1_14[[#This Row],[獎懲分數]]</f>
        <v>#DIV/0!</v>
      </c>
      <c r="H9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8" s="39" t="e">
        <f t="shared" si="12"/>
        <v>#DIV/0!</v>
      </c>
      <c r="J98" s="36" t="e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>#DIV/0!</v>
      </c>
      <c r="K98" s="8" t="e">
        <f>IF(J98&gt;=90,"A",
 IF(J98&gt;=80,"B",
 IF(J98&gt;=70,"C",
 IF(J98&gt;=60,"D","E"))))</f>
        <v>#DIV/0!</v>
      </c>
      <c r="L98" s="8" t="e">
        <f>_xlfn.RANK.EQ(J98,$J$2:$J$146,0)</f>
        <v>#DIV/0!</v>
      </c>
      <c r="M98" s="8" t="e">
        <f>表格1_3[[#This Row],[部內平均]]</f>
        <v>#DIV/0!</v>
      </c>
      <c r="N98" s="8"/>
      <c r="O98" s="8" t="e">
        <f>表格1_3[[#This Row],[複評平均]]</f>
        <v>#DIV/0!</v>
      </c>
      <c r="P98" s="3"/>
      <c r="Q98" s="3"/>
      <c r="R98" s="3"/>
      <c r="S98" s="3"/>
      <c r="T98" s="3"/>
      <c r="U98" s="3"/>
      <c r="V98" s="3"/>
      <c r="W98" s="38">
        <v>67.7</v>
      </c>
      <c r="X98" s="2">
        <v>96</v>
      </c>
    </row>
    <row r="99" spans="1:24">
      <c r="A99" s="10" t="s">
        <v>399</v>
      </c>
      <c r="B99" s="5" t="s">
        <v>320</v>
      </c>
      <c r="C99" s="14" t="s">
        <v>321</v>
      </c>
      <c r="D99" s="6" t="s">
        <v>275</v>
      </c>
      <c r="E99" s="4" t="s">
        <v>283</v>
      </c>
      <c r="F99" s="4" t="s">
        <v>93</v>
      </c>
      <c r="G99" s="41" t="e">
        <f>表格1_14[[#This Row],[加權後總分]]-表格1_14[[#This Row],[獎懲分數]]</f>
        <v>#DIV/0!</v>
      </c>
      <c r="H9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99" s="39" t="e">
        <f t="shared" si="12"/>
        <v>#DIV/0!</v>
      </c>
      <c r="J99" s="36" t="e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>#DIV/0!</v>
      </c>
      <c r="K99" s="8" t="e">
        <f>IF(J99&gt;=90,"A",
 IF(J99&gt;=80,"B",
 IF(J99&gt;=70,"C",
 IF(J99&gt;=60,"D","E"))))</f>
        <v>#DIV/0!</v>
      </c>
      <c r="L99" s="8" t="e">
        <f>_xlfn.RANK.EQ(J99,$J$2:$J$146,0)</f>
        <v>#DIV/0!</v>
      </c>
      <c r="M99" s="8" t="e">
        <f>表格1_3[[#This Row],[部內平均]]</f>
        <v>#DIV/0!</v>
      </c>
      <c r="N99" s="8"/>
      <c r="O99" s="8" t="e">
        <f>表格1_3[[#This Row],[複評平均]]</f>
        <v>#DIV/0!</v>
      </c>
      <c r="P99" s="3"/>
      <c r="Q99" s="3"/>
      <c r="R99" s="3"/>
      <c r="S99" s="3"/>
      <c r="T99" s="3"/>
      <c r="U99" s="3"/>
      <c r="V99" s="3"/>
      <c r="W99" s="38">
        <v>67</v>
      </c>
      <c r="X99" s="2">
        <v>97</v>
      </c>
    </row>
    <row r="100" spans="1:24">
      <c r="A100" s="10" t="s">
        <v>399</v>
      </c>
      <c r="B100" s="5" t="s">
        <v>322</v>
      </c>
      <c r="C100" s="14" t="s">
        <v>323</v>
      </c>
      <c r="D100" s="6" t="s">
        <v>275</v>
      </c>
      <c r="E100" s="4" t="s">
        <v>283</v>
      </c>
      <c r="F100" s="4" t="s">
        <v>77</v>
      </c>
      <c r="G100" s="41" t="e">
        <f>表格1_14[[#This Row],[加權後總分]]-表格1_14[[#This Row],[獎懲分數]]</f>
        <v>#DIV/0!</v>
      </c>
      <c r="H10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0" s="39" t="e">
        <f t="shared" si="12"/>
        <v>#DIV/0!</v>
      </c>
      <c r="J100" s="36" t="e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>#DIV/0!</v>
      </c>
      <c r="K100" s="8" t="e">
        <f>IF(J100&gt;=90,"A",
 IF(J100&gt;=80,"B",
 IF(J100&gt;=70,"C",
 IF(J100&gt;=60,"D","E"))))</f>
        <v>#DIV/0!</v>
      </c>
      <c r="L100" s="8" t="e">
        <f>_xlfn.RANK.EQ(J100,$J$2:$J$146,0)</f>
        <v>#DIV/0!</v>
      </c>
      <c r="M100" s="8" t="e">
        <f>表格1_3[[#This Row],[部內平均]]</f>
        <v>#DIV/0!</v>
      </c>
      <c r="N100" s="8"/>
      <c r="O100" s="8" t="e">
        <f>表格1_3[[#This Row],[複評平均]]</f>
        <v>#DIV/0!</v>
      </c>
      <c r="P100" s="3"/>
      <c r="Q100" s="3"/>
      <c r="R100" s="3"/>
      <c r="S100" s="3"/>
      <c r="T100" s="3"/>
      <c r="U100" s="3"/>
      <c r="V100" s="3"/>
      <c r="W100" s="38">
        <v>67</v>
      </c>
      <c r="X100" s="2">
        <v>98</v>
      </c>
    </row>
    <row r="101" spans="1:24">
      <c r="A101" s="10" t="s">
        <v>380</v>
      </c>
      <c r="B101" s="5" t="s">
        <v>222</v>
      </c>
      <c r="C101" s="4" t="s">
        <v>91</v>
      </c>
      <c r="D101" s="6" t="s">
        <v>276</v>
      </c>
      <c r="E101" s="4" t="s">
        <v>296</v>
      </c>
      <c r="F101" s="4" t="s">
        <v>79</v>
      </c>
      <c r="G101" s="41" t="e">
        <f>表格1_14[[#This Row],[加權後總分]]-表格1_14[[#This Row],[獎懲分數]]</f>
        <v>#DIV/0!</v>
      </c>
      <c r="H10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1" s="39" t="e">
        <f t="shared" si="12"/>
        <v>#DIV/0!</v>
      </c>
      <c r="J101" s="36" t="e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>#DIV/0!</v>
      </c>
      <c r="K101" s="8" t="e">
        <f>IF(J101&gt;=90,"A",
 IF(J101&gt;=80,"B",
 IF(J101&gt;=70,"C",
 IF(J101&gt;=60,"D","E"))))</f>
        <v>#DIV/0!</v>
      </c>
      <c r="L101" s="8" t="e">
        <f>_xlfn.RANK.EQ(J101,$J$2:$J$146,0)</f>
        <v>#DIV/0!</v>
      </c>
      <c r="M101" s="8" t="e">
        <f>表格1_3[[#This Row],[部內平均]]</f>
        <v>#DIV/0!</v>
      </c>
      <c r="N101" s="8" t="e">
        <f>表格1_3[[#This Row],[共評平均]]</f>
        <v>#DIV/0!</v>
      </c>
      <c r="O101" s="8" t="e">
        <f>表格1_3[[#This Row],[複評平均]]</f>
        <v>#DIV/0!</v>
      </c>
      <c r="P101" s="3"/>
      <c r="Q101" s="3"/>
      <c r="R101" s="3"/>
      <c r="S101" s="3"/>
      <c r="T101" s="3"/>
      <c r="U101" s="3"/>
      <c r="V101" s="3"/>
      <c r="W101" s="38">
        <v>66.599999999999994</v>
      </c>
      <c r="X101" s="2">
        <v>99</v>
      </c>
    </row>
    <row r="102" spans="1:24">
      <c r="A102" s="10" t="s">
        <v>393</v>
      </c>
      <c r="B102" s="5" t="s">
        <v>223</v>
      </c>
      <c r="C102" s="4" t="s">
        <v>92</v>
      </c>
      <c r="D102" s="6" t="s">
        <v>276</v>
      </c>
      <c r="E102" s="4" t="s">
        <v>296</v>
      </c>
      <c r="F102" s="4" t="s">
        <v>79</v>
      </c>
      <c r="G102" s="41"/>
      <c r="H102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02" s="39" t="e">
        <f t="shared" si="12"/>
        <v>#DIV/0!</v>
      </c>
      <c r="J102" s="36"/>
      <c r="K102" s="8"/>
      <c r="L102" s="8"/>
      <c r="M102" s="8" t="e">
        <f>表格1_3[[#This Row],[部內平均]]</f>
        <v>#DIV/0!</v>
      </c>
      <c r="N102" s="8" t="e">
        <f>表格1_3[[#This Row],[共評平均]]</f>
        <v>#DIV/0!</v>
      </c>
      <c r="O102" s="8" t="e">
        <f>表格1_3[[#This Row],[複評平均]]</f>
        <v>#DIV/0!</v>
      </c>
      <c r="P102" s="3"/>
      <c r="Q102" s="3"/>
      <c r="R102" s="3"/>
      <c r="S102" s="3"/>
      <c r="T102" s="3"/>
      <c r="U102" s="3"/>
      <c r="V102" s="3"/>
      <c r="W102" s="38">
        <v>66.099999999999994</v>
      </c>
      <c r="X102" s="2">
        <v>100</v>
      </c>
    </row>
    <row r="103" spans="1:24">
      <c r="A103" s="10" t="s">
        <v>395</v>
      </c>
      <c r="B103" s="5" t="s">
        <v>225</v>
      </c>
      <c r="C103" s="4" t="s">
        <v>94</v>
      </c>
      <c r="D103" s="6" t="s">
        <v>276</v>
      </c>
      <c r="E103" s="4" t="s">
        <v>293</v>
      </c>
      <c r="F103" s="4" t="s">
        <v>79</v>
      </c>
      <c r="G103" s="41" t="e">
        <f>表格1_14[[#This Row],[加權後總分]]-表格1_14[[#This Row],[獎懲分數]]</f>
        <v>#DIV/0!</v>
      </c>
      <c r="H10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3" s="39" t="e">
        <f t="shared" si="12"/>
        <v>#DIV/0!</v>
      </c>
      <c r="J103" s="36" t="e">
        <f t="shared" ref="J103:J125" si="13"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>#DIV/0!</v>
      </c>
      <c r="K103" s="8" t="e">
        <f t="shared" ref="K103:K125" si="14">IF(J103&gt;=90,"A",
 IF(J103&gt;=77,"B",
 IF(J103&gt;=70,"C",
 IF(J103&gt;=60,"D","E"))))</f>
        <v>#DIV/0!</v>
      </c>
      <c r="L103" s="8" t="e">
        <f t="shared" ref="L103:L130" si="15">_xlfn.RANK.EQ(J103,$J$2:$J$146,0)</f>
        <v>#DIV/0!</v>
      </c>
      <c r="M103" s="8" t="e">
        <f>表格1_3[[#This Row],[部內平均]]</f>
        <v>#DIV/0!</v>
      </c>
      <c r="N103" s="8" t="e">
        <f>表格1_3[[#This Row],[共評平均]]</f>
        <v>#DIV/0!</v>
      </c>
      <c r="O103" s="8" t="e">
        <f>表格1_3[[#This Row],[複評平均]]</f>
        <v>#DIV/0!</v>
      </c>
      <c r="P103" s="3"/>
      <c r="Q103" s="3"/>
      <c r="R103" s="3"/>
      <c r="S103" s="3"/>
      <c r="T103" s="3"/>
      <c r="U103" s="3"/>
      <c r="V103" s="3"/>
      <c r="W103" s="38">
        <v>66</v>
      </c>
      <c r="X103" s="2">
        <v>101</v>
      </c>
    </row>
    <row r="104" spans="1:24">
      <c r="A104" s="10" t="s">
        <v>381</v>
      </c>
      <c r="B104" s="5" t="s">
        <v>224</v>
      </c>
      <c r="C104" s="4" t="s">
        <v>93</v>
      </c>
      <c r="D104" s="6" t="s">
        <v>276</v>
      </c>
      <c r="E104" s="4" t="s">
        <v>288</v>
      </c>
      <c r="F104" s="4" t="s">
        <v>119</v>
      </c>
      <c r="G104" s="41" t="e">
        <f>表格1_14[[#This Row],[加權後總分]]-表格1_14[[#This Row],[獎懲分數]]</f>
        <v>#DIV/0!</v>
      </c>
      <c r="H10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4" s="39" t="e">
        <f t="shared" si="12"/>
        <v>#DIV/0!</v>
      </c>
      <c r="J104" s="36" t="e">
        <f t="shared" si="13"/>
        <v>#DIV/0!</v>
      </c>
      <c r="K104" s="8" t="e">
        <f t="shared" si="14"/>
        <v>#DIV/0!</v>
      </c>
      <c r="L104" s="8" t="e">
        <f t="shared" si="15"/>
        <v>#DIV/0!</v>
      </c>
      <c r="M104" s="8" t="e">
        <f>表格1_3[[#This Row],[部內平均]]</f>
        <v>#DIV/0!</v>
      </c>
      <c r="N104" s="8" t="e">
        <f>表格1_3[[#This Row],[共評平均]]</f>
        <v>#DIV/0!</v>
      </c>
      <c r="O104" s="8">
        <v>76</v>
      </c>
      <c r="P104" s="3"/>
      <c r="Q104" s="3"/>
      <c r="R104" s="3"/>
      <c r="S104" s="3"/>
      <c r="T104" s="3"/>
      <c r="U104" s="3"/>
      <c r="V104" s="3"/>
      <c r="W104" s="38">
        <v>66</v>
      </c>
      <c r="X104" s="2">
        <v>102</v>
      </c>
    </row>
    <row r="105" spans="1:24">
      <c r="A105" s="10" t="s">
        <v>394</v>
      </c>
      <c r="B105" s="5" t="s">
        <v>226</v>
      </c>
      <c r="C105" s="4" t="s">
        <v>95</v>
      </c>
      <c r="D105" s="6" t="s">
        <v>276</v>
      </c>
      <c r="E105" s="4" t="s">
        <v>283</v>
      </c>
      <c r="F105" s="4" t="s">
        <v>79</v>
      </c>
      <c r="G105" s="41" t="e">
        <f>表格1_14[[#This Row],[加權後總分]]-表格1_14[[#This Row],[獎懲分數]]</f>
        <v>#DIV/0!</v>
      </c>
      <c r="H10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5" s="39" t="e">
        <f t="shared" si="12"/>
        <v>#DIV/0!</v>
      </c>
      <c r="J105" s="36" t="e">
        <f t="shared" si="13"/>
        <v>#DIV/0!</v>
      </c>
      <c r="K105" s="8" t="e">
        <f t="shared" si="14"/>
        <v>#DIV/0!</v>
      </c>
      <c r="L105" s="8" t="e">
        <f t="shared" si="15"/>
        <v>#DIV/0!</v>
      </c>
      <c r="M105" s="8" t="e">
        <f>表格1_3[[#This Row],[部內平均]]</f>
        <v>#DIV/0!</v>
      </c>
      <c r="N105" s="8" t="e">
        <f>表格1_3[[#This Row],[共評平均]]</f>
        <v>#DIV/0!</v>
      </c>
      <c r="O105" s="8" t="e">
        <f>表格1_3[[#This Row],[複評平均]]</f>
        <v>#DIV/0!</v>
      </c>
      <c r="P105" s="3"/>
      <c r="Q105" s="3"/>
      <c r="R105" s="3"/>
      <c r="S105" s="3"/>
      <c r="T105" s="3"/>
      <c r="U105" s="3"/>
      <c r="V105" s="3"/>
      <c r="W105" s="38">
        <v>65.599999999999994</v>
      </c>
      <c r="X105" s="2">
        <v>103</v>
      </c>
    </row>
    <row r="106" spans="1:24">
      <c r="A106" s="10" t="s">
        <v>407</v>
      </c>
      <c r="B106" s="5" t="s">
        <v>227</v>
      </c>
      <c r="C106" s="4" t="s">
        <v>96</v>
      </c>
      <c r="D106" s="6" t="s">
        <v>277</v>
      </c>
      <c r="E106" s="4" t="s">
        <v>283</v>
      </c>
      <c r="F106" s="4" t="s">
        <v>74</v>
      </c>
      <c r="G106" s="41" t="e">
        <f>表格1_14[[#This Row],[加權後總分]]-表格1_14[[#This Row],[獎懲分數]]</f>
        <v>#DIV/0!</v>
      </c>
      <c r="H10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6" s="39" t="e">
        <f t="shared" si="12"/>
        <v>#DIV/0!</v>
      </c>
      <c r="J106" s="36" t="e">
        <f t="shared" si="13"/>
        <v>#DIV/0!</v>
      </c>
      <c r="K106" s="8" t="e">
        <f t="shared" si="14"/>
        <v>#DIV/0!</v>
      </c>
      <c r="L106" s="8" t="e">
        <f t="shared" si="15"/>
        <v>#DIV/0!</v>
      </c>
      <c r="M106" s="8" t="e">
        <f>表格1_3[[#This Row],[部內平均]]</f>
        <v>#DIV/0!</v>
      </c>
      <c r="N106" s="8"/>
      <c r="O106" s="8" t="e">
        <f>表格1_3[[#This Row],[複評平均]]</f>
        <v>#DIV/0!</v>
      </c>
      <c r="P106" s="3"/>
      <c r="Q106" s="3"/>
      <c r="R106" s="3"/>
      <c r="S106" s="3"/>
      <c r="T106" s="3"/>
      <c r="U106" s="3"/>
      <c r="V106" s="3"/>
      <c r="W106" s="38">
        <v>65.599999999999994</v>
      </c>
      <c r="X106" s="2">
        <v>104</v>
      </c>
    </row>
    <row r="107" spans="1:24">
      <c r="A107" s="10" t="s">
        <v>407</v>
      </c>
      <c r="B107" s="5" t="s">
        <v>236</v>
      </c>
      <c r="C107" s="13" t="s">
        <v>105</v>
      </c>
      <c r="D107" s="6" t="s">
        <v>277</v>
      </c>
      <c r="E107" s="4" t="s">
        <v>283</v>
      </c>
      <c r="F107" s="4" t="s">
        <v>74</v>
      </c>
      <c r="G107" s="41" t="e">
        <f>表格1_14[[#This Row],[加權後總分]]-表格1_14[[#This Row],[獎懲分數]]</f>
        <v>#DIV/0!</v>
      </c>
      <c r="H10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7" s="39" t="e">
        <f t="shared" si="12"/>
        <v>#DIV/0!</v>
      </c>
      <c r="J107" s="36" t="e">
        <f t="shared" si="13"/>
        <v>#DIV/0!</v>
      </c>
      <c r="K107" s="8" t="e">
        <f t="shared" si="14"/>
        <v>#DIV/0!</v>
      </c>
      <c r="L107" s="8" t="e">
        <f t="shared" si="15"/>
        <v>#DIV/0!</v>
      </c>
      <c r="M107" s="8" t="e">
        <f>表格1_3[[#This Row],[部內平均]]</f>
        <v>#DIV/0!</v>
      </c>
      <c r="N107" s="8"/>
      <c r="O107" s="8" t="e">
        <f>表格1_3[[#This Row],[複評平均]]</f>
        <v>#DIV/0!</v>
      </c>
      <c r="P107" s="3"/>
      <c r="Q107" s="3"/>
      <c r="R107" s="3"/>
      <c r="S107" s="3"/>
      <c r="T107" s="3"/>
      <c r="U107" s="3"/>
      <c r="V107" s="3"/>
      <c r="W107" s="38">
        <v>64.849999999999994</v>
      </c>
      <c r="X107" s="2">
        <v>105</v>
      </c>
    </row>
    <row r="108" spans="1:24">
      <c r="A108" s="10" t="s">
        <v>407</v>
      </c>
      <c r="B108" s="5" t="s">
        <v>237</v>
      </c>
      <c r="C108" s="13" t="s">
        <v>106</v>
      </c>
      <c r="D108" s="6" t="s">
        <v>277</v>
      </c>
      <c r="E108" s="4" t="s">
        <v>283</v>
      </c>
      <c r="F108" s="4" t="s">
        <v>74</v>
      </c>
      <c r="G108" s="41" t="e">
        <f>表格1_14[[#This Row],[加權後總分]]-表格1_14[[#This Row],[獎懲分數]]</f>
        <v>#DIV/0!</v>
      </c>
      <c r="H10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8" s="39" t="e">
        <f t="shared" si="12"/>
        <v>#DIV/0!</v>
      </c>
      <c r="J108" s="36" t="e">
        <f t="shared" si="13"/>
        <v>#DIV/0!</v>
      </c>
      <c r="K108" s="8" t="e">
        <f t="shared" si="14"/>
        <v>#DIV/0!</v>
      </c>
      <c r="L108" s="8" t="e">
        <f t="shared" si="15"/>
        <v>#DIV/0!</v>
      </c>
      <c r="M108" s="8" t="e">
        <f>表格1_3[[#This Row],[部內平均]]</f>
        <v>#DIV/0!</v>
      </c>
      <c r="N108" s="8"/>
      <c r="O108" s="8" t="e">
        <f>表格1_3[[#This Row],[複評平均]]</f>
        <v>#DIV/0!</v>
      </c>
      <c r="P108" s="3"/>
      <c r="Q108" s="3"/>
      <c r="R108" s="3"/>
      <c r="S108" s="3"/>
      <c r="T108" s="3"/>
      <c r="U108" s="3"/>
      <c r="V108" s="3"/>
      <c r="W108" s="38">
        <v>64.599999999999994</v>
      </c>
      <c r="X108" s="2">
        <v>106</v>
      </c>
    </row>
    <row r="109" spans="1:24">
      <c r="A109" s="10" t="s">
        <v>407</v>
      </c>
      <c r="B109" s="5" t="s">
        <v>230</v>
      </c>
      <c r="C109" s="4" t="s">
        <v>99</v>
      </c>
      <c r="D109" s="6" t="s">
        <v>277</v>
      </c>
      <c r="E109" s="4" t="s">
        <v>285</v>
      </c>
      <c r="F109" s="4" t="s">
        <v>93</v>
      </c>
      <c r="G109" s="41" t="e">
        <f>表格1_14[[#This Row],[加權後總分]]-表格1_14[[#This Row],[獎懲分數]]</f>
        <v>#DIV/0!</v>
      </c>
      <c r="H10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09" s="39" t="e">
        <f t="shared" si="12"/>
        <v>#DIV/0!</v>
      </c>
      <c r="J109" s="36" t="e">
        <f t="shared" si="13"/>
        <v>#DIV/0!</v>
      </c>
      <c r="K109" s="8" t="e">
        <f t="shared" si="14"/>
        <v>#DIV/0!</v>
      </c>
      <c r="L109" s="8" t="e">
        <f t="shared" si="15"/>
        <v>#DIV/0!</v>
      </c>
      <c r="M109" s="8" t="e">
        <f>表格1_3[[#This Row],[部內平均]]</f>
        <v>#DIV/0!</v>
      </c>
      <c r="N109" s="8"/>
      <c r="O109" s="8" t="e">
        <f>表格1_3[[#This Row],[複評平均]]</f>
        <v>#DIV/0!</v>
      </c>
      <c r="P109" s="3"/>
      <c r="Q109" s="3"/>
      <c r="R109" s="3"/>
      <c r="S109" s="3"/>
      <c r="T109" s="3"/>
      <c r="U109" s="3"/>
      <c r="V109" s="3"/>
      <c r="W109" s="38">
        <v>63.716666666666654</v>
      </c>
      <c r="X109" s="2">
        <v>107</v>
      </c>
    </row>
    <row r="110" spans="1:24">
      <c r="A110" s="10" t="s">
        <v>407</v>
      </c>
      <c r="B110" s="5" t="s">
        <v>228</v>
      </c>
      <c r="C110" s="13" t="s">
        <v>97</v>
      </c>
      <c r="D110" s="6" t="s">
        <v>277</v>
      </c>
      <c r="E110" s="4" t="s">
        <v>283</v>
      </c>
      <c r="F110" s="4" t="s">
        <v>74</v>
      </c>
      <c r="G110" s="41" t="e">
        <f>表格1_14[[#This Row],[加權後總分]]-表格1_14[[#This Row],[獎懲分數]]</f>
        <v>#DIV/0!</v>
      </c>
      <c r="H11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0" s="39" t="e">
        <f t="shared" si="12"/>
        <v>#DIV/0!</v>
      </c>
      <c r="J110" s="36" t="e">
        <f t="shared" si="13"/>
        <v>#DIV/0!</v>
      </c>
      <c r="K110" s="8" t="e">
        <f t="shared" si="14"/>
        <v>#DIV/0!</v>
      </c>
      <c r="L110" s="8" t="e">
        <f t="shared" si="15"/>
        <v>#DIV/0!</v>
      </c>
      <c r="M110" s="8" t="e">
        <f>表格1_3[[#This Row],[部內平均]]</f>
        <v>#DIV/0!</v>
      </c>
      <c r="N110" s="8"/>
      <c r="O110" s="8" t="e">
        <f>表格1_3[[#This Row],[複評平均]]</f>
        <v>#DIV/0!</v>
      </c>
      <c r="P110" s="3"/>
      <c r="Q110" s="3"/>
      <c r="R110" s="3"/>
      <c r="S110" s="3"/>
      <c r="T110" s="3"/>
      <c r="U110" s="3"/>
      <c r="V110" s="3"/>
      <c r="W110" s="38">
        <v>63.677777777777777</v>
      </c>
      <c r="X110" s="2">
        <v>108</v>
      </c>
    </row>
    <row r="111" spans="1:24">
      <c r="A111" s="10" t="s">
        <v>407</v>
      </c>
      <c r="B111" s="5" t="s">
        <v>229</v>
      </c>
      <c r="C111" s="4" t="s">
        <v>98</v>
      </c>
      <c r="D111" s="6" t="s">
        <v>277</v>
      </c>
      <c r="E111" s="4" t="s">
        <v>283</v>
      </c>
      <c r="F111" s="4" t="s">
        <v>74</v>
      </c>
      <c r="G111" s="41" t="e">
        <f>表格1_14[[#This Row],[加權後總分]]-表格1_14[[#This Row],[獎懲分數]]</f>
        <v>#DIV/0!</v>
      </c>
      <c r="H11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1" s="39" t="e">
        <f t="shared" si="12"/>
        <v>#DIV/0!</v>
      </c>
      <c r="J111" s="36" t="e">
        <f t="shared" si="13"/>
        <v>#DIV/0!</v>
      </c>
      <c r="K111" s="8" t="e">
        <f t="shared" si="14"/>
        <v>#DIV/0!</v>
      </c>
      <c r="L111" s="8" t="e">
        <f t="shared" si="15"/>
        <v>#DIV/0!</v>
      </c>
      <c r="M111" s="8" t="e">
        <f>表格1_3[[#This Row],[部內平均]]</f>
        <v>#DIV/0!</v>
      </c>
      <c r="N111" s="8"/>
      <c r="O111" s="8" t="e">
        <f>表格1_3[[#This Row],[複評平均]]</f>
        <v>#DIV/0!</v>
      </c>
      <c r="P111" s="3"/>
      <c r="Q111" s="3"/>
      <c r="R111" s="3"/>
      <c r="S111" s="3"/>
      <c r="T111" s="3"/>
      <c r="U111" s="3"/>
      <c r="V111" s="3"/>
      <c r="W111" s="38">
        <v>63.599999999999994</v>
      </c>
      <c r="X111" s="2">
        <v>109</v>
      </c>
    </row>
    <row r="112" spans="1:24">
      <c r="A112" s="10" t="s">
        <v>407</v>
      </c>
      <c r="B112" s="5" t="s">
        <v>235</v>
      </c>
      <c r="C112" s="4" t="s">
        <v>104</v>
      </c>
      <c r="D112" s="6" t="s">
        <v>277</v>
      </c>
      <c r="E112" s="4" t="s">
        <v>283</v>
      </c>
      <c r="F112" s="4" t="s">
        <v>74</v>
      </c>
      <c r="G112" s="41" t="e">
        <f>表格1_14[[#This Row],[加權後總分]]-表格1_14[[#This Row],[獎懲分數]]</f>
        <v>#DIV/0!</v>
      </c>
      <c r="H11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2" s="39" t="e">
        <f t="shared" si="12"/>
        <v>#DIV/0!</v>
      </c>
      <c r="J112" s="36" t="e">
        <f t="shared" si="13"/>
        <v>#DIV/0!</v>
      </c>
      <c r="K112" s="8" t="e">
        <f t="shared" si="14"/>
        <v>#DIV/0!</v>
      </c>
      <c r="L112" s="8" t="e">
        <f t="shared" si="15"/>
        <v>#DIV/0!</v>
      </c>
      <c r="M112" s="8" t="e">
        <f>表格1_3[[#This Row],[部內平均]]</f>
        <v>#DIV/0!</v>
      </c>
      <c r="N112" s="8"/>
      <c r="O112" s="8" t="e">
        <f>表格1_3[[#This Row],[複評平均]]</f>
        <v>#DIV/0!</v>
      </c>
      <c r="P112" s="3"/>
      <c r="Q112" s="3"/>
      <c r="R112" s="3"/>
      <c r="S112" s="3"/>
      <c r="T112" s="3"/>
      <c r="U112" s="3"/>
      <c r="V112" s="3"/>
      <c r="W112" s="38">
        <v>63.4</v>
      </c>
      <c r="X112" s="2">
        <v>110</v>
      </c>
    </row>
    <row r="113" spans="1:24">
      <c r="A113" s="10" t="s">
        <v>407</v>
      </c>
      <c r="B113" s="5" t="s">
        <v>240</v>
      </c>
      <c r="C113" s="4" t="s">
        <v>109</v>
      </c>
      <c r="D113" s="6" t="s">
        <v>277</v>
      </c>
      <c r="E113" s="4" t="s">
        <v>283</v>
      </c>
      <c r="F113" s="4" t="s">
        <v>74</v>
      </c>
      <c r="G113" s="41" t="e">
        <f>表格1_14[[#This Row],[加權後總分]]-表格1_14[[#This Row],[獎懲分數]]</f>
        <v>#DIV/0!</v>
      </c>
      <c r="H11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3" s="39" t="e">
        <f t="shared" si="12"/>
        <v>#DIV/0!</v>
      </c>
      <c r="J113" s="36" t="e">
        <f t="shared" si="13"/>
        <v>#DIV/0!</v>
      </c>
      <c r="K113" s="8" t="e">
        <f t="shared" si="14"/>
        <v>#DIV/0!</v>
      </c>
      <c r="L113" s="8" t="e">
        <f t="shared" si="15"/>
        <v>#DIV/0!</v>
      </c>
      <c r="M113" s="8" t="e">
        <f>表格1_3[[#This Row],[部內平均]]</f>
        <v>#DIV/0!</v>
      </c>
      <c r="N113" s="8"/>
      <c r="O113" s="8" t="e">
        <f>表格1_3[[#This Row],[複評平均]]</f>
        <v>#DIV/0!</v>
      </c>
      <c r="P113" s="3"/>
      <c r="Q113" s="3"/>
      <c r="R113" s="3"/>
      <c r="S113" s="3"/>
      <c r="T113" s="3"/>
      <c r="U113" s="3"/>
      <c r="V113" s="3"/>
      <c r="W113" s="38">
        <v>63.2</v>
      </c>
      <c r="X113" s="2">
        <v>111</v>
      </c>
    </row>
    <row r="114" spans="1:24">
      <c r="A114" s="10" t="s">
        <v>407</v>
      </c>
      <c r="B114" s="5" t="s">
        <v>238</v>
      </c>
      <c r="C114" s="4" t="s">
        <v>107</v>
      </c>
      <c r="D114" s="6" t="s">
        <v>277</v>
      </c>
      <c r="E114" s="4" t="s">
        <v>283</v>
      </c>
      <c r="F114" s="4" t="s">
        <v>74</v>
      </c>
      <c r="G114" s="41" t="e">
        <f>表格1_14[[#This Row],[加權後總分]]-表格1_14[[#This Row],[獎懲分數]]</f>
        <v>#DIV/0!</v>
      </c>
      <c r="H11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4" s="39" t="e">
        <f t="shared" si="12"/>
        <v>#DIV/0!</v>
      </c>
      <c r="J114" s="36" t="e">
        <f t="shared" si="13"/>
        <v>#DIV/0!</v>
      </c>
      <c r="K114" s="8" t="e">
        <f t="shared" si="14"/>
        <v>#DIV/0!</v>
      </c>
      <c r="L114" s="8" t="e">
        <f t="shared" si="15"/>
        <v>#DIV/0!</v>
      </c>
      <c r="M114" s="8" t="e">
        <f>表格1_3[[#This Row],[部內平均]]</f>
        <v>#DIV/0!</v>
      </c>
      <c r="N114" s="8"/>
      <c r="O114" s="8" t="e">
        <f>表格1_3[[#This Row],[複評平均]]</f>
        <v>#DIV/0!</v>
      </c>
      <c r="P114" s="3"/>
      <c r="Q114" s="3"/>
      <c r="R114" s="3"/>
      <c r="S114" s="3"/>
      <c r="T114" s="3"/>
      <c r="U114" s="3"/>
      <c r="V114" s="3"/>
      <c r="W114" s="38">
        <v>62.8</v>
      </c>
      <c r="X114" s="2">
        <v>112</v>
      </c>
    </row>
    <row r="115" spans="1:24">
      <c r="A115" s="10" t="s">
        <v>407</v>
      </c>
      <c r="B115" s="5" t="s">
        <v>239</v>
      </c>
      <c r="C115" s="4" t="s">
        <v>108</v>
      </c>
      <c r="D115" s="6" t="s">
        <v>277</v>
      </c>
      <c r="E115" s="4" t="s">
        <v>283</v>
      </c>
      <c r="F115" s="4" t="s">
        <v>74</v>
      </c>
      <c r="G115" s="41" t="e">
        <f>表格1_14[[#This Row],[加權後總分]]-表格1_14[[#This Row],[獎懲分數]]</f>
        <v>#DIV/0!</v>
      </c>
      <c r="H11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5" s="39" t="e">
        <f t="shared" si="12"/>
        <v>#DIV/0!</v>
      </c>
      <c r="J115" s="36" t="e">
        <f t="shared" si="13"/>
        <v>#DIV/0!</v>
      </c>
      <c r="K115" s="8" t="e">
        <f t="shared" si="14"/>
        <v>#DIV/0!</v>
      </c>
      <c r="L115" s="8" t="e">
        <f t="shared" si="15"/>
        <v>#DIV/0!</v>
      </c>
      <c r="M115" s="8" t="e">
        <f>表格1_3[[#This Row],[部內平均]]</f>
        <v>#DIV/0!</v>
      </c>
      <c r="N115" s="8"/>
      <c r="O115" s="8" t="e">
        <f>表格1_3[[#This Row],[複評平均]]</f>
        <v>#DIV/0!</v>
      </c>
      <c r="P115" s="3"/>
      <c r="Q115" s="3"/>
      <c r="R115" s="3"/>
      <c r="S115" s="3"/>
      <c r="T115" s="3"/>
      <c r="U115" s="3"/>
      <c r="V115" s="3"/>
      <c r="W115" s="38">
        <v>62.400000000000006</v>
      </c>
      <c r="X115" s="2">
        <v>113</v>
      </c>
    </row>
    <row r="116" spans="1:24" ht="26">
      <c r="A116" s="10" t="s">
        <v>407</v>
      </c>
      <c r="B116" s="5" t="s">
        <v>201</v>
      </c>
      <c r="C116" s="12" t="s">
        <v>420</v>
      </c>
      <c r="D116" s="6" t="s">
        <v>277</v>
      </c>
      <c r="E116" s="4" t="s">
        <v>283</v>
      </c>
      <c r="F116" s="4" t="s">
        <v>63</v>
      </c>
      <c r="G116" s="41" t="e">
        <f>表格1_14[[#This Row],[加權後總分]]-表格1_14[[#This Row],[獎懲分數]]</f>
        <v>#DIV/0!</v>
      </c>
      <c r="H11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6" s="39" t="e">
        <f t="shared" si="12"/>
        <v>#DIV/0!</v>
      </c>
      <c r="J116" s="36" t="e">
        <f t="shared" si="13"/>
        <v>#DIV/0!</v>
      </c>
      <c r="K116" s="8" t="e">
        <f t="shared" si="14"/>
        <v>#DIV/0!</v>
      </c>
      <c r="L116" s="8" t="e">
        <f t="shared" si="15"/>
        <v>#DIV/0!</v>
      </c>
      <c r="M116" s="8" t="e">
        <f>表格1_3[[#This Row],[部內平均]]</f>
        <v>#DIV/0!</v>
      </c>
      <c r="N116" s="8"/>
      <c r="O116" s="8" t="e">
        <f>表格1_3[[#This Row],[複評平均]]</f>
        <v>#DIV/0!</v>
      </c>
      <c r="P116" s="3"/>
      <c r="Q116" s="3"/>
      <c r="R116" s="3"/>
      <c r="S116" s="3"/>
      <c r="T116" s="3"/>
      <c r="U116" s="3"/>
      <c r="V116" s="3"/>
      <c r="W116" s="38">
        <v>61.8</v>
      </c>
      <c r="X116" s="2">
        <v>114</v>
      </c>
    </row>
    <row r="117" spans="1:24">
      <c r="A117" s="10" t="s">
        <v>407</v>
      </c>
      <c r="B117" s="5" t="s">
        <v>232</v>
      </c>
      <c r="C117" s="4" t="s">
        <v>101</v>
      </c>
      <c r="D117" s="6" t="s">
        <v>277</v>
      </c>
      <c r="E117" s="4" t="s">
        <v>283</v>
      </c>
      <c r="F117" s="4" t="s">
        <v>74</v>
      </c>
      <c r="G117" s="41" t="e">
        <f>表格1_14[[#This Row],[加權後總分]]-表格1_14[[#This Row],[獎懲分數]]</f>
        <v>#DIV/0!</v>
      </c>
      <c r="H11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7" s="39" t="e">
        <f t="shared" si="12"/>
        <v>#DIV/0!</v>
      </c>
      <c r="J117" s="36" t="e">
        <f t="shared" si="13"/>
        <v>#DIV/0!</v>
      </c>
      <c r="K117" s="8" t="e">
        <f t="shared" si="14"/>
        <v>#DIV/0!</v>
      </c>
      <c r="L117" s="8" t="e">
        <f t="shared" si="15"/>
        <v>#DIV/0!</v>
      </c>
      <c r="M117" s="8" t="e">
        <f>表格1_3[[#This Row],[部內平均]]</f>
        <v>#DIV/0!</v>
      </c>
      <c r="N117" s="8"/>
      <c r="O117" s="8" t="e">
        <f>表格1_3[[#This Row],[複評平均]]</f>
        <v>#DIV/0!</v>
      </c>
      <c r="P117" s="3"/>
      <c r="Q117" s="3"/>
      <c r="R117" s="3"/>
      <c r="S117" s="3"/>
      <c r="T117" s="3"/>
      <c r="U117" s="3"/>
      <c r="V117" s="3"/>
      <c r="W117" s="38">
        <v>61.2</v>
      </c>
      <c r="X117" s="2">
        <v>115</v>
      </c>
    </row>
    <row r="118" spans="1:24">
      <c r="A118" s="10" t="s">
        <v>407</v>
      </c>
      <c r="B118" s="5" t="s">
        <v>234</v>
      </c>
      <c r="C118" s="4" t="s">
        <v>103</v>
      </c>
      <c r="D118" s="6" t="s">
        <v>277</v>
      </c>
      <c r="E118" s="4" t="s">
        <v>283</v>
      </c>
      <c r="F118" s="4" t="s">
        <v>74</v>
      </c>
      <c r="G118" s="41" t="e">
        <f>表格1_14[[#This Row],[加權後總分]]-表格1_14[[#This Row],[獎懲分數]]</f>
        <v>#DIV/0!</v>
      </c>
      <c r="H118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8" s="39" t="e">
        <f t="shared" si="12"/>
        <v>#DIV/0!</v>
      </c>
      <c r="J118" s="36" t="e">
        <f t="shared" si="13"/>
        <v>#DIV/0!</v>
      </c>
      <c r="K118" s="8" t="e">
        <f t="shared" si="14"/>
        <v>#DIV/0!</v>
      </c>
      <c r="L118" s="8" t="e">
        <f t="shared" si="15"/>
        <v>#DIV/0!</v>
      </c>
      <c r="M118" s="8" t="e">
        <f>表格1_3[[#This Row],[部內平均]]</f>
        <v>#DIV/0!</v>
      </c>
      <c r="N118" s="8"/>
      <c r="O118" s="8" t="e">
        <f>表格1_3[[#This Row],[複評平均]]</f>
        <v>#DIV/0!</v>
      </c>
      <c r="P118" s="3"/>
      <c r="Q118" s="3"/>
      <c r="R118" s="3"/>
      <c r="S118" s="3"/>
      <c r="T118" s="3"/>
      <c r="U118" s="3"/>
      <c r="V118" s="3"/>
      <c r="W118" s="38">
        <v>60.833333333333329</v>
      </c>
      <c r="X118" s="2">
        <v>116</v>
      </c>
    </row>
    <row r="119" spans="1:24">
      <c r="A119" s="10" t="s">
        <v>407</v>
      </c>
      <c r="B119" s="5" t="s">
        <v>233</v>
      </c>
      <c r="C119" s="4" t="s">
        <v>102</v>
      </c>
      <c r="D119" s="6" t="s">
        <v>277</v>
      </c>
      <c r="E119" s="4" t="s">
        <v>297</v>
      </c>
      <c r="F119" s="4" t="s">
        <v>74</v>
      </c>
      <c r="G119" s="41" t="e">
        <f>表格1_14[[#This Row],[加權後總分]]-表格1_14[[#This Row],[獎懲分數]]</f>
        <v>#DIV/0!</v>
      </c>
      <c r="H119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19" s="39" t="e">
        <f t="shared" si="12"/>
        <v>#DIV/0!</v>
      </c>
      <c r="J119" s="36" t="e">
        <f t="shared" si="13"/>
        <v>#DIV/0!</v>
      </c>
      <c r="K119" s="8" t="e">
        <f t="shared" si="14"/>
        <v>#DIV/0!</v>
      </c>
      <c r="L119" s="8" t="e">
        <f t="shared" si="15"/>
        <v>#DIV/0!</v>
      </c>
      <c r="M119" s="8" t="e">
        <f>表格1_3[[#This Row],[部內平均]]</f>
        <v>#DIV/0!</v>
      </c>
      <c r="N119" s="8"/>
      <c r="O119" s="8" t="e">
        <f>表格1_3[[#This Row],[複評平均]]</f>
        <v>#DIV/0!</v>
      </c>
      <c r="P119" s="3"/>
      <c r="Q119" s="3"/>
      <c r="R119" s="3"/>
      <c r="S119" s="3"/>
      <c r="T119" s="3"/>
      <c r="U119" s="3"/>
      <c r="V119" s="3"/>
      <c r="W119" s="38">
        <v>60.6</v>
      </c>
      <c r="X119" s="2">
        <v>117</v>
      </c>
    </row>
    <row r="120" spans="1:24" ht="26">
      <c r="A120" s="10" t="s">
        <v>407</v>
      </c>
      <c r="B120" s="5" t="s">
        <v>214</v>
      </c>
      <c r="C120" s="12" t="s">
        <v>421</v>
      </c>
      <c r="D120" s="6" t="s">
        <v>277</v>
      </c>
      <c r="E120" s="4" t="s">
        <v>283</v>
      </c>
      <c r="F120" s="4" t="s">
        <v>331</v>
      </c>
      <c r="G120" s="41" t="e">
        <f>表格1_14[[#This Row],[加權後總分]]-表格1_14[[#This Row],[獎懲分數]]</f>
        <v>#DIV/0!</v>
      </c>
      <c r="H12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0" s="39" t="e">
        <f t="shared" si="12"/>
        <v>#DIV/0!</v>
      </c>
      <c r="J120" s="36" t="e">
        <f t="shared" si="13"/>
        <v>#DIV/0!</v>
      </c>
      <c r="K120" s="8" t="e">
        <f t="shared" si="14"/>
        <v>#DIV/0!</v>
      </c>
      <c r="L120" s="8" t="e">
        <f t="shared" si="15"/>
        <v>#DIV/0!</v>
      </c>
      <c r="M120" s="8" t="e">
        <f>表格1_3[[#This Row],[部內平均]]</f>
        <v>#DIV/0!</v>
      </c>
      <c r="N120" s="8"/>
      <c r="O120" s="8" t="e">
        <f>表格1_3[[#This Row],[複評平均]]</f>
        <v>#DIV/0!</v>
      </c>
      <c r="P120" s="3"/>
      <c r="Q120" s="3"/>
      <c r="R120" s="3"/>
      <c r="S120" s="3"/>
      <c r="T120" s="3"/>
      <c r="U120" s="3"/>
      <c r="V120" s="3"/>
      <c r="W120" s="38">
        <v>59.8</v>
      </c>
      <c r="X120" s="2">
        <v>118</v>
      </c>
    </row>
    <row r="121" spans="1:24">
      <c r="A121" s="10" t="s">
        <v>407</v>
      </c>
      <c r="B121" s="5" t="s">
        <v>231</v>
      </c>
      <c r="C121" s="4" t="s">
        <v>100</v>
      </c>
      <c r="D121" s="6" t="s">
        <v>277</v>
      </c>
      <c r="E121" s="4" t="s">
        <v>283</v>
      </c>
      <c r="F121" s="4" t="s">
        <v>74</v>
      </c>
      <c r="G121" s="41" t="e">
        <f>表格1_14[[#This Row],[加權後總分]]-表格1_14[[#This Row],[獎懲分數]]</f>
        <v>#DIV/0!</v>
      </c>
      <c r="H12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1" s="39" t="e">
        <f t="shared" si="12"/>
        <v>#DIV/0!</v>
      </c>
      <c r="J121" s="36" t="e">
        <f t="shared" si="13"/>
        <v>#DIV/0!</v>
      </c>
      <c r="K121" s="8" t="e">
        <f t="shared" si="14"/>
        <v>#DIV/0!</v>
      </c>
      <c r="L121" s="8" t="e">
        <f t="shared" si="15"/>
        <v>#DIV/0!</v>
      </c>
      <c r="M121" s="8" t="e">
        <f>表格1_3[[#This Row],[部內平均]]</f>
        <v>#DIV/0!</v>
      </c>
      <c r="N121" s="8"/>
      <c r="O121" s="8" t="e">
        <f>表格1_3[[#This Row],[複評平均]]</f>
        <v>#DIV/0!</v>
      </c>
      <c r="P121" s="3"/>
      <c r="Q121" s="3"/>
      <c r="R121" s="3"/>
      <c r="S121" s="3"/>
      <c r="T121" s="3"/>
      <c r="U121" s="3"/>
      <c r="V121" s="3"/>
      <c r="W121" s="38">
        <v>56.6</v>
      </c>
      <c r="X121" s="2">
        <v>119</v>
      </c>
    </row>
    <row r="122" spans="1:24">
      <c r="A122" s="10" t="s">
        <v>407</v>
      </c>
      <c r="B122" s="5" t="s">
        <v>244</v>
      </c>
      <c r="C122" s="13" t="s">
        <v>113</v>
      </c>
      <c r="D122" s="6" t="s">
        <v>277</v>
      </c>
      <c r="E122" s="4" t="s">
        <v>283</v>
      </c>
      <c r="F122" s="4" t="s">
        <v>63</v>
      </c>
      <c r="G122" s="41" t="e">
        <f>表格1_14[[#This Row],[加權後總分]]-表格1_14[[#This Row],[獎懲分數]]</f>
        <v>#DIV/0!</v>
      </c>
      <c r="H122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2" s="39" t="e">
        <f t="shared" si="12"/>
        <v>#DIV/0!</v>
      </c>
      <c r="J122" s="36" t="e">
        <f t="shared" si="13"/>
        <v>#DIV/0!</v>
      </c>
      <c r="K122" s="8" t="e">
        <f t="shared" si="14"/>
        <v>#DIV/0!</v>
      </c>
      <c r="L122" s="8" t="e">
        <f t="shared" si="15"/>
        <v>#DIV/0!</v>
      </c>
      <c r="M122" s="8" t="e">
        <f>表格1_3[[#This Row],[部內平均]]</f>
        <v>#DIV/0!</v>
      </c>
      <c r="N122" s="8"/>
      <c r="O122" s="8" t="e">
        <f>表格1_3[[#This Row],[複評平均]]</f>
        <v>#DIV/0!</v>
      </c>
      <c r="P122" s="3"/>
      <c r="Q122" s="3"/>
      <c r="R122" s="3"/>
      <c r="S122" s="3"/>
      <c r="T122" s="3"/>
      <c r="U122" s="3"/>
      <c r="V122" s="3"/>
      <c r="W122" s="38">
        <v>55.8</v>
      </c>
      <c r="X122" s="2">
        <v>120</v>
      </c>
    </row>
    <row r="123" spans="1:24">
      <c r="A123" s="10" t="s">
        <v>407</v>
      </c>
      <c r="B123" s="5" t="s">
        <v>242</v>
      </c>
      <c r="C123" s="13" t="s">
        <v>111</v>
      </c>
      <c r="D123" s="6" t="s">
        <v>277</v>
      </c>
      <c r="E123" s="4" t="s">
        <v>283</v>
      </c>
      <c r="F123" s="4" t="s">
        <v>76</v>
      </c>
      <c r="G123" s="41" t="e">
        <f>表格1_14[[#This Row],[加權後總分]]-表格1_14[[#This Row],[獎懲分數]]</f>
        <v>#DIV/0!</v>
      </c>
      <c r="H12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3" s="39" t="e">
        <f t="shared" si="12"/>
        <v>#DIV/0!</v>
      </c>
      <c r="J123" s="36" t="e">
        <f t="shared" si="13"/>
        <v>#DIV/0!</v>
      </c>
      <c r="K123" s="8" t="e">
        <f t="shared" si="14"/>
        <v>#DIV/0!</v>
      </c>
      <c r="L123" s="8" t="e">
        <f t="shared" si="15"/>
        <v>#DIV/0!</v>
      </c>
      <c r="M123" s="8" t="e">
        <f>表格1_3[[#This Row],[部內平均]]</f>
        <v>#DIV/0!</v>
      </c>
      <c r="N123" s="8"/>
      <c r="O123" s="8" t="e">
        <f>表格1_3[[#This Row],[複評平均]]</f>
        <v>#DIV/0!</v>
      </c>
      <c r="P123" s="3"/>
      <c r="Q123" s="3"/>
      <c r="R123" s="3"/>
      <c r="S123" s="3"/>
      <c r="T123" s="3"/>
      <c r="U123" s="3"/>
      <c r="V123" s="3"/>
      <c r="W123" s="38">
        <v>55</v>
      </c>
      <c r="X123" s="2">
        <v>121</v>
      </c>
    </row>
    <row r="124" spans="1:24">
      <c r="A124" s="10" t="s">
        <v>407</v>
      </c>
      <c r="B124" s="5" t="s">
        <v>243</v>
      </c>
      <c r="C124" s="13" t="s">
        <v>112</v>
      </c>
      <c r="D124" s="6" t="s">
        <v>277</v>
      </c>
      <c r="E124" s="4" t="s">
        <v>283</v>
      </c>
      <c r="F124" s="4" t="s">
        <v>76</v>
      </c>
      <c r="G124" s="41" t="e">
        <f>表格1_14[[#This Row],[加權後總分]]-表格1_14[[#This Row],[獎懲分數]]</f>
        <v>#DIV/0!</v>
      </c>
      <c r="H12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4" s="39" t="e">
        <f t="shared" si="12"/>
        <v>#DIV/0!</v>
      </c>
      <c r="J124" s="36" t="e">
        <f t="shared" si="13"/>
        <v>#DIV/0!</v>
      </c>
      <c r="K124" s="8" t="e">
        <f t="shared" si="14"/>
        <v>#DIV/0!</v>
      </c>
      <c r="L124" s="8" t="e">
        <f t="shared" si="15"/>
        <v>#DIV/0!</v>
      </c>
      <c r="M124" s="8" t="e">
        <f>表格1_3[[#This Row],[部內平均]]</f>
        <v>#DIV/0!</v>
      </c>
      <c r="N124" s="8"/>
      <c r="O124" s="8" t="e">
        <f>表格1_3[[#This Row],[複評平均]]</f>
        <v>#DIV/0!</v>
      </c>
      <c r="P124" s="3"/>
      <c r="Q124" s="3"/>
      <c r="R124" s="3"/>
      <c r="S124" s="3"/>
      <c r="T124" s="3"/>
      <c r="U124" s="3"/>
      <c r="V124" s="3"/>
      <c r="W124" s="38">
        <v>54.8</v>
      </c>
      <c r="X124" s="2">
        <v>122</v>
      </c>
    </row>
    <row r="125" spans="1:24">
      <c r="A125" s="10" t="s">
        <v>407</v>
      </c>
      <c r="B125" s="5" t="s">
        <v>241</v>
      </c>
      <c r="C125" s="4" t="s">
        <v>110</v>
      </c>
      <c r="D125" s="6" t="s">
        <v>277</v>
      </c>
      <c r="E125" s="4" t="s">
        <v>283</v>
      </c>
      <c r="F125" s="4" t="s">
        <v>93</v>
      </c>
      <c r="G125" s="41" t="e">
        <f>表格1_14[[#This Row],[加權後總分]]-表格1_14[[#This Row],[獎懲分數]]</f>
        <v>#DIV/0!</v>
      </c>
      <c r="H12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5" s="39" t="e">
        <f t="shared" si="12"/>
        <v>#DIV/0!</v>
      </c>
      <c r="J125" s="36" t="e">
        <f t="shared" si="13"/>
        <v>#DIV/0!</v>
      </c>
      <c r="K125" s="8" t="e">
        <f t="shared" si="14"/>
        <v>#DIV/0!</v>
      </c>
      <c r="L125" s="8" t="e">
        <f t="shared" si="15"/>
        <v>#DIV/0!</v>
      </c>
      <c r="M125" s="8" t="e">
        <f>表格1_3[[#This Row],[部內平均]]</f>
        <v>#DIV/0!</v>
      </c>
      <c r="N125" s="8"/>
      <c r="O125" s="8" t="e">
        <f>表格1_3[[#This Row],[複評平均]]</f>
        <v>#DIV/0!</v>
      </c>
      <c r="P125" s="3"/>
      <c r="Q125" s="3"/>
      <c r="R125" s="3"/>
      <c r="S125" s="3"/>
      <c r="T125" s="3"/>
      <c r="U125" s="3"/>
      <c r="V125" s="3"/>
      <c r="W125" s="38">
        <v>52.2</v>
      </c>
      <c r="X125" s="2">
        <v>123</v>
      </c>
    </row>
    <row r="126" spans="1:24">
      <c r="A126" s="10" t="s">
        <v>407</v>
      </c>
      <c r="B126" s="5" t="s">
        <v>245</v>
      </c>
      <c r="C126" s="12" t="s">
        <v>415</v>
      </c>
      <c r="D126" s="6" t="s">
        <v>277</v>
      </c>
      <c r="E126" s="4" t="s">
        <v>283</v>
      </c>
      <c r="F126" s="4" t="s">
        <v>332</v>
      </c>
      <c r="G126" s="41">
        <f>表格1_14[[#This Row],[加權後總分]]-表格1_14[[#This Row],[獎懲分數]]</f>
        <v>0</v>
      </c>
      <c r="H126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26" s="39" t="e">
        <f t="shared" si="12"/>
        <v>#DIV/0!</v>
      </c>
      <c r="J126" s="36"/>
      <c r="K126" s="8"/>
      <c r="L126" s="8" t="e">
        <f t="shared" si="15"/>
        <v>#DIV/0!</v>
      </c>
      <c r="M126" s="8" t="e">
        <f>表格1_3[[#This Row],[部內平均]]</f>
        <v>#DIV/0!</v>
      </c>
      <c r="N126" s="8"/>
      <c r="O126" s="8" t="e">
        <f>表格1_3[[#This Row],[複評平均]]</f>
        <v>#DIV/0!</v>
      </c>
      <c r="P126" s="3"/>
      <c r="Q126" s="3"/>
      <c r="R126" s="3"/>
      <c r="S126" s="3"/>
      <c r="T126" s="3"/>
      <c r="U126" s="3"/>
      <c r="V126" s="3"/>
      <c r="W126" s="38">
        <v>51.2</v>
      </c>
      <c r="X126" s="2">
        <v>124</v>
      </c>
    </row>
    <row r="127" spans="1:24">
      <c r="A127" s="10" t="s">
        <v>407</v>
      </c>
      <c r="B127" s="5" t="s">
        <v>246</v>
      </c>
      <c r="C127" s="13" t="s">
        <v>114</v>
      </c>
      <c r="D127" s="6" t="s">
        <v>277</v>
      </c>
      <c r="E127" s="4" t="s">
        <v>283</v>
      </c>
      <c r="F127" s="4" t="s">
        <v>93</v>
      </c>
      <c r="G127" s="41" t="e">
        <f>表格1_14[[#This Row],[加權後總分]]-表格1_14[[#This Row],[獎懲分數]]</f>
        <v>#DIV/0!</v>
      </c>
      <c r="H127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27" s="39" t="e">
        <f t="shared" si="12"/>
        <v>#DIV/0!</v>
      </c>
      <c r="J127" s="36" t="e">
        <f>IF(
AND(M127&lt;&gt;"",N127&lt;&gt;"",O127&lt;&gt;""),
M127*20% + N127*50% + O127*30%,
IF(
AND(M127&lt;&gt;"",N127="",O127=""),
M127,
IF(
AND(M127="",N127&lt;&gt;"",O127=""),
N127,
IF(
AND(M127="",N127="",O127&lt;&gt;""),
O127,
IF(
AND(M127&lt;&gt;"",N127&lt;&gt;"",O127=""),
M127/(20%+50%)*20% + N127/(20%+50%)*50%,
IF(
AND(M127&lt;&gt;"",N127="",O127&lt;&gt;""),
M127/(20%+30%)*20% + O127/(20%+30%)*30%,
IF(
AND(M127="",N127&lt;&gt;"",O127&lt;&gt;""),
N127/(50%+30%)*50% + O127/(50%+30%)*30%,
""
)
)
)
)
)
) + V127
)</f>
        <v>#DIV/0!</v>
      </c>
      <c r="K127" s="8" t="e">
        <f>IF(J127&gt;=90,"A",
 IF(J127&gt;=80,"B",
 IF(J127&gt;=70,"C",
 IF(J127&gt;=60,"D","E"))))</f>
        <v>#DIV/0!</v>
      </c>
      <c r="L127" s="8" t="e">
        <f t="shared" si="15"/>
        <v>#DIV/0!</v>
      </c>
      <c r="M127" s="8" t="e">
        <f>表格1_3[[#This Row],[部內平均]]</f>
        <v>#DIV/0!</v>
      </c>
      <c r="N127" s="8"/>
      <c r="O127" s="8" t="e">
        <f>表格1_3[[#This Row],[複評平均]]</f>
        <v>#DIV/0!</v>
      </c>
      <c r="P127" s="3"/>
      <c r="Q127" s="3"/>
      <c r="R127" s="3"/>
      <c r="S127" s="3"/>
      <c r="T127" s="3"/>
      <c r="U127" s="3"/>
      <c r="V127" s="3"/>
      <c r="W127" s="38">
        <v>51</v>
      </c>
      <c r="X127" s="2">
        <v>125</v>
      </c>
    </row>
    <row r="128" spans="1:24" ht="26">
      <c r="A128" s="10" t="s">
        <v>407</v>
      </c>
      <c r="B128" s="5" t="s">
        <v>250</v>
      </c>
      <c r="C128" s="12" t="s">
        <v>416</v>
      </c>
      <c r="D128" s="6" t="s">
        <v>277</v>
      </c>
      <c r="E128" s="4" t="s">
        <v>283</v>
      </c>
      <c r="F128" s="4" t="s">
        <v>93</v>
      </c>
      <c r="G128" s="41">
        <f>表格1_14[[#This Row],[加權後總分]]-表格1_14[[#This Row],[獎懲分數]]</f>
        <v>0</v>
      </c>
      <c r="H128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28" s="39" t="e">
        <f t="shared" si="12"/>
        <v>#DIV/0!</v>
      </c>
      <c r="J128" s="36"/>
      <c r="K128" s="8"/>
      <c r="L128" s="8" t="e">
        <f t="shared" si="15"/>
        <v>#DIV/0!</v>
      </c>
      <c r="M128" s="8" t="e">
        <f>表格1_3[[#This Row],[部內平均]]</f>
        <v>#DIV/0!</v>
      </c>
      <c r="N128" s="8"/>
      <c r="O128" s="8" t="e">
        <f>表格1_3[[#This Row],[複評平均]]</f>
        <v>#DIV/0!</v>
      </c>
      <c r="P128" s="3"/>
      <c r="Q128" s="3"/>
      <c r="R128" s="3"/>
      <c r="S128" s="3"/>
      <c r="T128" s="3"/>
      <c r="U128" s="3"/>
      <c r="V128" s="3"/>
      <c r="W128" s="38">
        <v>50</v>
      </c>
      <c r="X128" s="2">
        <v>126</v>
      </c>
    </row>
    <row r="129" spans="1:24">
      <c r="A129" s="10" t="s">
        <v>407</v>
      </c>
      <c r="B129" s="5" t="s">
        <v>251</v>
      </c>
      <c r="C129" s="12" t="s">
        <v>433</v>
      </c>
      <c r="D129" s="6" t="s">
        <v>277</v>
      </c>
      <c r="E129" s="4" t="s">
        <v>283</v>
      </c>
      <c r="F129" s="4" t="s">
        <v>93</v>
      </c>
      <c r="G129" s="41">
        <f>表格1_14[[#This Row],[加權後總分]]-表格1_14[[#This Row],[獎懲分數]]</f>
        <v>0</v>
      </c>
      <c r="H129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29" s="39" t="e">
        <f t="shared" si="12"/>
        <v>#DIV/0!</v>
      </c>
      <c r="J129" s="36"/>
      <c r="K129" s="8"/>
      <c r="L129" s="8" t="e">
        <f t="shared" si="15"/>
        <v>#DIV/0!</v>
      </c>
      <c r="M129" s="8" t="e">
        <f>表格1_3[[#This Row],[部內平均]]</f>
        <v>#DIV/0!</v>
      </c>
      <c r="N129" s="8"/>
      <c r="O129" s="8" t="e">
        <f>表格1_3[[#This Row],[複評平均]]</f>
        <v>#DIV/0!</v>
      </c>
      <c r="P129" s="3"/>
      <c r="Q129" s="3"/>
      <c r="R129" s="3"/>
      <c r="S129" s="3"/>
      <c r="T129" s="3"/>
      <c r="U129" s="3"/>
      <c r="V129" s="3"/>
      <c r="W129" s="38">
        <v>50</v>
      </c>
      <c r="X129" s="2">
        <v>127</v>
      </c>
    </row>
    <row r="130" spans="1:24">
      <c r="A130" s="10" t="s">
        <v>407</v>
      </c>
      <c r="B130" s="5" t="s">
        <v>249</v>
      </c>
      <c r="C130" s="4" t="s">
        <v>116</v>
      </c>
      <c r="D130" s="6" t="s">
        <v>277</v>
      </c>
      <c r="E130" s="4" t="s">
        <v>283</v>
      </c>
      <c r="F130" s="4" t="s">
        <v>74</v>
      </c>
      <c r="G130" s="41" t="e">
        <f>表格1_14[[#This Row],[加權後總分]]-表格1_14[[#This Row],[獎懲分數]]</f>
        <v>#DIV/0!</v>
      </c>
      <c r="H13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30" s="39" t="e">
        <f t="shared" si="12"/>
        <v>#DIV/0!</v>
      </c>
      <c r="J130" s="36" t="e">
        <f>IF(
AND(M130&lt;&gt;"",N130&lt;&gt;"",O130&lt;&gt;""),
M130*20% + N130*50% + O130*30%,
IF(
AND(M130&lt;&gt;"",N130="",O130=""),
M130,
IF(
AND(M130="",N130&lt;&gt;"",O130=""),
N130,
IF(
AND(M130="",N130="",O130&lt;&gt;""),
O130,
IF(
AND(M130&lt;&gt;"",N130&lt;&gt;"",O130=""),
M130/(20%+50%)*20% + N130/(20%+50%)*50%,
IF(
AND(M130&lt;&gt;"",N130="",O130&lt;&gt;""),
M130/(20%+30%)*20% + O130/(20%+30%)*30%,
IF(
AND(M130="",N130&lt;&gt;"",O130&lt;&gt;""),
N130/(50%+30%)*50% + O130/(50%+30%)*30%,
""
)
)
)
)
)
) + V130
)</f>
        <v>#DIV/0!</v>
      </c>
      <c r="K130" s="8" t="e">
        <f>IF(J130&gt;=90,"A",
 IF(J130&gt;=80,"B",
 IF(J130&gt;=70,"C",
 IF(J130&gt;=60,"D","E"))))</f>
        <v>#DIV/0!</v>
      </c>
      <c r="L130" s="8" t="e">
        <f t="shared" si="15"/>
        <v>#DIV/0!</v>
      </c>
      <c r="M130" s="8" t="e">
        <f>表格1_3[[#This Row],[部內平均]]</f>
        <v>#DIV/0!</v>
      </c>
      <c r="N130" s="8"/>
      <c r="O130" s="8" t="e">
        <f>表格1_3[[#This Row],[複評平均]]</f>
        <v>#DIV/0!</v>
      </c>
      <c r="P130" s="3"/>
      <c r="Q130" s="3"/>
      <c r="R130" s="3"/>
      <c r="S130" s="3"/>
      <c r="T130" s="3"/>
      <c r="U130" s="3"/>
      <c r="V130" s="3"/>
      <c r="W130" s="38">
        <v>49.4</v>
      </c>
      <c r="X130" s="2">
        <v>128</v>
      </c>
    </row>
    <row r="131" spans="1:24">
      <c r="A131" s="10" t="s">
        <v>407</v>
      </c>
      <c r="B131" s="5" t="s">
        <v>324</v>
      </c>
      <c r="C131" s="12" t="s">
        <v>432</v>
      </c>
      <c r="D131" s="6" t="s">
        <v>277</v>
      </c>
      <c r="E131" s="4" t="s">
        <v>283</v>
      </c>
      <c r="F131" s="4" t="s">
        <v>93</v>
      </c>
      <c r="G131" s="41">
        <f>表格1_14[[#This Row],[加權後總分]]-表格1_14[[#This Row],[獎懲分數]]</f>
        <v>0</v>
      </c>
      <c r="H131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31" s="39" t="e">
        <f t="shared" ref="I131:I146" si="16">_xlfn.RANK.EQ(G131,$G$2:$G$146,0)</f>
        <v>#DIV/0!</v>
      </c>
      <c r="J131" s="36"/>
      <c r="K131" s="8"/>
      <c r="L131" s="8" t="e">
        <f t="shared" ref="L131:L146" si="17">_xlfn.RANK.EQ(J131,$J$2:$J$146,0)</f>
        <v>#DIV/0!</v>
      </c>
      <c r="M131" s="8" t="e">
        <f>表格1_3[[#This Row],[部內平均]]</f>
        <v>#DIV/0!</v>
      </c>
      <c r="N131" s="8"/>
      <c r="O131" s="8" t="e">
        <f>表格1_3[[#This Row],[複評平均]]</f>
        <v>#DIV/0!</v>
      </c>
      <c r="P131" s="3"/>
      <c r="Q131" s="3"/>
      <c r="R131" s="3"/>
      <c r="S131" s="3"/>
      <c r="T131" s="3"/>
      <c r="U131" s="3"/>
      <c r="V131" s="3"/>
      <c r="W131" s="38">
        <v>49</v>
      </c>
      <c r="X131" s="2">
        <v>129</v>
      </c>
    </row>
    <row r="132" spans="1:24">
      <c r="A132" s="10" t="s">
        <v>407</v>
      </c>
      <c r="B132" s="5" t="s">
        <v>325</v>
      </c>
      <c r="C132" s="12" t="s">
        <v>419</v>
      </c>
      <c r="D132" s="6" t="s">
        <v>277</v>
      </c>
      <c r="E132" s="4" t="s">
        <v>283</v>
      </c>
      <c r="F132" s="4" t="s">
        <v>93</v>
      </c>
      <c r="G132" s="41">
        <f>表格1_14[[#This Row],[加權後總分]]-表格1_14[[#This Row],[獎懲分數]]</f>
        <v>0</v>
      </c>
      <c r="H132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32" s="39" t="e">
        <f t="shared" si="16"/>
        <v>#DIV/0!</v>
      </c>
      <c r="J132" s="36"/>
      <c r="K132" s="8"/>
      <c r="L132" s="8" t="e">
        <f t="shared" si="17"/>
        <v>#DIV/0!</v>
      </c>
      <c r="M132" s="8" t="e">
        <f>表格1_3[[#This Row],[部內平均]]</f>
        <v>#DIV/0!</v>
      </c>
      <c r="N132" s="8"/>
      <c r="O132" s="8" t="e">
        <f>表格1_3[[#This Row],[複評平均]]</f>
        <v>#DIV/0!</v>
      </c>
      <c r="P132" s="3"/>
      <c r="Q132" s="3"/>
      <c r="R132" s="3"/>
      <c r="S132" s="3"/>
      <c r="T132" s="3"/>
      <c r="U132" s="3"/>
      <c r="V132" s="3"/>
      <c r="W132" s="38">
        <v>48.400000000000006</v>
      </c>
      <c r="X132" s="2">
        <v>130</v>
      </c>
    </row>
    <row r="133" spans="1:24" ht="26">
      <c r="A133" s="10" t="s">
        <v>407</v>
      </c>
      <c r="B133" s="5" t="s">
        <v>326</v>
      </c>
      <c r="C133" s="12" t="s">
        <v>431</v>
      </c>
      <c r="D133" s="6" t="s">
        <v>277</v>
      </c>
      <c r="E133" s="4" t="s">
        <v>283</v>
      </c>
      <c r="F133" s="4" t="s">
        <v>93</v>
      </c>
      <c r="G133" s="41">
        <f>表格1_14[[#This Row],[加權後總分]]-表格1_14[[#This Row],[獎懲分數]]</f>
        <v>0</v>
      </c>
      <c r="H133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33" s="39" t="e">
        <f t="shared" si="16"/>
        <v>#DIV/0!</v>
      </c>
      <c r="J133" s="36"/>
      <c r="K133" s="8"/>
      <c r="L133" s="8" t="e">
        <f t="shared" si="17"/>
        <v>#DIV/0!</v>
      </c>
      <c r="M133" s="8" t="e">
        <f>表格1_3[[#This Row],[部內平均]]</f>
        <v>#DIV/0!</v>
      </c>
      <c r="N133" s="8"/>
      <c r="O133" s="8" t="e">
        <f>表格1_3[[#This Row],[複評平均]]</f>
        <v>#DIV/0!</v>
      </c>
      <c r="P133" s="3"/>
      <c r="Q133" s="3"/>
      <c r="R133" s="3"/>
      <c r="S133" s="3"/>
      <c r="T133" s="3"/>
      <c r="U133" s="3"/>
      <c r="V133" s="3"/>
      <c r="W133" s="38">
        <v>48</v>
      </c>
      <c r="X133" s="2">
        <v>131</v>
      </c>
    </row>
    <row r="134" spans="1:24">
      <c r="A134" s="10" t="s">
        <v>407</v>
      </c>
      <c r="B134" s="5" t="s">
        <v>248</v>
      </c>
      <c r="C134" s="4" t="s">
        <v>115</v>
      </c>
      <c r="D134" s="6" t="s">
        <v>277</v>
      </c>
      <c r="E134" s="4" t="s">
        <v>283</v>
      </c>
      <c r="F134" s="4" t="s">
        <v>74</v>
      </c>
      <c r="G134" s="41" t="e">
        <f>表格1_14[[#This Row],[加權後總分]]-表格1_14[[#This Row],[獎懲分數]]</f>
        <v>#DIV/0!</v>
      </c>
      <c r="H13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34" s="39" t="e">
        <f t="shared" si="16"/>
        <v>#DIV/0!</v>
      </c>
      <c r="J134" s="36" t="e">
        <f t="shared" ref="J134:J135" si="18">IF(
AND(M134&lt;&gt;"",N134&lt;&gt;"",O134&lt;&gt;""),
M134*20% + N134*50% + O134*30%,
IF(
AND(M134&lt;&gt;"",N134="",O134=""),
M134,
IF(
AND(M134="",N134&lt;&gt;"",O134=""),
N134,
IF(
AND(M134="",N134="",O134&lt;&gt;""),
O134,
IF(
AND(M134&lt;&gt;"",N134&lt;&gt;"",O134=""),
M134/(20%+50%)*20% + N134/(20%+50%)*50%,
IF(
AND(M134&lt;&gt;"",N134="",O134&lt;&gt;""),
M134/(20%+30%)*20% + O134/(20%+30%)*30%,
IF(
AND(M134="",N134&lt;&gt;"",O134&lt;&gt;""),
N134/(50%+30%)*50% + O134/(50%+30%)*30%,
""
)
)
)
)
)
) + V134
)</f>
        <v>#DIV/0!</v>
      </c>
      <c r="K134" s="8" t="e">
        <f t="shared" ref="K134:K135" si="19">IF(J134&gt;=90,"A",
 IF(J134&gt;=80,"B",
 IF(J134&gt;=70,"C",
 IF(J134&gt;=60,"D","E"))))</f>
        <v>#DIV/0!</v>
      </c>
      <c r="L134" s="8" t="e">
        <f t="shared" si="17"/>
        <v>#DIV/0!</v>
      </c>
      <c r="M134" s="8" t="e">
        <f>表格1_3[[#This Row],[部內平均]]</f>
        <v>#DIV/0!</v>
      </c>
      <c r="N134" s="8"/>
      <c r="O134" s="8" t="e">
        <f>表格1_3[[#This Row],[複評平均]]</f>
        <v>#DIV/0!</v>
      </c>
      <c r="P134" s="3"/>
      <c r="Q134" s="3"/>
      <c r="R134" s="3"/>
      <c r="S134" s="3"/>
      <c r="T134" s="3"/>
      <c r="U134" s="3"/>
      <c r="V134" s="3"/>
      <c r="W134" s="38">
        <v>47.400000000000006</v>
      </c>
      <c r="X134" s="2">
        <v>132</v>
      </c>
    </row>
    <row r="135" spans="1:24">
      <c r="A135" s="10" t="s">
        <v>407</v>
      </c>
      <c r="B135" s="5" t="s">
        <v>252</v>
      </c>
      <c r="C135" s="4" t="s">
        <v>117</v>
      </c>
      <c r="D135" s="6" t="s">
        <v>277</v>
      </c>
      <c r="E135" s="4" t="s">
        <v>283</v>
      </c>
      <c r="F135" s="4" t="s">
        <v>74</v>
      </c>
      <c r="G135" s="41" t="e">
        <f>表格1_14[[#This Row],[加權後總分]]-表格1_14[[#This Row],[獎懲分數]]</f>
        <v>#DIV/0!</v>
      </c>
      <c r="H13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35" s="39" t="e">
        <f t="shared" si="16"/>
        <v>#DIV/0!</v>
      </c>
      <c r="J135" s="36" t="e">
        <f t="shared" si="18"/>
        <v>#DIV/0!</v>
      </c>
      <c r="K135" s="8" t="e">
        <f t="shared" si="19"/>
        <v>#DIV/0!</v>
      </c>
      <c r="L135" s="8" t="e">
        <f t="shared" si="17"/>
        <v>#DIV/0!</v>
      </c>
      <c r="M135" s="8" t="e">
        <f>表格1_3[[#This Row],[部內平均]]</f>
        <v>#DIV/0!</v>
      </c>
      <c r="N135" s="8"/>
      <c r="O135" s="8" t="e">
        <f>表格1_3[[#This Row],[複評平均]]</f>
        <v>#DIV/0!</v>
      </c>
      <c r="P135" s="3"/>
      <c r="Q135" s="3"/>
      <c r="R135" s="3"/>
      <c r="S135" s="3"/>
      <c r="T135" s="3"/>
      <c r="U135" s="3"/>
      <c r="V135" s="3"/>
      <c r="W135" s="38">
        <v>46</v>
      </c>
      <c r="X135" s="2">
        <v>133</v>
      </c>
    </row>
    <row r="136" spans="1:24">
      <c r="A136" s="10" t="s">
        <v>408</v>
      </c>
      <c r="B136" s="5" t="s">
        <v>253</v>
      </c>
      <c r="C136" s="4" t="s">
        <v>118</v>
      </c>
      <c r="D136" s="6" t="s">
        <v>278</v>
      </c>
      <c r="E136" s="4" t="s">
        <v>298</v>
      </c>
      <c r="F136" s="4" t="s">
        <v>118</v>
      </c>
      <c r="G136" s="41"/>
      <c r="H136" s="39"/>
      <c r="I136" s="39"/>
      <c r="J136" s="36"/>
      <c r="K136" s="8"/>
      <c r="L136" s="8"/>
      <c r="M136" s="8" t="e">
        <f>表格1_3[[#This Row],[部內平均]]</f>
        <v>#DIV/0!</v>
      </c>
      <c r="N136" s="8" t="e">
        <f>表格1_3[[#This Row],[共評平均]]</f>
        <v>#DIV/0!</v>
      </c>
      <c r="O136" s="8" t="e">
        <f>表格1_3[[#This Row],[複評平均]]</f>
        <v>#DIV/0!</v>
      </c>
      <c r="P136" s="3"/>
      <c r="Q136" s="3"/>
      <c r="R136" s="3"/>
      <c r="S136" s="3"/>
      <c r="T136" s="3"/>
      <c r="U136" s="3"/>
      <c r="V136" s="3"/>
      <c r="W136" s="38">
        <v>45.8</v>
      </c>
      <c r="X136" s="2">
        <v>134</v>
      </c>
    </row>
    <row r="137" spans="1:24">
      <c r="A137" s="10" t="s">
        <v>384</v>
      </c>
      <c r="B137" s="5" t="s">
        <v>255</v>
      </c>
      <c r="C137" s="4" t="s">
        <v>120</v>
      </c>
      <c r="D137" s="6" t="s">
        <v>279</v>
      </c>
      <c r="E137" s="4" t="s">
        <v>300</v>
      </c>
      <c r="F137" s="4" t="s">
        <v>118</v>
      </c>
      <c r="G137" s="41"/>
      <c r="H137" s="39"/>
      <c r="I137" s="39"/>
      <c r="J137" s="36"/>
      <c r="K137" s="8"/>
      <c r="L137" s="8"/>
      <c r="M137" s="8" t="e">
        <f>表格1_3[[#This Row],[部內平均]]</f>
        <v>#DIV/0!</v>
      </c>
      <c r="N137" s="8" t="e">
        <f>表格1_3[[#This Row],[共評平均]]</f>
        <v>#DIV/0!</v>
      </c>
      <c r="O137" s="8" t="e">
        <f>表格1_3[[#This Row],[複評平均]]</f>
        <v>#DIV/0!</v>
      </c>
      <c r="P137" s="3"/>
      <c r="Q137" s="3"/>
      <c r="R137" s="3"/>
      <c r="S137" s="3"/>
      <c r="T137" s="3"/>
      <c r="U137" s="3"/>
      <c r="V137" s="3"/>
      <c r="W137" s="38">
        <v>45.8</v>
      </c>
      <c r="X137" s="2">
        <v>135</v>
      </c>
    </row>
    <row r="138" spans="1:24">
      <c r="A138" s="10" t="s">
        <v>383</v>
      </c>
      <c r="B138" s="5" t="s">
        <v>254</v>
      </c>
      <c r="C138" s="4" t="s">
        <v>119</v>
      </c>
      <c r="D138" s="6" t="s">
        <v>279</v>
      </c>
      <c r="E138" s="4" t="s">
        <v>299</v>
      </c>
      <c r="F138" s="7"/>
      <c r="G138" s="41"/>
      <c r="H138" s="39"/>
      <c r="I138" s="39"/>
      <c r="J138" s="36"/>
      <c r="K138" s="23"/>
      <c r="L138" s="8"/>
      <c r="M138" s="8" t="e">
        <f>表格1_3[[#This Row],[部內平均]]</f>
        <v>#DIV/0!</v>
      </c>
      <c r="N138" s="8" t="e">
        <f>表格1_3[[#This Row],[共評平均]]</f>
        <v>#DIV/0!</v>
      </c>
      <c r="O138" s="8" t="e">
        <f>表格1_3[[#This Row],[複評平均]]</f>
        <v>#DIV/0!</v>
      </c>
      <c r="P138" s="3"/>
      <c r="Q138" s="3"/>
      <c r="R138" s="3"/>
      <c r="S138" s="3"/>
      <c r="T138" s="3"/>
      <c r="U138" s="3"/>
      <c r="V138" s="3"/>
    </row>
    <row r="139" spans="1:24">
      <c r="A139" s="10" t="s">
        <v>391</v>
      </c>
      <c r="B139" s="5" t="s">
        <v>256</v>
      </c>
      <c r="C139" s="4" t="s">
        <v>121</v>
      </c>
      <c r="D139" s="6" t="s">
        <v>279</v>
      </c>
      <c r="E139" s="4" t="s">
        <v>301</v>
      </c>
      <c r="F139" s="4" t="s">
        <v>120</v>
      </c>
      <c r="G139" s="41"/>
      <c r="H139" s="39"/>
      <c r="I139" s="39"/>
      <c r="J139" s="36"/>
      <c r="K139" s="23"/>
      <c r="L139" s="8"/>
      <c r="M139" s="8" t="e">
        <f>表格1_3[[#This Row],[部內平均]]</f>
        <v>#DIV/0!</v>
      </c>
      <c r="N139" s="8" t="e">
        <f>表格1_3[[#This Row],[共評平均]]</f>
        <v>#DIV/0!</v>
      </c>
      <c r="O139" s="8" t="e">
        <f>表格1_3[[#This Row],[複評平均]]</f>
        <v>#DIV/0!</v>
      </c>
      <c r="P139" s="3"/>
      <c r="Q139" s="3"/>
      <c r="R139" s="3"/>
      <c r="S139" s="3"/>
      <c r="T139" s="3"/>
      <c r="U139" s="3"/>
      <c r="V139" s="3"/>
    </row>
    <row r="140" spans="1:24">
      <c r="A140" s="10" t="s">
        <v>383</v>
      </c>
      <c r="B140" s="5" t="s">
        <v>257</v>
      </c>
      <c r="C140" s="4" t="s">
        <v>122</v>
      </c>
      <c r="D140" s="6" t="s">
        <v>279</v>
      </c>
      <c r="E140" s="4" t="s">
        <v>301</v>
      </c>
      <c r="F140" s="4" t="s">
        <v>120</v>
      </c>
      <c r="G140" s="41" t="e">
        <f>表格1_14[[#This Row],[加權後總分]]-表格1_14[[#This Row],[獎懲分數]]</f>
        <v>#DIV/0!</v>
      </c>
      <c r="H140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40" s="39" t="e">
        <f t="shared" si="16"/>
        <v>#DIV/0!</v>
      </c>
      <c r="J140" s="36" t="e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>#DIV/0!</v>
      </c>
      <c r="K140" s="23" t="e">
        <f>IF(J140&gt;=90,"A",
 IF(J140&gt;=80,"B",
 IF(J140&gt;=70,"C",
 IF(J140&gt;=60,"D","E"))))</f>
        <v>#DIV/0!</v>
      </c>
      <c r="L140" s="8" t="e">
        <f t="shared" si="17"/>
        <v>#DIV/0!</v>
      </c>
      <c r="M140" s="8" t="e">
        <f>表格1_3[[#This Row],[部內平均]]</f>
        <v>#DIV/0!</v>
      </c>
      <c r="N140" s="8" t="e">
        <f>表格1_3[[#This Row],[共評平均]]</f>
        <v>#DIV/0!</v>
      </c>
      <c r="O140" s="8"/>
      <c r="P140" s="3"/>
      <c r="Q140" s="3"/>
      <c r="R140" s="3">
        <v>1</v>
      </c>
      <c r="S140" s="3"/>
      <c r="T140" s="3"/>
      <c r="U140" s="3"/>
      <c r="V140" s="3">
        <v>27</v>
      </c>
    </row>
    <row r="141" spans="1:24">
      <c r="A141" s="10" t="s">
        <v>383</v>
      </c>
      <c r="B141" s="5" t="s">
        <v>259</v>
      </c>
      <c r="C141" s="13" t="s">
        <v>124</v>
      </c>
      <c r="D141" s="6" t="s">
        <v>280</v>
      </c>
      <c r="E141" s="4" t="s">
        <v>281</v>
      </c>
      <c r="F141" s="4" t="s">
        <v>126</v>
      </c>
      <c r="G141" s="41" t="e">
        <f>表格1_14[[#This Row],[加權後總分]]-表格1_14[[#This Row],[獎懲分數]]</f>
        <v>#DIV/0!</v>
      </c>
      <c r="H141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41" s="39" t="e">
        <f t="shared" si="16"/>
        <v>#DIV/0!</v>
      </c>
      <c r="J141" s="36" t="e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>#DIV/0!</v>
      </c>
      <c r="K141" s="23" t="e">
        <f>IF(J141&gt;=90,"A",
 IF(J141&gt;=80,"B",
 IF(J141&gt;=70,"C",
 IF(J141&gt;=60,"D","E"))))</f>
        <v>#DIV/0!</v>
      </c>
      <c r="L141" s="8" t="e">
        <f t="shared" si="17"/>
        <v>#DIV/0!</v>
      </c>
      <c r="M141" s="8" t="e">
        <f>表格1_3[[#This Row],[部內平均]]</f>
        <v>#DIV/0!</v>
      </c>
      <c r="N141" s="8" t="e">
        <f>表格1_3[[#This Row],[共評平均]]</f>
        <v>#DIV/0!</v>
      </c>
      <c r="O141" s="8" t="e">
        <f>表格1_3[[#This Row],[複評平均]]</f>
        <v>#DIV/0!</v>
      </c>
      <c r="P141" s="3"/>
      <c r="Q141" s="3"/>
      <c r="R141" s="3"/>
      <c r="S141" s="3"/>
      <c r="T141" s="3"/>
      <c r="U141" s="3"/>
      <c r="V141" s="3"/>
    </row>
    <row r="142" spans="1:24">
      <c r="A142" s="10" t="s">
        <v>336</v>
      </c>
      <c r="B142" s="5" t="s">
        <v>260</v>
      </c>
      <c r="C142" s="4" t="s">
        <v>125</v>
      </c>
      <c r="D142" s="6" t="s">
        <v>280</v>
      </c>
      <c r="E142" s="4" t="s">
        <v>288</v>
      </c>
      <c r="F142" s="4" t="s">
        <v>120</v>
      </c>
      <c r="G142" s="41"/>
      <c r="H142" s="39" t="str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E</v>
      </c>
      <c r="I142" s="39" t="e">
        <f t="shared" si="16"/>
        <v>#DIV/0!</v>
      </c>
      <c r="J142" s="36"/>
      <c r="K142" s="23"/>
      <c r="L142" s="8"/>
      <c r="M142" s="8" t="e">
        <f>表格1_3[[#This Row],[部內平均]]</f>
        <v>#DIV/0!</v>
      </c>
      <c r="N142" s="8" t="e">
        <f>表格1_3[[#This Row],[共評平均]]</f>
        <v>#DIV/0!</v>
      </c>
      <c r="O142" s="8" t="e">
        <f>表格1_3[[#This Row],[複評平均]]</f>
        <v>#DIV/0!</v>
      </c>
      <c r="P142" s="3"/>
      <c r="Q142" s="3"/>
      <c r="R142" s="3"/>
      <c r="S142" s="3"/>
      <c r="T142" s="3"/>
      <c r="U142" s="3"/>
      <c r="V142" s="3"/>
    </row>
    <row r="143" spans="1:24">
      <c r="B143" s="5" t="s">
        <v>258</v>
      </c>
      <c r="C143" s="4" t="s">
        <v>123</v>
      </c>
      <c r="D143" s="6" t="s">
        <v>280</v>
      </c>
      <c r="E143" s="4" t="s">
        <v>302</v>
      </c>
      <c r="F143" s="4" t="s">
        <v>332</v>
      </c>
      <c r="G143" s="41" t="e">
        <f>表格1_14[[#This Row],[加權後總分]]-表格1_14[[#This Row],[獎懲分數]]</f>
        <v>#DIV/0!</v>
      </c>
      <c r="H143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43" s="39" t="e">
        <f t="shared" si="16"/>
        <v>#DIV/0!</v>
      </c>
      <c r="J143" s="36" t="e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>#DIV/0!</v>
      </c>
      <c r="K143" s="23" t="e">
        <f>IF(J143&gt;=90,"A",
 IF(J143&gt;=80,"B",
 IF(J143&gt;=70,"C",
 IF(J143&gt;=60,"D","E"))))</f>
        <v>#DIV/0!</v>
      </c>
      <c r="L143" s="8" t="e">
        <f t="shared" si="17"/>
        <v>#DIV/0!</v>
      </c>
      <c r="M143" s="8" t="e">
        <f>表格1_3[[#This Row],[部內平均]]</f>
        <v>#DIV/0!</v>
      </c>
      <c r="N143" s="8"/>
      <c r="O143" s="8"/>
      <c r="P143" s="3"/>
      <c r="Q143" s="3"/>
      <c r="R143" s="3"/>
      <c r="S143" s="3"/>
      <c r="T143" s="3"/>
      <c r="U143" s="3"/>
      <c r="V143" s="3"/>
    </row>
    <row r="144" spans="1:24">
      <c r="A144" s="10" t="s">
        <v>383</v>
      </c>
      <c r="B144" s="5" t="s">
        <v>261</v>
      </c>
      <c r="C144" s="4" t="s">
        <v>126</v>
      </c>
      <c r="D144" s="6" t="s">
        <v>280</v>
      </c>
      <c r="E144" s="4" t="s">
        <v>281</v>
      </c>
      <c r="F144" s="4" t="s">
        <v>51</v>
      </c>
      <c r="G144" s="41" t="e">
        <f>表格1_14[[#This Row],[加權後總分]]-表格1_14[[#This Row],[獎懲分數]]</f>
        <v>#DIV/0!</v>
      </c>
      <c r="H144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44" s="39" t="e">
        <f t="shared" si="16"/>
        <v>#DIV/0!</v>
      </c>
      <c r="J144" s="36" t="e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>#DIV/0!</v>
      </c>
      <c r="K144" s="23" t="e">
        <f>IF(J144&gt;=90,"A",
 IF(J144&gt;=80,"B",
 IF(J144&gt;=70,"C",
 IF(J144&gt;=60,"D","E"))))</f>
        <v>#DIV/0!</v>
      </c>
      <c r="L144" s="8" t="e">
        <f t="shared" si="17"/>
        <v>#DIV/0!</v>
      </c>
      <c r="M144" s="8" t="e">
        <f>表格1_3[[#This Row],[部內平均]]</f>
        <v>#DIV/0!</v>
      </c>
      <c r="N144" s="8" t="e">
        <f>表格1_3[[#This Row],[共評平均]]</f>
        <v>#DIV/0!</v>
      </c>
      <c r="O144" s="8"/>
      <c r="P144" s="3"/>
      <c r="Q144" s="3"/>
      <c r="R144" s="3"/>
      <c r="S144" s="3"/>
      <c r="T144" s="3"/>
      <c r="U144" s="3"/>
      <c r="V144" s="3"/>
    </row>
    <row r="145" spans="1:22">
      <c r="A145" s="10" t="s">
        <v>383</v>
      </c>
      <c r="B145" s="5" t="s">
        <v>262</v>
      </c>
      <c r="C145" s="13" t="s">
        <v>127</v>
      </c>
      <c r="D145" s="6" t="s">
        <v>280</v>
      </c>
      <c r="E145" s="4" t="s">
        <v>293</v>
      </c>
      <c r="F145" s="4" t="s">
        <v>119</v>
      </c>
      <c r="G145" s="41" t="e">
        <f>表格1_14[[#This Row],[加權後總分]]-表格1_14[[#This Row],[獎懲分數]]</f>
        <v>#DIV/0!</v>
      </c>
      <c r="H145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45" s="39" t="e">
        <f t="shared" si="16"/>
        <v>#DIV/0!</v>
      </c>
      <c r="J145" s="36" t="e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>#DIV/0!</v>
      </c>
      <c r="K145" s="23" t="e">
        <f>IF(J145&gt;=90,"A",
 IF(J145&gt;=80,"B",
 IF(J145&gt;=70,"C",
 IF(J145&gt;=60,"D","E"))))</f>
        <v>#DIV/0!</v>
      </c>
      <c r="L145" s="8" t="e">
        <f t="shared" si="17"/>
        <v>#DIV/0!</v>
      </c>
      <c r="M145" s="8" t="e">
        <f>表格1_3[[#This Row],[部內平均]]</f>
        <v>#DIV/0!</v>
      </c>
      <c r="N145" s="8" t="e">
        <f>表格1_3[[#This Row],[共評平均]]</f>
        <v>#DIV/0!</v>
      </c>
      <c r="O145" s="8" t="e">
        <f>表格1_3[[#This Row],[複評平均]]</f>
        <v>#DIV/0!</v>
      </c>
      <c r="P145" s="3"/>
      <c r="Q145" s="3"/>
      <c r="R145" s="3"/>
      <c r="S145" s="3"/>
      <c r="T145" s="3"/>
      <c r="U145" s="3"/>
      <c r="V145" s="3"/>
    </row>
    <row r="146" spans="1:22" ht="26">
      <c r="A146" s="10" t="s">
        <v>380</v>
      </c>
      <c r="B146" s="5" t="s">
        <v>263</v>
      </c>
      <c r="C146" s="4" t="s">
        <v>128</v>
      </c>
      <c r="D146" s="6" t="s">
        <v>280</v>
      </c>
      <c r="E146" s="4" t="s">
        <v>303</v>
      </c>
      <c r="F146" s="4" t="s">
        <v>93</v>
      </c>
      <c r="G146" s="41" t="e">
        <f>表格1_14[[#This Row],[加權後總分]]-表格1_14[[#This Row],[獎懲分數]]</f>
        <v>#DIV/0!</v>
      </c>
      <c r="H146" s="39" t="e">
        <f>IF(表格1_14[[#This Row],[不包含獎懲總分]]&gt;=90,"A",
 IF(表格1_14[[#This Row],[不包含獎懲總分]]&gt;=80,"B",
 IF(表格1_14[[#This Row],[不包含獎懲總分]]&gt;=70,"C",
 IF(表格1_14[[#This Row],[不包含獎懲總分]]&gt;=60,"D","E"))))</f>
        <v>#DIV/0!</v>
      </c>
      <c r="I146" s="39" t="e">
        <f t="shared" si="16"/>
        <v>#DIV/0!</v>
      </c>
      <c r="J146" s="36" t="e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>#DIV/0!</v>
      </c>
      <c r="K146" s="23" t="e">
        <f>IF(J146&gt;=90,"A",
 IF(J146&gt;=80,"B",
 IF(J146&gt;=70,"C",
 IF(J146&gt;=60,"D","E"))))</f>
        <v>#DIV/0!</v>
      </c>
      <c r="L146" s="8" t="e">
        <f t="shared" si="17"/>
        <v>#DIV/0!</v>
      </c>
      <c r="M146" s="8" t="e">
        <f>表格1_3[[#This Row],[部內平均]]</f>
        <v>#DIV/0!</v>
      </c>
      <c r="N146" s="8" t="e">
        <f>表格1_3[[#This Row],[共評平均]]</f>
        <v>#DIV/0!</v>
      </c>
      <c r="O146" s="8">
        <v>67.8</v>
      </c>
      <c r="P146" s="3">
        <v>1</v>
      </c>
      <c r="Q146" s="3"/>
      <c r="R146" s="3"/>
      <c r="S146" s="3"/>
      <c r="T146" s="3"/>
      <c r="U146" s="3"/>
      <c r="V146" s="3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6"/>
  <sheetViews>
    <sheetView showGridLines="0" topLeftCell="C1" zoomScale="80" zoomScaleNormal="80" workbookViewId="0">
      <selection activeCell="J1" sqref="E1:J1048576"/>
    </sheetView>
  </sheetViews>
  <sheetFormatPr defaultRowHeight="14"/>
  <cols>
    <col min="1" max="1" width="11" style="10" hidden="1" customWidth="1"/>
    <col min="2" max="2" width="9.1796875" style="2" hidden="1" customWidth="1"/>
    <col min="3" max="4" width="8.7265625" style="2"/>
    <col min="5" max="5" width="12.1796875" style="2" customWidth="1"/>
    <col min="6" max="6" width="10.453125" style="2" hidden="1" customWidth="1"/>
    <col min="7" max="7" width="15.7265625" style="38" hidden="1" customWidth="1"/>
    <col min="8" max="8" width="10.453125" style="43" hidden="1" customWidth="1"/>
    <col min="9" max="9" width="12.54296875" style="43" hidden="1" customWidth="1"/>
    <col min="10" max="10" width="20.90625" style="37" customWidth="1"/>
    <col min="11" max="11" width="14.1796875" style="10" customWidth="1"/>
    <col min="12" max="12" width="15.36328125" style="10" hidden="1" customWidth="1"/>
    <col min="13" max="13" width="17.36328125" style="2" hidden="1" customWidth="1"/>
    <col min="14" max="14" width="13.6328125" style="10" hidden="1" customWidth="1"/>
    <col min="15" max="15" width="27" style="10" hidden="1" customWidth="1"/>
    <col min="16" max="16" width="14" style="10" hidden="1" customWidth="1"/>
    <col min="17" max="22" width="14" style="2" hidden="1" customWidth="1"/>
    <col min="23" max="23" width="12.54296875" style="38" hidden="1" customWidth="1"/>
    <col min="24" max="24" width="0" style="2" hidden="1" customWidth="1"/>
    <col min="25" max="16384" width="8.7265625" style="2"/>
  </cols>
  <sheetData>
    <row r="1" spans="1:24">
      <c r="A1" s="10" t="s">
        <v>333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328</v>
      </c>
      <c r="G1" s="40" t="s">
        <v>489</v>
      </c>
      <c r="H1" s="42" t="s">
        <v>485</v>
      </c>
      <c r="I1" s="42" t="s">
        <v>487</v>
      </c>
      <c r="J1" s="35" t="s">
        <v>304</v>
      </c>
      <c r="K1" s="11" t="s">
        <v>486</v>
      </c>
      <c r="L1" s="11" t="s">
        <v>488</v>
      </c>
      <c r="M1" s="11" t="s">
        <v>307</v>
      </c>
      <c r="N1" s="11" t="s">
        <v>305</v>
      </c>
      <c r="O1" s="11" t="s">
        <v>306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414</v>
      </c>
      <c r="V1" s="1" t="s">
        <v>308</v>
      </c>
      <c r="W1" s="38" t="s">
        <v>484</v>
      </c>
    </row>
    <row r="2" spans="1:24" ht="30" customHeight="1">
      <c r="A2" s="10" t="s">
        <v>384</v>
      </c>
      <c r="B2" s="44" t="s">
        <v>493</v>
      </c>
      <c r="C2" s="4" t="s">
        <v>6</v>
      </c>
      <c r="D2" s="6" t="s">
        <v>264</v>
      </c>
      <c r="E2" s="4" t="s">
        <v>281</v>
      </c>
      <c r="F2" s="4" t="s">
        <v>310</v>
      </c>
      <c r="G2" s="41" t="e">
        <f>表格1_16[[#This Row],[加權後總分]]-表格1_16[[#This Row],[獎懲分數]]</f>
        <v>#DIV/0!</v>
      </c>
      <c r="H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" s="39" t="e">
        <f>_xlfn.RANK.EQ(G2,$G$2:$G$146,0)</f>
        <v>#DIV/0!</v>
      </c>
      <c r="J2" s="36" t="e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>#DIV/0!</v>
      </c>
      <c r="K2" s="8" t="e">
        <f>IF(J2&gt;=90,"A",
 IF(J2&gt;=77,"B",
 IF(J2&gt;=70,"C",
 IF(J2&gt;=60,"D","E"))))</f>
        <v>#DIV/0!</v>
      </c>
      <c r="L2" s="8" t="e">
        <f>_xlfn.RANK.EQ(J2,$J$2:$J$146,0)</f>
        <v>#DIV/0!</v>
      </c>
      <c r="M2" s="8" t="e">
        <f>表格1_3[[#This Row],[部內平均]]</f>
        <v>#DIV/0!</v>
      </c>
      <c r="N2" s="8" t="e">
        <f>表格1_3[[#This Row],[共評平均]]</f>
        <v>#DIV/0!</v>
      </c>
      <c r="O2" s="8" t="e">
        <f>表格1_3[[#This Row],[複評平均]]</f>
        <v>#DIV/0!</v>
      </c>
      <c r="P2" s="3"/>
      <c r="Q2" s="3"/>
      <c r="R2" s="3"/>
      <c r="S2" s="3"/>
      <c r="T2" s="3"/>
      <c r="U2" s="3"/>
      <c r="V2" s="3"/>
      <c r="W2" s="38" t="e">
        <v>#DIV/0!</v>
      </c>
    </row>
    <row r="3" spans="1:24" hidden="1">
      <c r="A3" s="10" t="s">
        <v>383</v>
      </c>
      <c r="B3" s="5" t="s">
        <v>130</v>
      </c>
      <c r="C3" s="4" t="s">
        <v>309</v>
      </c>
      <c r="D3" s="6" t="s">
        <v>264</v>
      </c>
      <c r="E3" s="4" t="s">
        <v>282</v>
      </c>
      <c r="F3" s="4" t="s">
        <v>310</v>
      </c>
      <c r="G3" s="41" t="e">
        <f>表格1_16[[#This Row],[加權後總分]]-表格1_16[[#This Row],[獎懲分數]]</f>
        <v>#DIV/0!</v>
      </c>
      <c r="H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" s="39" t="e">
        <f t="shared" ref="I3:I66" si="0">_xlfn.RANK.EQ(G3,$G$2:$G$146,0)</f>
        <v>#DIV/0!</v>
      </c>
      <c r="J3" s="36" t="e">
        <f t="shared" ref="J3:J47" si="1"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>#DIV/0!</v>
      </c>
      <c r="K3" s="8" t="e">
        <f t="shared" ref="K3:K18" si="2">IF(J3&gt;=90,"A",
 IF(J3&gt;=77,"B",
 IF(J3&gt;=70,"C",
 IF(J3&gt;=60,"D","E"))))</f>
        <v>#DIV/0!</v>
      </c>
      <c r="L3" s="8" t="e">
        <f t="shared" ref="L3:L66" si="3">_xlfn.RANK.EQ(J3,$J$2:$J$146,0)</f>
        <v>#DIV/0!</v>
      </c>
      <c r="M3" s="8" t="e">
        <f>表格1_3[[#This Row],[部內平均]]</f>
        <v>#DIV/0!</v>
      </c>
      <c r="N3" s="8" t="e">
        <f>表格1_3[[#This Row],[共評平均]]</f>
        <v>#DIV/0!</v>
      </c>
      <c r="O3" s="8" t="e">
        <f>表格1_3[[#This Row],[複評平均]]</f>
        <v>#DIV/0!</v>
      </c>
      <c r="P3" s="3"/>
      <c r="Q3" s="3"/>
      <c r="R3" s="3"/>
      <c r="S3" s="3"/>
      <c r="T3" s="3"/>
      <c r="U3" s="3"/>
      <c r="V3" s="3"/>
      <c r="W3" s="38">
        <v>109.61904761904762</v>
      </c>
      <c r="X3" s="2">
        <v>1</v>
      </c>
    </row>
    <row r="4" spans="1:24" hidden="1">
      <c r="A4" s="10" t="s">
        <v>382</v>
      </c>
      <c r="B4" s="5" t="s">
        <v>131</v>
      </c>
      <c r="C4" s="4" t="s">
        <v>310</v>
      </c>
      <c r="D4" s="6" t="s">
        <v>264</v>
      </c>
      <c r="E4" s="4" t="s">
        <v>5</v>
      </c>
      <c r="F4" s="4" t="s">
        <v>119</v>
      </c>
      <c r="G4" s="41" t="e">
        <f>表格1_16[[#This Row],[加權後總分]]-表格1_16[[#This Row],[獎懲分數]]</f>
        <v>#DIV/0!</v>
      </c>
      <c r="H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" s="39" t="e">
        <f t="shared" si="0"/>
        <v>#DIV/0!</v>
      </c>
      <c r="J4" s="36" t="e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
)</f>
        <v>#DIV/0!</v>
      </c>
      <c r="K4" s="8" t="e">
        <f t="shared" si="2"/>
        <v>#DIV/0!</v>
      </c>
      <c r="L4" s="8" t="e">
        <f t="shared" si="3"/>
        <v>#DIV/0!</v>
      </c>
      <c r="M4" s="8" t="e">
        <f>表格1_3[[#This Row],[部內平均]]</f>
        <v>#DIV/0!</v>
      </c>
      <c r="N4" s="8" t="e">
        <f>表格1_3[[#This Row],[共評平均]]</f>
        <v>#DIV/0!</v>
      </c>
      <c r="O4" s="8"/>
      <c r="P4" s="3"/>
      <c r="Q4" s="3"/>
      <c r="R4" s="3"/>
      <c r="S4" s="3"/>
      <c r="T4" s="3"/>
      <c r="U4" s="3"/>
      <c r="V4" s="3"/>
      <c r="W4" s="38">
        <v>87.6</v>
      </c>
      <c r="X4" s="2">
        <v>2</v>
      </c>
    </row>
    <row r="5" spans="1:24" hidden="1">
      <c r="A5" s="10" t="s">
        <v>335</v>
      </c>
      <c r="B5" s="5" t="s">
        <v>133</v>
      </c>
      <c r="C5" s="4" t="s">
        <v>7</v>
      </c>
      <c r="D5" s="6" t="s">
        <v>265</v>
      </c>
      <c r="E5" s="4" t="s">
        <v>284</v>
      </c>
      <c r="F5" s="4" t="s">
        <v>313</v>
      </c>
      <c r="G5" s="41" t="e">
        <f>表格1_16[[#This Row],[加權後總分]]-表格1_16[[#This Row],[獎懲分數]]</f>
        <v>#DIV/0!</v>
      </c>
      <c r="H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" s="39" t="e">
        <f t="shared" si="0"/>
        <v>#DIV/0!</v>
      </c>
      <c r="J5" s="36" t="e">
        <f t="shared" si="1"/>
        <v>#DIV/0!</v>
      </c>
      <c r="K5" s="8" t="e">
        <f t="shared" si="2"/>
        <v>#DIV/0!</v>
      </c>
      <c r="L5" s="8" t="e">
        <f t="shared" si="3"/>
        <v>#DIV/0!</v>
      </c>
      <c r="M5" s="8" t="e">
        <f>表格1_3[[#This Row],[部內平均]]</f>
        <v>#DIV/0!</v>
      </c>
      <c r="N5" s="8"/>
      <c r="O5" s="8" t="e">
        <f>表格1_3[[#This Row],[複評平均]]</f>
        <v>#DIV/0!</v>
      </c>
      <c r="P5" s="3"/>
      <c r="Q5" s="3"/>
      <c r="R5" s="3"/>
      <c r="S5" s="3"/>
      <c r="T5" s="3"/>
      <c r="U5" s="3"/>
      <c r="V5" s="3"/>
      <c r="W5" s="38">
        <v>87.2</v>
      </c>
      <c r="X5" s="2">
        <v>3</v>
      </c>
    </row>
    <row r="6" spans="1:24" hidden="1">
      <c r="A6" s="10" t="s">
        <v>396</v>
      </c>
      <c r="B6" s="5" t="s">
        <v>311</v>
      </c>
      <c r="C6" s="14" t="s">
        <v>434</v>
      </c>
      <c r="D6" s="6" t="s">
        <v>265</v>
      </c>
      <c r="E6" s="4" t="s">
        <v>283</v>
      </c>
      <c r="F6" s="4" t="s">
        <v>313</v>
      </c>
      <c r="G6" s="41" t="e">
        <f>表格1_16[[#This Row],[加權後總分]]-表格1_16[[#This Row],[獎懲分數]]</f>
        <v>#DIV/0!</v>
      </c>
      <c r="H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" s="39" t="e">
        <f t="shared" si="0"/>
        <v>#DIV/0!</v>
      </c>
      <c r="J6" s="36" t="e">
        <f t="shared" si="1"/>
        <v>#DIV/0!</v>
      </c>
      <c r="K6" s="8" t="e">
        <f t="shared" si="2"/>
        <v>#DIV/0!</v>
      </c>
      <c r="L6" s="8" t="e">
        <f t="shared" si="3"/>
        <v>#DIV/0!</v>
      </c>
      <c r="M6" s="8" t="e">
        <f>表格1_3[[#This Row],[部內平均]]</f>
        <v>#DIV/0!</v>
      </c>
      <c r="N6" s="8"/>
      <c r="O6" s="8" t="e">
        <f>表格1_3[[#This Row],[複評平均]]</f>
        <v>#DIV/0!</v>
      </c>
      <c r="P6" s="3"/>
      <c r="Q6" s="3"/>
      <c r="R6" s="3"/>
      <c r="S6" s="3"/>
      <c r="T6" s="3"/>
      <c r="U6" s="3"/>
      <c r="V6" s="3"/>
      <c r="W6" s="38">
        <v>86</v>
      </c>
      <c r="X6" s="2">
        <v>4</v>
      </c>
    </row>
    <row r="7" spans="1:24" hidden="1">
      <c r="A7" s="10" t="s">
        <v>396</v>
      </c>
      <c r="B7" s="5" t="s">
        <v>136</v>
      </c>
      <c r="C7" s="13" t="s">
        <v>10</v>
      </c>
      <c r="D7" s="6" t="s">
        <v>265</v>
      </c>
      <c r="E7" s="4" t="s">
        <v>283</v>
      </c>
      <c r="F7" s="4" t="s">
        <v>313</v>
      </c>
      <c r="G7" s="41" t="e">
        <f>表格1_16[[#This Row],[加權後總分]]-表格1_16[[#This Row],[獎懲分數]]</f>
        <v>#DIV/0!</v>
      </c>
      <c r="H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7" s="39" t="e">
        <f t="shared" si="0"/>
        <v>#DIV/0!</v>
      </c>
      <c r="J7" s="36" t="e">
        <f t="shared" si="1"/>
        <v>#DIV/0!</v>
      </c>
      <c r="K7" s="8" t="e">
        <f t="shared" si="2"/>
        <v>#DIV/0!</v>
      </c>
      <c r="L7" s="8" t="e">
        <f t="shared" si="3"/>
        <v>#DIV/0!</v>
      </c>
      <c r="M7" s="8" t="e">
        <f>表格1_3[[#This Row],[部內平均]]</f>
        <v>#DIV/0!</v>
      </c>
      <c r="N7" s="8"/>
      <c r="O7" s="8" t="e">
        <f>表格1_3[[#This Row],[複評平均]]</f>
        <v>#DIV/0!</v>
      </c>
      <c r="P7" s="3"/>
      <c r="Q7" s="3"/>
      <c r="R7" s="3"/>
      <c r="S7" s="3"/>
      <c r="T7" s="3"/>
      <c r="U7" s="3"/>
      <c r="V7" s="3"/>
      <c r="W7" s="38">
        <v>85.8</v>
      </c>
      <c r="X7" s="2">
        <v>5</v>
      </c>
    </row>
    <row r="8" spans="1:24" hidden="1">
      <c r="A8" s="10" t="s">
        <v>396</v>
      </c>
      <c r="B8" s="5" t="s">
        <v>137</v>
      </c>
      <c r="C8" s="13" t="s">
        <v>11</v>
      </c>
      <c r="D8" s="6" t="s">
        <v>265</v>
      </c>
      <c r="E8" s="4" t="s">
        <v>283</v>
      </c>
      <c r="F8" s="4" t="s">
        <v>313</v>
      </c>
      <c r="G8" s="41" t="e">
        <f>表格1_16[[#This Row],[加權後總分]]-表格1_16[[#This Row],[獎懲分數]]</f>
        <v>#DIV/0!</v>
      </c>
      <c r="H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" s="39" t="e">
        <f t="shared" si="0"/>
        <v>#DIV/0!</v>
      </c>
      <c r="J8" s="36" t="e">
        <f t="shared" si="1"/>
        <v>#DIV/0!</v>
      </c>
      <c r="K8" s="8" t="e">
        <f t="shared" si="2"/>
        <v>#DIV/0!</v>
      </c>
      <c r="L8" s="8" t="e">
        <f t="shared" si="3"/>
        <v>#DIV/0!</v>
      </c>
      <c r="M8" s="8" t="e">
        <f>表格1_3[[#This Row],[部內平均]]</f>
        <v>#DIV/0!</v>
      </c>
      <c r="N8" s="8"/>
      <c r="O8" s="8" t="e">
        <f>表格1_3[[#This Row],[複評平均]]</f>
        <v>#DIV/0!</v>
      </c>
      <c r="P8" s="3"/>
      <c r="Q8" s="3"/>
      <c r="R8" s="3"/>
      <c r="S8" s="3"/>
      <c r="T8" s="3"/>
      <c r="U8" s="3"/>
      <c r="V8" s="3"/>
      <c r="W8" s="38">
        <v>84.86666666666666</v>
      </c>
      <c r="X8" s="2">
        <v>6</v>
      </c>
    </row>
    <row r="9" spans="1:24">
      <c r="A9" s="10" t="s">
        <v>396</v>
      </c>
      <c r="B9" s="5" t="s">
        <v>138</v>
      </c>
      <c r="C9" s="4" t="s">
        <v>12</v>
      </c>
      <c r="D9" s="6" t="s">
        <v>265</v>
      </c>
      <c r="E9" s="4" t="s">
        <v>283</v>
      </c>
      <c r="F9" s="4" t="s">
        <v>93</v>
      </c>
      <c r="G9" s="41" t="e">
        <f>表格1_16[[#This Row],[加權後總分]]-表格1_16[[#This Row],[獎懲分數]]</f>
        <v>#DIV/0!</v>
      </c>
      <c r="H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" s="39" t="e">
        <f t="shared" si="0"/>
        <v>#DIV/0!</v>
      </c>
      <c r="J9" s="36" t="e">
        <f t="shared" si="1"/>
        <v>#DIV/0!</v>
      </c>
      <c r="K9" s="8" t="e">
        <f t="shared" si="2"/>
        <v>#DIV/0!</v>
      </c>
      <c r="L9" s="8" t="e">
        <f t="shared" si="3"/>
        <v>#DIV/0!</v>
      </c>
      <c r="M9" s="8" t="e">
        <f>表格1_3[[#This Row],[部內平均]]</f>
        <v>#DIV/0!</v>
      </c>
      <c r="N9" s="8"/>
      <c r="O9" s="8" t="e">
        <f>表格1_3[[#This Row],[複評平均]]</f>
        <v>#DIV/0!</v>
      </c>
      <c r="P9" s="3"/>
      <c r="Q9" s="3"/>
      <c r="R9" s="3"/>
      <c r="S9" s="3"/>
      <c r="T9" s="3"/>
      <c r="U9" s="3"/>
      <c r="V9" s="3"/>
      <c r="W9" s="38">
        <v>84.8</v>
      </c>
      <c r="X9" s="2">
        <v>7</v>
      </c>
    </row>
    <row r="10" spans="1:24">
      <c r="A10" s="10" t="s">
        <v>396</v>
      </c>
      <c r="B10" s="5" t="s">
        <v>139</v>
      </c>
      <c r="C10" s="4" t="s">
        <v>13</v>
      </c>
      <c r="D10" s="6" t="s">
        <v>265</v>
      </c>
      <c r="E10" s="4" t="s">
        <v>283</v>
      </c>
      <c r="F10" s="4" t="s">
        <v>93</v>
      </c>
      <c r="G10" s="41" t="e">
        <f>表格1_16[[#This Row],[加權後總分]]-表格1_16[[#This Row],[獎懲分數]]</f>
        <v>#DIV/0!</v>
      </c>
      <c r="H1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" s="39" t="e">
        <f t="shared" si="0"/>
        <v>#DIV/0!</v>
      </c>
      <c r="J10" s="36" t="e">
        <f t="shared" si="1"/>
        <v>#DIV/0!</v>
      </c>
      <c r="K10" s="8" t="e">
        <f t="shared" si="2"/>
        <v>#DIV/0!</v>
      </c>
      <c r="L10" s="8" t="e">
        <f t="shared" si="3"/>
        <v>#DIV/0!</v>
      </c>
      <c r="M10" s="8" t="e">
        <f>表格1_3[[#This Row],[部內平均]]</f>
        <v>#DIV/0!</v>
      </c>
      <c r="N10" s="8"/>
      <c r="O10" s="8" t="e">
        <f>表格1_3[[#This Row],[複評平均]]</f>
        <v>#DIV/0!</v>
      </c>
      <c r="P10" s="3"/>
      <c r="Q10" s="3"/>
      <c r="R10" s="3"/>
      <c r="S10" s="3"/>
      <c r="T10" s="3"/>
      <c r="U10" s="3"/>
      <c r="V10" s="3"/>
      <c r="W10" s="38">
        <v>83.8</v>
      </c>
      <c r="X10" s="2">
        <v>8</v>
      </c>
    </row>
    <row r="11" spans="1:24">
      <c r="A11" s="10" t="s">
        <v>396</v>
      </c>
      <c r="B11" s="5" t="s">
        <v>132</v>
      </c>
      <c r="C11" s="4" t="s">
        <v>312</v>
      </c>
      <c r="D11" s="6" t="s">
        <v>265</v>
      </c>
      <c r="E11" s="4" t="s">
        <v>283</v>
      </c>
      <c r="F11" s="4" t="s">
        <v>313</v>
      </c>
      <c r="G11" s="41" t="e">
        <f>表格1_16[[#This Row],[加權後總分]]-表格1_16[[#This Row],[獎懲分數]]</f>
        <v>#DIV/0!</v>
      </c>
      <c r="H1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" s="39" t="e">
        <f t="shared" si="0"/>
        <v>#DIV/0!</v>
      </c>
      <c r="J11" s="36" t="e">
        <f t="shared" si="1"/>
        <v>#DIV/0!</v>
      </c>
      <c r="K11" s="8" t="e">
        <f t="shared" si="2"/>
        <v>#DIV/0!</v>
      </c>
      <c r="L11" s="8" t="e">
        <f t="shared" si="3"/>
        <v>#DIV/0!</v>
      </c>
      <c r="M11" s="8" t="e">
        <f>表格1_3[[#This Row],[部內平均]]</f>
        <v>#DIV/0!</v>
      </c>
      <c r="N11" s="8"/>
      <c r="O11" s="8" t="e">
        <f>表格1_3[[#This Row],[複評平均]]</f>
        <v>#DIV/0!</v>
      </c>
      <c r="P11" s="3"/>
      <c r="Q11" s="3"/>
      <c r="R11" s="3"/>
      <c r="S11" s="3"/>
      <c r="T11" s="3"/>
      <c r="U11" s="3"/>
      <c r="V11" s="3"/>
      <c r="W11" s="38">
        <v>83.8</v>
      </c>
      <c r="X11" s="2">
        <v>9</v>
      </c>
    </row>
    <row r="12" spans="1:24" hidden="1">
      <c r="A12" s="10" t="s">
        <v>396</v>
      </c>
      <c r="B12" s="5" t="s">
        <v>144</v>
      </c>
      <c r="C12" s="4" t="s">
        <v>18</v>
      </c>
      <c r="D12" s="6" t="s">
        <v>265</v>
      </c>
      <c r="E12" s="4" t="s">
        <v>283</v>
      </c>
      <c r="F12" s="4" t="s">
        <v>313</v>
      </c>
      <c r="G12" s="41" t="e">
        <f>表格1_16[[#This Row],[加權後總分]]-表格1_16[[#This Row],[獎懲分數]]</f>
        <v>#DIV/0!</v>
      </c>
      <c r="H1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" s="39" t="e">
        <f t="shared" si="0"/>
        <v>#DIV/0!</v>
      </c>
      <c r="J12" s="36" t="e">
        <f t="shared" si="1"/>
        <v>#DIV/0!</v>
      </c>
      <c r="K12" s="8" t="e">
        <f t="shared" si="2"/>
        <v>#DIV/0!</v>
      </c>
      <c r="L12" s="8" t="e">
        <f t="shared" si="3"/>
        <v>#DIV/0!</v>
      </c>
      <c r="M12" s="8" t="e">
        <f>表格1_3[[#This Row],[部內平均]]</f>
        <v>#DIV/0!</v>
      </c>
      <c r="N12" s="8"/>
      <c r="O12" s="8" t="e">
        <f>表格1_3[[#This Row],[複評平均]]</f>
        <v>#DIV/0!</v>
      </c>
      <c r="P12" s="3"/>
      <c r="Q12" s="3"/>
      <c r="R12" s="3"/>
      <c r="S12" s="3"/>
      <c r="T12" s="3"/>
      <c r="U12" s="3"/>
      <c r="V12" s="3"/>
      <c r="W12" s="38">
        <v>83.6</v>
      </c>
      <c r="X12" s="2">
        <v>10</v>
      </c>
    </row>
    <row r="13" spans="1:24" hidden="1">
      <c r="A13" s="10" t="s">
        <v>396</v>
      </c>
      <c r="B13" s="5" t="s">
        <v>143</v>
      </c>
      <c r="C13" s="13" t="s">
        <v>17</v>
      </c>
      <c r="D13" s="6" t="s">
        <v>265</v>
      </c>
      <c r="E13" s="4" t="s">
        <v>283</v>
      </c>
      <c r="F13" s="4" t="s">
        <v>74</v>
      </c>
      <c r="G13" s="41" t="e">
        <f>表格1_16[[#This Row],[加權後總分]]-表格1_16[[#This Row],[獎懲分數]]</f>
        <v>#DIV/0!</v>
      </c>
      <c r="H1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3" s="39" t="e">
        <f t="shared" si="0"/>
        <v>#DIV/0!</v>
      </c>
      <c r="J13" s="36" t="e">
        <f t="shared" si="1"/>
        <v>#DIV/0!</v>
      </c>
      <c r="K13" s="8" t="e">
        <f t="shared" si="2"/>
        <v>#DIV/0!</v>
      </c>
      <c r="L13" s="8" t="e">
        <f t="shared" si="3"/>
        <v>#DIV/0!</v>
      </c>
      <c r="M13" s="8" t="e">
        <f>表格1_3[[#This Row],[部內平均]]</f>
        <v>#DIV/0!</v>
      </c>
      <c r="N13" s="8"/>
      <c r="O13" s="8" t="e">
        <f>表格1_3[[#This Row],[複評平均]]</f>
        <v>#DIV/0!</v>
      </c>
      <c r="P13" s="3"/>
      <c r="Q13" s="3"/>
      <c r="R13" s="3"/>
      <c r="S13" s="3"/>
      <c r="T13" s="3"/>
      <c r="U13" s="3"/>
      <c r="V13" s="3"/>
      <c r="W13" s="38">
        <v>83.6</v>
      </c>
      <c r="X13" s="2">
        <v>11</v>
      </c>
    </row>
    <row r="14" spans="1:24" hidden="1">
      <c r="A14" s="10" t="s">
        <v>396</v>
      </c>
      <c r="B14" s="5" t="s">
        <v>134</v>
      </c>
      <c r="C14" s="13" t="s">
        <v>8</v>
      </c>
      <c r="D14" s="6" t="s">
        <v>265</v>
      </c>
      <c r="E14" s="4" t="s">
        <v>283</v>
      </c>
      <c r="F14" s="4" t="s">
        <v>313</v>
      </c>
      <c r="G14" s="41" t="e">
        <f>表格1_16[[#This Row],[加權後總分]]-表格1_16[[#This Row],[獎懲分數]]</f>
        <v>#DIV/0!</v>
      </c>
      <c r="H1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4" s="39" t="e">
        <f t="shared" si="0"/>
        <v>#DIV/0!</v>
      </c>
      <c r="J14" s="36" t="e">
        <f t="shared" si="1"/>
        <v>#DIV/0!</v>
      </c>
      <c r="K14" s="8" t="e">
        <f t="shared" si="2"/>
        <v>#DIV/0!</v>
      </c>
      <c r="L14" s="8" t="e">
        <f t="shared" si="3"/>
        <v>#DIV/0!</v>
      </c>
      <c r="M14" s="8" t="e">
        <f>表格1_3[[#This Row],[部內平均]]</f>
        <v>#DIV/0!</v>
      </c>
      <c r="N14" s="8"/>
      <c r="O14" s="8" t="e">
        <f>表格1_3[[#This Row],[複評平均]]</f>
        <v>#DIV/0!</v>
      </c>
      <c r="P14" s="3"/>
      <c r="Q14" s="3"/>
      <c r="R14" s="3"/>
      <c r="S14" s="3"/>
      <c r="T14" s="3"/>
      <c r="U14" s="3"/>
      <c r="V14" s="3"/>
      <c r="W14" s="38">
        <v>82.8</v>
      </c>
      <c r="X14" s="2">
        <v>12</v>
      </c>
    </row>
    <row r="15" spans="1:24" hidden="1">
      <c r="A15" s="10" t="s">
        <v>396</v>
      </c>
      <c r="B15" s="5" t="s">
        <v>135</v>
      </c>
      <c r="C15" s="13" t="s">
        <v>9</v>
      </c>
      <c r="D15" s="6" t="s">
        <v>265</v>
      </c>
      <c r="E15" s="4" t="s">
        <v>283</v>
      </c>
      <c r="F15" s="4" t="s">
        <v>74</v>
      </c>
      <c r="G15" s="41" t="e">
        <f>表格1_16[[#This Row],[加權後總分]]-表格1_16[[#This Row],[獎懲分數]]</f>
        <v>#DIV/0!</v>
      </c>
      <c r="H1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5" s="39" t="e">
        <f t="shared" si="0"/>
        <v>#DIV/0!</v>
      </c>
      <c r="J15" s="36" t="e">
        <f t="shared" si="1"/>
        <v>#DIV/0!</v>
      </c>
      <c r="K15" s="8" t="e">
        <f t="shared" si="2"/>
        <v>#DIV/0!</v>
      </c>
      <c r="L15" s="8" t="e">
        <f t="shared" si="3"/>
        <v>#DIV/0!</v>
      </c>
      <c r="M15" s="8" t="e">
        <f>表格1_3[[#This Row],[部內平均]]</f>
        <v>#DIV/0!</v>
      </c>
      <c r="N15" s="8"/>
      <c r="O15" s="8" t="e">
        <f>表格1_3[[#This Row],[複評平均]]</f>
        <v>#DIV/0!</v>
      </c>
      <c r="P15" s="3"/>
      <c r="Q15" s="3"/>
      <c r="R15" s="3"/>
      <c r="S15" s="3"/>
      <c r="T15" s="3"/>
      <c r="U15" s="3"/>
      <c r="V15" s="3"/>
      <c r="W15" s="38">
        <v>82.2</v>
      </c>
      <c r="X15" s="2">
        <v>13</v>
      </c>
    </row>
    <row r="16" spans="1:24" hidden="1">
      <c r="A16" s="10" t="s">
        <v>396</v>
      </c>
      <c r="B16" s="5" t="s">
        <v>146</v>
      </c>
      <c r="C16" s="4" t="s">
        <v>20</v>
      </c>
      <c r="D16" s="6" t="s">
        <v>265</v>
      </c>
      <c r="E16" s="4" t="s">
        <v>283</v>
      </c>
      <c r="F16" s="4" t="s">
        <v>313</v>
      </c>
      <c r="G16" s="41" t="e">
        <f>表格1_16[[#This Row],[加權後總分]]-表格1_16[[#This Row],[獎懲分數]]</f>
        <v>#DIV/0!</v>
      </c>
      <c r="H1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6" s="39" t="e">
        <f t="shared" si="0"/>
        <v>#DIV/0!</v>
      </c>
      <c r="J16" s="36" t="e">
        <f t="shared" si="1"/>
        <v>#DIV/0!</v>
      </c>
      <c r="K16" s="8" t="e">
        <f t="shared" si="2"/>
        <v>#DIV/0!</v>
      </c>
      <c r="L16" s="8" t="e">
        <f t="shared" si="3"/>
        <v>#DIV/0!</v>
      </c>
      <c r="M16" s="8" t="e">
        <f>表格1_3[[#This Row],[部內平均]]</f>
        <v>#DIV/0!</v>
      </c>
      <c r="N16" s="8"/>
      <c r="O16" s="8" t="e">
        <f>表格1_3[[#This Row],[複評平均]]</f>
        <v>#DIV/0!</v>
      </c>
      <c r="P16" s="3"/>
      <c r="Q16" s="3"/>
      <c r="R16" s="3"/>
      <c r="S16" s="3"/>
      <c r="T16" s="3"/>
      <c r="U16" s="3"/>
      <c r="V16" s="3"/>
      <c r="W16" s="38">
        <v>81.400000000000006</v>
      </c>
      <c r="X16" s="2">
        <v>14</v>
      </c>
    </row>
    <row r="17" spans="1:24">
      <c r="A17" s="10" t="s">
        <v>396</v>
      </c>
      <c r="B17" s="5" t="s">
        <v>140</v>
      </c>
      <c r="C17" s="4" t="s">
        <v>14</v>
      </c>
      <c r="D17" s="6" t="s">
        <v>265</v>
      </c>
      <c r="E17" s="4" t="s">
        <v>283</v>
      </c>
      <c r="F17" s="4" t="s">
        <v>329</v>
      </c>
      <c r="G17" s="41" t="e">
        <f>表格1_16[[#This Row],[加權後總分]]-表格1_16[[#This Row],[獎懲分數]]</f>
        <v>#DIV/0!</v>
      </c>
      <c r="H1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7" s="39" t="e">
        <f t="shared" si="0"/>
        <v>#DIV/0!</v>
      </c>
      <c r="J17" s="36" t="e">
        <f t="shared" si="1"/>
        <v>#DIV/0!</v>
      </c>
      <c r="K17" s="8" t="e">
        <f t="shared" si="2"/>
        <v>#DIV/0!</v>
      </c>
      <c r="L17" s="8" t="e">
        <f t="shared" si="3"/>
        <v>#DIV/0!</v>
      </c>
      <c r="M17" s="8" t="e">
        <f>表格1_3[[#This Row],[部內平均]]</f>
        <v>#DIV/0!</v>
      </c>
      <c r="N17" s="8"/>
      <c r="O17" s="8" t="e">
        <f>表格1_3[[#This Row],[複評平均]]</f>
        <v>#DIV/0!</v>
      </c>
      <c r="P17" s="3"/>
      <c r="Q17" s="3"/>
      <c r="R17" s="3"/>
      <c r="S17" s="3"/>
      <c r="T17" s="3"/>
      <c r="U17" s="3"/>
      <c r="V17" s="3"/>
      <c r="W17" s="38">
        <v>81.349999999999994</v>
      </c>
      <c r="X17" s="2">
        <v>15</v>
      </c>
    </row>
    <row r="18" spans="1:24" hidden="1">
      <c r="A18" s="10" t="s">
        <v>396</v>
      </c>
      <c r="B18" s="5" t="s">
        <v>141</v>
      </c>
      <c r="C18" s="13" t="s">
        <v>15</v>
      </c>
      <c r="D18" s="6" t="s">
        <v>265</v>
      </c>
      <c r="E18" s="4" t="s">
        <v>283</v>
      </c>
      <c r="F18" s="4" t="s">
        <v>313</v>
      </c>
      <c r="G18" s="41" t="e">
        <f>表格1_16[[#This Row],[加權後總分]]-表格1_16[[#This Row],[獎懲分數]]</f>
        <v>#DIV/0!</v>
      </c>
      <c r="H1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8" s="39" t="e">
        <f t="shared" si="0"/>
        <v>#DIV/0!</v>
      </c>
      <c r="J18" s="36" t="e">
        <f t="shared" si="1"/>
        <v>#DIV/0!</v>
      </c>
      <c r="K18" s="8" t="e">
        <f t="shared" si="2"/>
        <v>#DIV/0!</v>
      </c>
      <c r="L18" s="8" t="e">
        <f t="shared" si="3"/>
        <v>#DIV/0!</v>
      </c>
      <c r="M18" s="8" t="e">
        <f>表格1_3[[#This Row],[部內平均]]</f>
        <v>#DIV/0!</v>
      </c>
      <c r="N18" s="8"/>
      <c r="O18" s="8" t="e">
        <f>表格1_3[[#This Row],[複評平均]]</f>
        <v>#DIV/0!</v>
      </c>
      <c r="P18" s="3"/>
      <c r="Q18" s="3"/>
      <c r="R18" s="3"/>
      <c r="S18" s="3"/>
      <c r="T18" s="3"/>
      <c r="U18" s="3"/>
      <c r="V18" s="3"/>
      <c r="W18" s="38">
        <v>81.058333333333337</v>
      </c>
      <c r="X18" s="2">
        <v>16</v>
      </c>
    </row>
    <row r="19" spans="1:24" hidden="1">
      <c r="A19" s="10" t="s">
        <v>396</v>
      </c>
      <c r="B19" s="5" t="s">
        <v>142</v>
      </c>
      <c r="C19" s="14" t="s">
        <v>16</v>
      </c>
      <c r="D19" s="6" t="s">
        <v>265</v>
      </c>
      <c r="E19" s="4" t="s">
        <v>283</v>
      </c>
      <c r="F19" s="4" t="s">
        <v>313</v>
      </c>
      <c r="G19" s="41" t="e">
        <f>表格1_16[[#This Row],[加權後總分]]-表格1_16[[#This Row],[獎懲分數]]</f>
        <v>#DIV/0!</v>
      </c>
      <c r="H1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9" s="39" t="e">
        <f t="shared" si="0"/>
        <v>#DIV/0!</v>
      </c>
      <c r="J19" s="36" t="e">
        <f t="shared" si="1"/>
        <v>#DIV/0!</v>
      </c>
      <c r="K19" s="8" t="e">
        <f t="shared" ref="K19:K34" si="4">IF(J19&gt;=90,"A",
 IF(J19&gt;=77,"B",
 IF(J19&gt;=70,"C",
 IF(J19&gt;=60,"D","E"))))</f>
        <v>#DIV/0!</v>
      </c>
      <c r="L19" s="8" t="e">
        <f t="shared" si="3"/>
        <v>#DIV/0!</v>
      </c>
      <c r="M19" s="8" t="e">
        <f>表格1_3[[#This Row],[部內平均]]</f>
        <v>#DIV/0!</v>
      </c>
      <c r="N19" s="8"/>
      <c r="O19" s="8" t="e">
        <f>表格1_3[[#This Row],[複評平均]]</f>
        <v>#DIV/0!</v>
      </c>
      <c r="P19" s="3"/>
      <c r="Q19" s="3"/>
      <c r="R19" s="3"/>
      <c r="S19" s="3"/>
      <c r="T19" s="3"/>
      <c r="U19" s="3"/>
      <c r="V19" s="3"/>
      <c r="W19" s="38">
        <v>80.693877551020421</v>
      </c>
      <c r="X19" s="2">
        <v>17</v>
      </c>
    </row>
    <row r="20" spans="1:24" hidden="1">
      <c r="A20" s="10" t="s">
        <v>335</v>
      </c>
      <c r="B20" s="5" t="s">
        <v>150</v>
      </c>
      <c r="C20" s="4" t="s">
        <v>23</v>
      </c>
      <c r="D20" s="6" t="s">
        <v>265</v>
      </c>
      <c r="E20" s="4" t="s">
        <v>285</v>
      </c>
      <c r="F20" s="4" t="s">
        <v>313</v>
      </c>
      <c r="G20" s="41" t="e">
        <f>表格1_16[[#This Row],[加權後總分]]-表格1_16[[#This Row],[獎懲分數]]</f>
        <v>#DIV/0!</v>
      </c>
      <c r="H2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0" s="39" t="e">
        <f t="shared" si="0"/>
        <v>#DIV/0!</v>
      </c>
      <c r="J20" s="36" t="e">
        <f t="shared" si="1"/>
        <v>#DIV/0!</v>
      </c>
      <c r="K20" s="8" t="e">
        <f t="shared" si="4"/>
        <v>#DIV/0!</v>
      </c>
      <c r="L20" s="8" t="e">
        <f t="shared" si="3"/>
        <v>#DIV/0!</v>
      </c>
      <c r="M20" s="8" t="e">
        <f>表格1_3[[#This Row],[部內平均]]</f>
        <v>#DIV/0!</v>
      </c>
      <c r="N20" s="8" t="e">
        <f>表格1_3[[#This Row],[共評平均]]</f>
        <v>#DIV/0!</v>
      </c>
      <c r="O20" s="8" t="e">
        <f>表格1_3[[#This Row],[複評平均]]</f>
        <v>#DIV/0!</v>
      </c>
      <c r="P20" s="3"/>
      <c r="Q20" s="3"/>
      <c r="R20" s="3"/>
      <c r="S20" s="3"/>
      <c r="T20" s="3"/>
      <c r="U20" s="3"/>
      <c r="V20" s="3"/>
      <c r="W20" s="38">
        <v>80.599999999999994</v>
      </c>
      <c r="X20" s="2">
        <v>18</v>
      </c>
    </row>
    <row r="21" spans="1:24">
      <c r="A21" s="10" t="s">
        <v>390</v>
      </c>
      <c r="B21" s="5" t="s">
        <v>147</v>
      </c>
      <c r="C21" s="4" t="s">
        <v>21</v>
      </c>
      <c r="D21" s="6" t="s">
        <v>265</v>
      </c>
      <c r="E21" s="4" t="s">
        <v>283</v>
      </c>
      <c r="F21" s="4" t="s">
        <v>313</v>
      </c>
      <c r="G21" s="41" t="e">
        <f>表格1_16[[#This Row],[加權後總分]]-表格1_16[[#This Row],[獎懲分數]]</f>
        <v>#DIV/0!</v>
      </c>
      <c r="H2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1" s="39" t="e">
        <f t="shared" si="0"/>
        <v>#DIV/0!</v>
      </c>
      <c r="J21" s="36" t="e">
        <f t="shared" si="1"/>
        <v>#DIV/0!</v>
      </c>
      <c r="K21" s="8" t="e">
        <f t="shared" si="4"/>
        <v>#DIV/0!</v>
      </c>
      <c r="L21" s="8" t="e">
        <f t="shared" si="3"/>
        <v>#DIV/0!</v>
      </c>
      <c r="M21" s="8" t="e">
        <f>表格1_3[[#This Row],[部內平均]]</f>
        <v>#DIV/0!</v>
      </c>
      <c r="N21" s="8"/>
      <c r="O21" s="8" t="e">
        <f>表格1_3[[#This Row],[複評平均]]</f>
        <v>#DIV/0!</v>
      </c>
      <c r="P21" s="3"/>
      <c r="Q21" s="3"/>
      <c r="R21" s="3"/>
      <c r="S21" s="3"/>
      <c r="T21" s="3"/>
      <c r="U21" s="3"/>
      <c r="V21" s="3"/>
      <c r="W21" s="38">
        <v>80.5</v>
      </c>
      <c r="X21" s="2">
        <v>19</v>
      </c>
    </row>
    <row r="22" spans="1:24">
      <c r="A22" s="10" t="s">
        <v>389</v>
      </c>
      <c r="B22" s="5" t="s">
        <v>145</v>
      </c>
      <c r="C22" s="4" t="s">
        <v>19</v>
      </c>
      <c r="D22" s="6" t="s">
        <v>265</v>
      </c>
      <c r="E22" s="4" t="s">
        <v>285</v>
      </c>
      <c r="F22" s="4" t="s">
        <v>313</v>
      </c>
      <c r="G22" s="41" t="e">
        <f>表格1_16[[#This Row],[加權後總分]]-表格1_16[[#This Row],[獎懲分數]]</f>
        <v>#DIV/0!</v>
      </c>
      <c r="H2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2" s="39" t="e">
        <f t="shared" si="0"/>
        <v>#DIV/0!</v>
      </c>
      <c r="J22" s="36" t="e">
        <f t="shared" si="1"/>
        <v>#DIV/0!</v>
      </c>
      <c r="K22" s="8" t="e">
        <f t="shared" si="4"/>
        <v>#DIV/0!</v>
      </c>
      <c r="L22" s="8" t="e">
        <f t="shared" si="3"/>
        <v>#DIV/0!</v>
      </c>
      <c r="M22" s="8" t="e">
        <f>表格1_3[[#This Row],[部內平均]]</f>
        <v>#DIV/0!</v>
      </c>
      <c r="N22" s="8" t="e">
        <f>表格1_3[[#This Row],[共評平均]]</f>
        <v>#DIV/0!</v>
      </c>
      <c r="O22" s="8" t="e">
        <f>表格1_3[[#This Row],[複評平均]]</f>
        <v>#DIV/0!</v>
      </c>
      <c r="P22" s="3"/>
      <c r="Q22" s="3"/>
      <c r="R22" s="3"/>
      <c r="S22" s="3"/>
      <c r="T22" s="3"/>
      <c r="U22" s="3"/>
      <c r="V22" s="3"/>
      <c r="W22" s="38">
        <v>79.938775510204081</v>
      </c>
      <c r="X22" s="2">
        <v>20</v>
      </c>
    </row>
    <row r="23" spans="1:24">
      <c r="A23" s="10" t="s">
        <v>335</v>
      </c>
      <c r="B23" s="5" t="s">
        <v>148</v>
      </c>
      <c r="C23" s="4" t="s">
        <v>313</v>
      </c>
      <c r="D23" s="6" t="s">
        <v>265</v>
      </c>
      <c r="E23" s="4" t="s">
        <v>5</v>
      </c>
      <c r="F23" s="4" t="s">
        <v>74</v>
      </c>
      <c r="G23" s="41" t="e">
        <f>表格1_16[[#This Row],[加權後總分]]-表格1_16[[#This Row],[獎懲分數]]</f>
        <v>#DIV/0!</v>
      </c>
      <c r="H2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3" s="39" t="e">
        <f t="shared" si="0"/>
        <v>#DIV/0!</v>
      </c>
      <c r="J23" s="36" t="e">
        <f t="shared" si="1"/>
        <v>#DIV/0!</v>
      </c>
      <c r="K23" s="8" t="e">
        <f t="shared" si="4"/>
        <v>#DIV/0!</v>
      </c>
      <c r="L23" s="8" t="e">
        <f t="shared" si="3"/>
        <v>#DIV/0!</v>
      </c>
      <c r="M23" s="8" t="e">
        <f>表格1_3[[#This Row],[部內平均]]</f>
        <v>#DIV/0!</v>
      </c>
      <c r="N23" s="8" t="e">
        <f>表格1_3[[#This Row],[共評平均]]</f>
        <v>#DIV/0!</v>
      </c>
      <c r="O23" s="8" t="e">
        <f>表格1_3[[#This Row],[複評平均]]</f>
        <v>#DIV/0!</v>
      </c>
      <c r="P23" s="3">
        <v>1</v>
      </c>
      <c r="Q23" s="3"/>
      <c r="R23" s="3"/>
      <c r="S23" s="3"/>
      <c r="T23" s="3"/>
      <c r="U23" s="3"/>
      <c r="V23" s="3">
        <v>3</v>
      </c>
      <c r="W23" s="38">
        <v>79.416666666666657</v>
      </c>
      <c r="X23" s="2">
        <v>21</v>
      </c>
    </row>
    <row r="24" spans="1:24" hidden="1">
      <c r="A24" s="10" t="s">
        <v>397</v>
      </c>
      <c r="B24" s="5" t="s">
        <v>149</v>
      </c>
      <c r="C24" s="14" t="s">
        <v>22</v>
      </c>
      <c r="D24" s="6" t="s">
        <v>265</v>
      </c>
      <c r="E24" s="4" t="s">
        <v>283</v>
      </c>
      <c r="F24" s="4" t="s">
        <v>313</v>
      </c>
      <c r="G24" s="41" t="e">
        <f>表格1_16[[#This Row],[加權後總分]]-表格1_16[[#This Row],[獎懲分數]]</f>
        <v>#DIV/0!</v>
      </c>
      <c r="H2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4" s="39" t="e">
        <f t="shared" si="0"/>
        <v>#DIV/0!</v>
      </c>
      <c r="J24" s="36" t="e">
        <f t="shared" si="1"/>
        <v>#DIV/0!</v>
      </c>
      <c r="K24" s="8" t="e">
        <f t="shared" si="4"/>
        <v>#DIV/0!</v>
      </c>
      <c r="L24" s="8" t="e">
        <f t="shared" si="3"/>
        <v>#DIV/0!</v>
      </c>
      <c r="M24" s="8" t="e">
        <f>表格1_3[[#This Row],[部內平均]]</f>
        <v>#DIV/0!</v>
      </c>
      <c r="N24" s="8"/>
      <c r="O24" s="8" t="e">
        <f>表格1_3[[#This Row],[複評平均]]</f>
        <v>#DIV/0!</v>
      </c>
      <c r="P24" s="3"/>
      <c r="Q24" s="3"/>
      <c r="R24" s="3"/>
      <c r="S24" s="3"/>
      <c r="T24" s="3"/>
      <c r="U24" s="3"/>
      <c r="V24" s="3"/>
      <c r="W24" s="38">
        <v>79.285714285714292</v>
      </c>
      <c r="X24" s="2">
        <v>22</v>
      </c>
    </row>
    <row r="25" spans="1:24">
      <c r="A25" s="10" t="s">
        <v>398</v>
      </c>
      <c r="B25" s="5" t="s">
        <v>151</v>
      </c>
      <c r="C25" s="4" t="s">
        <v>24</v>
      </c>
      <c r="D25" s="6" t="s">
        <v>266</v>
      </c>
      <c r="E25" s="4" t="s">
        <v>283</v>
      </c>
      <c r="F25" s="4" t="s">
        <v>329</v>
      </c>
      <c r="G25" s="41" t="e">
        <f>表格1_16[[#This Row],[加權後總分]]-表格1_16[[#This Row],[獎懲分數]]</f>
        <v>#DIV/0!</v>
      </c>
      <c r="H2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5" s="39" t="e">
        <f t="shared" si="0"/>
        <v>#DIV/0!</v>
      </c>
      <c r="J25" s="36" t="e">
        <f t="shared" si="1"/>
        <v>#DIV/0!</v>
      </c>
      <c r="K25" s="8" t="e">
        <f t="shared" si="4"/>
        <v>#DIV/0!</v>
      </c>
      <c r="L25" s="8" t="e">
        <f t="shared" si="3"/>
        <v>#DIV/0!</v>
      </c>
      <c r="M25" s="8" t="e">
        <f>表格1_3[[#This Row],[部內平均]]</f>
        <v>#DIV/0!</v>
      </c>
      <c r="N25" s="8"/>
      <c r="O25" s="8" t="e">
        <f>表格1_3[[#This Row],[複評平均]]</f>
        <v>#DIV/0!</v>
      </c>
      <c r="P25" s="3"/>
      <c r="Q25" s="3"/>
      <c r="R25" s="3"/>
      <c r="S25" s="3"/>
      <c r="T25" s="3"/>
      <c r="U25" s="3"/>
      <c r="V25" s="3"/>
      <c r="W25" s="38">
        <v>79.109090909090895</v>
      </c>
      <c r="X25" s="2">
        <v>23</v>
      </c>
    </row>
    <row r="26" spans="1:24">
      <c r="A26" s="10" t="s">
        <v>397</v>
      </c>
      <c r="B26" s="5" t="s">
        <v>152</v>
      </c>
      <c r="C26" s="4" t="s">
        <v>25</v>
      </c>
      <c r="D26" s="6" t="s">
        <v>266</v>
      </c>
      <c r="E26" s="4" t="s">
        <v>283</v>
      </c>
      <c r="F26" s="4" t="s">
        <v>35</v>
      </c>
      <c r="G26" s="41" t="e">
        <f>表格1_16[[#This Row],[加權後總分]]-表格1_16[[#This Row],[獎懲分數]]</f>
        <v>#DIV/0!</v>
      </c>
      <c r="H2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6" s="39" t="e">
        <f t="shared" si="0"/>
        <v>#DIV/0!</v>
      </c>
      <c r="J26" s="36" t="e">
        <f t="shared" si="1"/>
        <v>#DIV/0!</v>
      </c>
      <c r="K26" s="8" t="e">
        <f t="shared" si="4"/>
        <v>#DIV/0!</v>
      </c>
      <c r="L26" s="8" t="e">
        <f t="shared" si="3"/>
        <v>#DIV/0!</v>
      </c>
      <c r="M26" s="8" t="e">
        <f>表格1_3[[#This Row],[部內平均]]</f>
        <v>#DIV/0!</v>
      </c>
      <c r="N26" s="8"/>
      <c r="O26" s="8" t="e">
        <f>表格1_3[[#This Row],[複評平均]]</f>
        <v>#DIV/0!</v>
      </c>
      <c r="P26" s="3"/>
      <c r="Q26" s="3"/>
      <c r="R26" s="3"/>
      <c r="S26" s="3"/>
      <c r="T26" s="3"/>
      <c r="U26" s="3"/>
      <c r="V26" s="3"/>
      <c r="W26" s="38">
        <v>79</v>
      </c>
      <c r="X26" s="2">
        <v>24</v>
      </c>
    </row>
    <row r="27" spans="1:24" hidden="1">
      <c r="A27" s="10" t="s">
        <v>399</v>
      </c>
      <c r="B27" s="5" t="s">
        <v>157</v>
      </c>
      <c r="C27" s="13" t="s">
        <v>30</v>
      </c>
      <c r="D27" s="6" t="s">
        <v>266</v>
      </c>
      <c r="E27" s="4" t="s">
        <v>283</v>
      </c>
      <c r="F27" s="4" t="s">
        <v>329</v>
      </c>
      <c r="G27" s="41" t="e">
        <f>表格1_16[[#This Row],[加權後總分]]-表格1_16[[#This Row],[獎懲分數]]</f>
        <v>#DIV/0!</v>
      </c>
      <c r="H2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7" s="39" t="e">
        <f t="shared" si="0"/>
        <v>#DIV/0!</v>
      </c>
      <c r="J27" s="36" t="e">
        <f t="shared" si="1"/>
        <v>#DIV/0!</v>
      </c>
      <c r="K27" s="8" t="e">
        <f t="shared" si="4"/>
        <v>#DIV/0!</v>
      </c>
      <c r="L27" s="8" t="e">
        <f t="shared" si="3"/>
        <v>#DIV/0!</v>
      </c>
      <c r="M27" s="8" t="e">
        <f>表格1_3[[#This Row],[部內平均]]</f>
        <v>#DIV/0!</v>
      </c>
      <c r="N27" s="8"/>
      <c r="O27" s="8" t="e">
        <f>表格1_3[[#This Row],[複評平均]]</f>
        <v>#DIV/0!</v>
      </c>
      <c r="P27" s="3"/>
      <c r="Q27" s="3"/>
      <c r="R27" s="3"/>
      <c r="S27" s="3"/>
      <c r="T27" s="3"/>
      <c r="U27" s="3"/>
      <c r="V27" s="3"/>
      <c r="W27" s="38">
        <v>78.957142857142856</v>
      </c>
      <c r="X27" s="2">
        <v>25</v>
      </c>
    </row>
    <row r="28" spans="1:24" hidden="1">
      <c r="A28" s="10" t="s">
        <v>389</v>
      </c>
      <c r="B28" s="5" t="s">
        <v>153</v>
      </c>
      <c r="C28" s="4" t="s">
        <v>26</v>
      </c>
      <c r="D28" s="6" t="s">
        <v>266</v>
      </c>
      <c r="E28" s="4" t="s">
        <v>283</v>
      </c>
      <c r="F28" s="4" t="s">
        <v>329</v>
      </c>
      <c r="G28" s="41" t="e">
        <f>表格1_16[[#This Row],[加權後總分]]-表格1_16[[#This Row],[獎懲分數]]</f>
        <v>#DIV/0!</v>
      </c>
      <c r="H2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8" s="39" t="e">
        <f t="shared" si="0"/>
        <v>#DIV/0!</v>
      </c>
      <c r="J28" s="36" t="e">
        <f t="shared" si="1"/>
        <v>#DIV/0!</v>
      </c>
      <c r="K28" s="8" t="e">
        <f t="shared" si="4"/>
        <v>#DIV/0!</v>
      </c>
      <c r="L28" s="8" t="e">
        <f t="shared" si="3"/>
        <v>#DIV/0!</v>
      </c>
      <c r="M28" s="8" t="e">
        <f>表格1_3[[#This Row],[部內平均]]</f>
        <v>#DIV/0!</v>
      </c>
      <c r="N28" s="8"/>
      <c r="O28" s="8" t="e">
        <f>表格1_3[[#This Row],[複評平均]]</f>
        <v>#DIV/0!</v>
      </c>
      <c r="P28" s="3"/>
      <c r="Q28" s="3"/>
      <c r="R28" s="3"/>
      <c r="S28" s="3"/>
      <c r="T28" s="3"/>
      <c r="U28" s="3"/>
      <c r="V28" s="3"/>
      <c r="W28" s="38">
        <v>78.732142857142861</v>
      </c>
      <c r="X28" s="2">
        <v>26</v>
      </c>
    </row>
    <row r="29" spans="1:24">
      <c r="A29" s="10" t="s">
        <v>399</v>
      </c>
      <c r="B29" s="5" t="s">
        <v>154</v>
      </c>
      <c r="C29" s="4" t="s">
        <v>27</v>
      </c>
      <c r="D29" s="6" t="s">
        <v>266</v>
      </c>
      <c r="E29" s="4" t="s">
        <v>283</v>
      </c>
      <c r="F29" s="4" t="s">
        <v>329</v>
      </c>
      <c r="G29" s="41" t="e">
        <f>表格1_16[[#This Row],[加權後總分]]-表格1_16[[#This Row],[獎懲分數]]</f>
        <v>#DIV/0!</v>
      </c>
      <c r="H2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29" s="39" t="e">
        <f t="shared" si="0"/>
        <v>#DIV/0!</v>
      </c>
      <c r="J29" s="36" t="e">
        <f t="shared" si="1"/>
        <v>#DIV/0!</v>
      </c>
      <c r="K29" s="8" t="e">
        <f t="shared" si="4"/>
        <v>#DIV/0!</v>
      </c>
      <c r="L29" s="8" t="e">
        <f t="shared" si="3"/>
        <v>#DIV/0!</v>
      </c>
      <c r="M29" s="8" t="e">
        <f>表格1_3[[#This Row],[部內平均]]</f>
        <v>#DIV/0!</v>
      </c>
      <c r="N29" s="8"/>
      <c r="O29" s="8" t="e">
        <f>表格1_3[[#This Row],[複評平均]]</f>
        <v>#DIV/0!</v>
      </c>
      <c r="P29" s="3"/>
      <c r="Q29" s="3"/>
      <c r="R29" s="3"/>
      <c r="S29" s="3"/>
      <c r="T29" s="3"/>
      <c r="U29" s="3"/>
      <c r="V29" s="3"/>
      <c r="W29" s="38">
        <v>78.199999999999989</v>
      </c>
      <c r="X29" s="2">
        <v>27</v>
      </c>
    </row>
    <row r="30" spans="1:24" hidden="1">
      <c r="A30" s="10" t="s">
        <v>400</v>
      </c>
      <c r="B30" s="5" t="s">
        <v>156</v>
      </c>
      <c r="C30" s="4" t="s">
        <v>29</v>
      </c>
      <c r="D30" s="6" t="s">
        <v>266</v>
      </c>
      <c r="E30" s="4" t="s">
        <v>283</v>
      </c>
      <c r="F30" s="4" t="s">
        <v>329</v>
      </c>
      <c r="G30" s="41" t="e">
        <f>表格1_16[[#This Row],[加權後總分]]-表格1_16[[#This Row],[獎懲分數]]</f>
        <v>#DIV/0!</v>
      </c>
      <c r="H3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0" s="39" t="e">
        <f t="shared" si="0"/>
        <v>#DIV/0!</v>
      </c>
      <c r="J30" s="36" t="e">
        <f t="shared" si="1"/>
        <v>#DIV/0!</v>
      </c>
      <c r="K30" s="8" t="e">
        <f t="shared" si="4"/>
        <v>#DIV/0!</v>
      </c>
      <c r="L30" s="8" t="e">
        <f t="shared" si="3"/>
        <v>#DIV/0!</v>
      </c>
      <c r="M30" s="8" t="e">
        <f>表格1_3[[#This Row],[部內平均]]</f>
        <v>#DIV/0!</v>
      </c>
      <c r="N30" s="8"/>
      <c r="O30" s="8" t="e">
        <f>表格1_3[[#This Row],[複評平均]]</f>
        <v>#DIV/0!</v>
      </c>
      <c r="P30" s="3"/>
      <c r="Q30" s="3"/>
      <c r="R30" s="3"/>
      <c r="S30" s="3"/>
      <c r="T30" s="3"/>
      <c r="U30" s="3"/>
      <c r="V30" s="3"/>
      <c r="W30" s="38">
        <v>77.8</v>
      </c>
      <c r="X30" s="2">
        <v>28</v>
      </c>
    </row>
    <row r="31" spans="1:24">
      <c r="A31" s="10" t="s">
        <v>397</v>
      </c>
      <c r="B31" s="5" t="s">
        <v>155</v>
      </c>
      <c r="C31" s="4" t="s">
        <v>28</v>
      </c>
      <c r="D31" s="6" t="s">
        <v>266</v>
      </c>
      <c r="E31" s="4" t="s">
        <v>283</v>
      </c>
      <c r="F31" s="4" t="s">
        <v>329</v>
      </c>
      <c r="G31" s="41" t="e">
        <f>表格1_16[[#This Row],[加權後總分]]-表格1_16[[#This Row],[獎懲分數]]</f>
        <v>#DIV/0!</v>
      </c>
      <c r="H3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1" s="39" t="e">
        <f t="shared" si="0"/>
        <v>#DIV/0!</v>
      </c>
      <c r="J31" s="36" t="e">
        <f t="shared" si="1"/>
        <v>#DIV/0!</v>
      </c>
      <c r="K31" s="8" t="e">
        <f t="shared" si="4"/>
        <v>#DIV/0!</v>
      </c>
      <c r="L31" s="8" t="e">
        <f t="shared" si="3"/>
        <v>#DIV/0!</v>
      </c>
      <c r="M31" s="8" t="e">
        <f>表格1_3[[#This Row],[部內平均]]</f>
        <v>#DIV/0!</v>
      </c>
      <c r="N31" s="8"/>
      <c r="O31" s="8" t="e">
        <f>表格1_3[[#This Row],[複評平均]]</f>
        <v>#DIV/0!</v>
      </c>
      <c r="P31" s="3"/>
      <c r="Q31" s="3"/>
      <c r="R31" s="3"/>
      <c r="S31" s="3"/>
      <c r="T31" s="3"/>
      <c r="U31" s="3"/>
      <c r="V31" s="3"/>
      <c r="W31" s="38">
        <v>77.599999999999994</v>
      </c>
      <c r="X31" s="2">
        <v>29</v>
      </c>
    </row>
    <row r="32" spans="1:24" hidden="1">
      <c r="A32" s="10" t="s">
        <v>389</v>
      </c>
      <c r="B32" s="5" t="s">
        <v>158</v>
      </c>
      <c r="C32" s="13" t="s">
        <v>31</v>
      </c>
      <c r="D32" s="6" t="s">
        <v>266</v>
      </c>
      <c r="E32" s="4" t="s">
        <v>283</v>
      </c>
      <c r="F32" s="4" t="s">
        <v>35</v>
      </c>
      <c r="G32" s="41" t="e">
        <f>表格1_16[[#This Row],[加權後總分]]-表格1_16[[#This Row],[獎懲分數]]</f>
        <v>#DIV/0!</v>
      </c>
      <c r="H3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2" s="39" t="e">
        <f t="shared" si="0"/>
        <v>#DIV/0!</v>
      </c>
      <c r="J32" s="36" t="e">
        <f t="shared" si="1"/>
        <v>#DIV/0!</v>
      </c>
      <c r="K32" s="8" t="e">
        <f t="shared" si="4"/>
        <v>#DIV/0!</v>
      </c>
      <c r="L32" s="8" t="e">
        <f t="shared" si="3"/>
        <v>#DIV/0!</v>
      </c>
      <c r="M32" s="8" t="e">
        <f>表格1_3[[#This Row],[部內平均]]</f>
        <v>#DIV/0!</v>
      </c>
      <c r="N32" s="8"/>
      <c r="O32" s="8" t="e">
        <f>表格1_3[[#This Row],[複評平均]]</f>
        <v>#DIV/0!</v>
      </c>
      <c r="P32" s="3"/>
      <c r="Q32" s="3"/>
      <c r="R32" s="3"/>
      <c r="S32" s="3"/>
      <c r="T32" s="3"/>
      <c r="U32" s="3"/>
      <c r="V32" s="3"/>
      <c r="W32" s="38">
        <v>77.400000000000006</v>
      </c>
      <c r="X32" s="2">
        <v>30</v>
      </c>
    </row>
    <row r="33" spans="1:24">
      <c r="A33" s="10" t="s">
        <v>396</v>
      </c>
      <c r="B33" s="5" t="s">
        <v>160</v>
      </c>
      <c r="C33" s="4" t="s">
        <v>33</v>
      </c>
      <c r="D33" s="6" t="s">
        <v>266</v>
      </c>
      <c r="E33" s="4" t="s">
        <v>283</v>
      </c>
      <c r="F33" s="4" t="s">
        <v>329</v>
      </c>
      <c r="G33" s="41" t="e">
        <f>表格1_16[[#This Row],[加權後總分]]-表格1_16[[#This Row],[獎懲分數]]</f>
        <v>#DIV/0!</v>
      </c>
      <c r="H3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3" s="39" t="e">
        <f t="shared" si="0"/>
        <v>#DIV/0!</v>
      </c>
      <c r="J33" s="36" t="e">
        <f t="shared" si="1"/>
        <v>#DIV/0!</v>
      </c>
      <c r="K33" s="8" t="e">
        <f t="shared" si="4"/>
        <v>#DIV/0!</v>
      </c>
      <c r="L33" s="8" t="e">
        <f t="shared" si="3"/>
        <v>#DIV/0!</v>
      </c>
      <c r="M33" s="8" t="e">
        <f>表格1_3[[#This Row],[部內平均]]</f>
        <v>#DIV/0!</v>
      </c>
      <c r="N33" s="8"/>
      <c r="O33" s="8" t="e">
        <f>表格1_3[[#This Row],[複評平均]]</f>
        <v>#DIV/0!</v>
      </c>
      <c r="P33" s="3"/>
      <c r="Q33" s="3"/>
      <c r="R33" s="3"/>
      <c r="S33" s="3"/>
      <c r="T33" s="3"/>
      <c r="U33" s="3"/>
      <c r="V33" s="3"/>
      <c r="W33" s="38">
        <v>77.3</v>
      </c>
      <c r="X33" s="2">
        <v>31</v>
      </c>
    </row>
    <row r="34" spans="1:24">
      <c r="A34" s="10" t="s">
        <v>401</v>
      </c>
      <c r="B34" s="5" t="s">
        <v>159</v>
      </c>
      <c r="C34" s="4" t="s">
        <v>32</v>
      </c>
      <c r="D34" s="6" t="s">
        <v>266</v>
      </c>
      <c r="E34" s="4" t="s">
        <v>283</v>
      </c>
      <c r="F34" s="4" t="s">
        <v>35</v>
      </c>
      <c r="G34" s="41" t="e">
        <f>表格1_16[[#This Row],[加權後總分]]-表格1_16[[#This Row],[獎懲分數]]</f>
        <v>#DIV/0!</v>
      </c>
      <c r="H3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4" s="39" t="e">
        <f t="shared" si="0"/>
        <v>#DIV/0!</v>
      </c>
      <c r="J34" s="36" t="e">
        <f t="shared" si="1"/>
        <v>#DIV/0!</v>
      </c>
      <c r="K34" s="8" t="e">
        <f t="shared" si="4"/>
        <v>#DIV/0!</v>
      </c>
      <c r="L34" s="8" t="e">
        <f t="shared" si="3"/>
        <v>#DIV/0!</v>
      </c>
      <c r="M34" s="8" t="e">
        <f>表格1_3[[#This Row],[部內平均]]</f>
        <v>#DIV/0!</v>
      </c>
      <c r="N34" s="8"/>
      <c r="O34" s="8" t="e">
        <f>表格1_3[[#This Row],[複評平均]]</f>
        <v>#DIV/0!</v>
      </c>
      <c r="P34" s="3"/>
      <c r="Q34" s="3"/>
      <c r="R34" s="3"/>
      <c r="S34" s="3"/>
      <c r="T34" s="3"/>
      <c r="U34" s="3"/>
      <c r="V34" s="3"/>
      <c r="W34" s="38">
        <v>77.125</v>
      </c>
      <c r="X34" s="2">
        <v>32</v>
      </c>
    </row>
    <row r="35" spans="1:24" hidden="1">
      <c r="A35" s="10" t="s">
        <v>389</v>
      </c>
      <c r="B35" s="5" t="s">
        <v>161</v>
      </c>
      <c r="C35" s="13" t="s">
        <v>34</v>
      </c>
      <c r="D35" s="6" t="s">
        <v>266</v>
      </c>
      <c r="E35" s="4" t="s">
        <v>283</v>
      </c>
      <c r="F35" s="4" t="s">
        <v>35</v>
      </c>
      <c r="G35" s="41" t="e">
        <f>表格1_16[[#This Row],[加權後總分]]-表格1_16[[#This Row],[獎懲分數]]</f>
        <v>#DIV/0!</v>
      </c>
      <c r="H3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5" s="39" t="e">
        <f t="shared" si="0"/>
        <v>#DIV/0!</v>
      </c>
      <c r="J35" s="36" t="e">
        <f t="shared" si="1"/>
        <v>#DIV/0!</v>
      </c>
      <c r="K35" s="8" t="e">
        <f t="shared" ref="K35:K47" si="5">IF(J35&gt;=90,"A",
 IF(J35&gt;=77,"B",
 IF(J35&gt;=70,"C",
 IF(J35&gt;=60,"D","E"))))</f>
        <v>#DIV/0!</v>
      </c>
      <c r="L35" s="8" t="e">
        <f t="shared" si="3"/>
        <v>#DIV/0!</v>
      </c>
      <c r="M35" s="8" t="e">
        <f>表格1_3[[#This Row],[部內平均]]</f>
        <v>#DIV/0!</v>
      </c>
      <c r="N35" s="8"/>
      <c r="O35" s="8" t="e">
        <f>表格1_3[[#This Row],[複評平均]]</f>
        <v>#DIV/0!</v>
      </c>
      <c r="P35" s="3"/>
      <c r="Q35" s="3"/>
      <c r="R35" s="3"/>
      <c r="S35" s="3"/>
      <c r="T35" s="3"/>
      <c r="U35" s="3"/>
      <c r="V35" s="3"/>
      <c r="W35" s="38">
        <v>77.061224489795933</v>
      </c>
      <c r="X35" s="2">
        <v>33</v>
      </c>
    </row>
    <row r="36" spans="1:24" hidden="1">
      <c r="A36" s="10" t="s">
        <v>396</v>
      </c>
      <c r="B36" s="5" t="s">
        <v>314</v>
      </c>
      <c r="C36" s="14" t="s">
        <v>315</v>
      </c>
      <c r="D36" s="6" t="s">
        <v>266</v>
      </c>
      <c r="E36" s="4" t="s">
        <v>283</v>
      </c>
      <c r="F36" s="4" t="s">
        <v>35</v>
      </c>
      <c r="G36" s="41" t="e">
        <f>表格1_16[[#This Row],[加權後總分]]-表格1_16[[#This Row],[獎懲分數]]</f>
        <v>#DIV/0!</v>
      </c>
      <c r="H3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6" s="39" t="e">
        <f t="shared" si="0"/>
        <v>#DIV/0!</v>
      </c>
      <c r="J36" s="36" t="e">
        <f t="shared" si="1"/>
        <v>#DIV/0!</v>
      </c>
      <c r="K36" s="8" t="e">
        <f t="shared" si="5"/>
        <v>#DIV/0!</v>
      </c>
      <c r="L36" s="8" t="e">
        <f t="shared" si="3"/>
        <v>#DIV/0!</v>
      </c>
      <c r="M36" s="8" t="e">
        <f>表格1_3[[#This Row],[部內平均]]</f>
        <v>#DIV/0!</v>
      </c>
      <c r="N36" s="8"/>
      <c r="O36" s="8" t="e">
        <f>表格1_3[[#This Row],[複評平均]]</f>
        <v>#DIV/0!</v>
      </c>
      <c r="P36" s="3"/>
      <c r="Q36" s="3"/>
      <c r="R36" s="3"/>
      <c r="S36" s="3"/>
      <c r="T36" s="3"/>
      <c r="U36" s="3"/>
      <c r="V36" s="3"/>
      <c r="W36" s="38">
        <v>77</v>
      </c>
      <c r="X36" s="2">
        <v>34</v>
      </c>
    </row>
    <row r="37" spans="1:24">
      <c r="A37" s="10" t="s">
        <v>335</v>
      </c>
      <c r="B37" s="5" t="s">
        <v>162</v>
      </c>
      <c r="C37" s="4" t="s">
        <v>35</v>
      </c>
      <c r="D37" s="6" t="s">
        <v>266</v>
      </c>
      <c r="E37" s="4" t="s">
        <v>286</v>
      </c>
      <c r="F37" s="4" t="s">
        <v>77</v>
      </c>
      <c r="G37" s="41" t="e">
        <f>表格1_16[[#This Row],[加權後總分]]-表格1_16[[#This Row],[獎懲分數]]</f>
        <v>#DIV/0!</v>
      </c>
      <c r="H3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7" s="39" t="e">
        <f t="shared" si="0"/>
        <v>#DIV/0!</v>
      </c>
      <c r="J37" s="36" t="e">
        <f t="shared" si="1"/>
        <v>#DIV/0!</v>
      </c>
      <c r="K37" s="8" t="e">
        <f t="shared" si="5"/>
        <v>#DIV/0!</v>
      </c>
      <c r="L37" s="8" t="e">
        <f t="shared" si="3"/>
        <v>#DIV/0!</v>
      </c>
      <c r="M37" s="8" t="e">
        <f>表格1_3[[#This Row],[部內平均]]</f>
        <v>#DIV/0!</v>
      </c>
      <c r="N37" s="8" t="e">
        <f>表格1_3[[#This Row],[共評平均]]</f>
        <v>#DIV/0!</v>
      </c>
      <c r="O37" s="8"/>
      <c r="P37" s="3"/>
      <c r="Q37" s="3"/>
      <c r="R37" s="3"/>
      <c r="S37" s="3"/>
      <c r="T37" s="3"/>
      <c r="U37" s="3"/>
      <c r="V37" s="3"/>
      <c r="W37" s="38">
        <v>77</v>
      </c>
      <c r="X37" s="2">
        <v>35</v>
      </c>
    </row>
    <row r="38" spans="1:24">
      <c r="A38" s="10" t="s">
        <v>402</v>
      </c>
      <c r="B38" s="5" t="s">
        <v>163</v>
      </c>
      <c r="C38" s="4" t="s">
        <v>36</v>
      </c>
      <c r="D38" s="6" t="s">
        <v>267</v>
      </c>
      <c r="E38" s="4" t="s">
        <v>283</v>
      </c>
      <c r="F38" s="4" t="s">
        <v>38</v>
      </c>
      <c r="G38" s="41" t="e">
        <f>表格1_16[[#This Row],[加權後總分]]-表格1_16[[#This Row],[獎懲分數]]</f>
        <v>#DIV/0!</v>
      </c>
      <c r="H3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8" s="39" t="e">
        <f t="shared" si="0"/>
        <v>#DIV/0!</v>
      </c>
      <c r="J38" s="36" t="e">
        <f t="shared" si="1"/>
        <v>#DIV/0!</v>
      </c>
      <c r="K38" s="8" t="e">
        <f t="shared" si="5"/>
        <v>#DIV/0!</v>
      </c>
      <c r="L38" s="8" t="e">
        <f t="shared" si="3"/>
        <v>#DIV/0!</v>
      </c>
      <c r="M38" s="8" t="e">
        <f>表格1_3[[#This Row],[部內平均]]</f>
        <v>#DIV/0!</v>
      </c>
      <c r="N38" s="8"/>
      <c r="O38" s="8" t="e">
        <f>表格1_3[[#This Row],[複評平均]]</f>
        <v>#DIV/0!</v>
      </c>
      <c r="P38" s="3"/>
      <c r="Q38" s="3"/>
      <c r="R38" s="3"/>
      <c r="S38" s="3"/>
      <c r="T38" s="3"/>
      <c r="U38" s="3"/>
      <c r="V38" s="3"/>
      <c r="W38" s="38">
        <v>76.959183673469383</v>
      </c>
      <c r="X38" s="2">
        <v>36</v>
      </c>
    </row>
    <row r="39" spans="1:24" hidden="1">
      <c r="A39" s="10" t="s">
        <v>335</v>
      </c>
      <c r="B39" s="5" t="s">
        <v>165</v>
      </c>
      <c r="C39" s="4" t="s">
        <v>38</v>
      </c>
      <c r="D39" s="6" t="s">
        <v>267</v>
      </c>
      <c r="E39" s="4" t="s">
        <v>286</v>
      </c>
      <c r="F39" s="4" t="s">
        <v>74</v>
      </c>
      <c r="G39" s="41" t="e">
        <f>表格1_16[[#This Row],[加權後總分]]-表格1_16[[#This Row],[獎懲分數]]</f>
        <v>#DIV/0!</v>
      </c>
      <c r="H3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39" s="39" t="e">
        <f t="shared" si="0"/>
        <v>#DIV/0!</v>
      </c>
      <c r="J39" s="36" t="e">
        <f t="shared" si="1"/>
        <v>#DIV/0!</v>
      </c>
      <c r="K39" s="8" t="e">
        <f t="shared" si="5"/>
        <v>#DIV/0!</v>
      </c>
      <c r="L39" s="8" t="e">
        <f t="shared" si="3"/>
        <v>#DIV/0!</v>
      </c>
      <c r="M39" s="8" t="e">
        <f>表格1_3[[#This Row],[部內平均]]</f>
        <v>#DIV/0!</v>
      </c>
      <c r="N39" s="8" t="e">
        <f>表格1_3[[#This Row],[共評平均]]</f>
        <v>#DIV/0!</v>
      </c>
      <c r="O39" s="8"/>
      <c r="P39" s="3"/>
      <c r="Q39" s="3"/>
      <c r="R39" s="3"/>
      <c r="S39" s="3"/>
      <c r="T39" s="3"/>
      <c r="U39" s="3"/>
      <c r="V39" s="3"/>
      <c r="W39" s="38">
        <v>76.816666666666663</v>
      </c>
      <c r="X39" s="2">
        <v>37</v>
      </c>
    </row>
    <row r="40" spans="1:24">
      <c r="A40" s="10" t="s">
        <v>335</v>
      </c>
      <c r="B40" s="5" t="s">
        <v>164</v>
      </c>
      <c r="C40" s="4" t="s">
        <v>37</v>
      </c>
      <c r="D40" s="6" t="s">
        <v>267</v>
      </c>
      <c r="E40" s="4" t="s">
        <v>285</v>
      </c>
      <c r="F40" s="4" t="s">
        <v>38</v>
      </c>
      <c r="G40" s="41" t="e">
        <f>表格1_16[[#This Row],[加權後總分]]-表格1_16[[#This Row],[獎懲分數]]</f>
        <v>#DIV/0!</v>
      </c>
      <c r="H4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0" s="39" t="e">
        <f t="shared" si="0"/>
        <v>#DIV/0!</v>
      </c>
      <c r="J40" s="36" t="e">
        <f t="shared" si="1"/>
        <v>#DIV/0!</v>
      </c>
      <c r="K40" s="8" t="e">
        <f t="shared" si="5"/>
        <v>#DIV/0!</v>
      </c>
      <c r="L40" s="8" t="e">
        <f t="shared" si="3"/>
        <v>#DIV/0!</v>
      </c>
      <c r="M40" s="8" t="e">
        <f>表格1_3[[#This Row],[部內平均]]</f>
        <v>#DIV/0!</v>
      </c>
      <c r="N40" s="8" t="e">
        <f>表格1_3[[#This Row],[共評平均]]</f>
        <v>#DIV/0!</v>
      </c>
      <c r="O40" s="8" t="e">
        <f>表格1_3[[#This Row],[複評平均]]</f>
        <v>#DIV/0!</v>
      </c>
      <c r="P40" s="3"/>
      <c r="Q40" s="3"/>
      <c r="R40" s="3"/>
      <c r="S40" s="3"/>
      <c r="T40" s="3"/>
      <c r="U40" s="3"/>
      <c r="V40" s="3"/>
      <c r="W40" s="38">
        <v>76.800000000000011</v>
      </c>
      <c r="X40" s="2">
        <v>38</v>
      </c>
    </row>
    <row r="41" spans="1:24" hidden="1">
      <c r="A41" s="10" t="s">
        <v>403</v>
      </c>
      <c r="B41" s="5" t="s">
        <v>166</v>
      </c>
      <c r="C41" s="13" t="s">
        <v>39</v>
      </c>
      <c r="D41" s="6" t="s">
        <v>267</v>
      </c>
      <c r="E41" s="4" t="s">
        <v>283</v>
      </c>
      <c r="F41" s="4" t="s">
        <v>93</v>
      </c>
      <c r="G41" s="41" t="e">
        <f>表格1_16[[#This Row],[加權後總分]]-表格1_16[[#This Row],[獎懲分數]]</f>
        <v>#DIV/0!</v>
      </c>
      <c r="H4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1" s="39" t="e">
        <f t="shared" si="0"/>
        <v>#DIV/0!</v>
      </c>
      <c r="J41" s="36" t="e">
        <f t="shared" si="1"/>
        <v>#DIV/0!</v>
      </c>
      <c r="K41" s="8" t="e">
        <f t="shared" si="5"/>
        <v>#DIV/0!</v>
      </c>
      <c r="L41" s="8" t="e">
        <f t="shared" si="3"/>
        <v>#DIV/0!</v>
      </c>
      <c r="M41" s="8" t="e">
        <f>表格1_3[[#This Row],[部內平均]]</f>
        <v>#DIV/0!</v>
      </c>
      <c r="N41" s="8"/>
      <c r="O41" s="8" t="e">
        <f>表格1_3[[#This Row],[複評平均]]</f>
        <v>#DIV/0!</v>
      </c>
      <c r="P41" s="3"/>
      <c r="Q41" s="3"/>
      <c r="R41" s="3"/>
      <c r="S41" s="3"/>
      <c r="T41" s="3"/>
      <c r="U41" s="3"/>
      <c r="V41" s="3"/>
      <c r="W41" s="38">
        <v>76.8</v>
      </c>
      <c r="X41" s="2">
        <v>39</v>
      </c>
    </row>
    <row r="42" spans="1:24">
      <c r="A42" s="10" t="s">
        <v>396</v>
      </c>
      <c r="B42" s="5" t="s">
        <v>167</v>
      </c>
      <c r="C42" s="4" t="s">
        <v>40</v>
      </c>
      <c r="D42" s="6" t="s">
        <v>267</v>
      </c>
      <c r="E42" s="4" t="s">
        <v>283</v>
      </c>
      <c r="F42" s="4" t="s">
        <v>38</v>
      </c>
      <c r="G42" s="41" t="e">
        <f>表格1_16[[#This Row],[加權後總分]]-表格1_16[[#This Row],[獎懲分數]]</f>
        <v>#DIV/0!</v>
      </c>
      <c r="H4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2" s="39" t="e">
        <f t="shared" si="0"/>
        <v>#DIV/0!</v>
      </c>
      <c r="J42" s="36" t="e">
        <f t="shared" si="1"/>
        <v>#DIV/0!</v>
      </c>
      <c r="K42" s="8" t="e">
        <f t="shared" si="5"/>
        <v>#DIV/0!</v>
      </c>
      <c r="L42" s="8" t="e">
        <f t="shared" si="3"/>
        <v>#DIV/0!</v>
      </c>
      <c r="M42" s="8" t="e">
        <f>表格1_3[[#This Row],[部內平均]]</f>
        <v>#DIV/0!</v>
      </c>
      <c r="N42" s="8"/>
      <c r="O42" s="8" t="e">
        <f>表格1_3[[#This Row],[複評平均]]</f>
        <v>#DIV/0!</v>
      </c>
      <c r="P42" s="3"/>
      <c r="Q42" s="3"/>
      <c r="R42" s="3"/>
      <c r="S42" s="3"/>
      <c r="T42" s="3"/>
      <c r="U42" s="3"/>
      <c r="V42" s="3"/>
      <c r="W42" s="38">
        <v>76.400000000000006</v>
      </c>
      <c r="X42" s="2">
        <v>40</v>
      </c>
    </row>
    <row r="43" spans="1:24">
      <c r="A43" s="10" t="s">
        <v>404</v>
      </c>
      <c r="B43" s="5" t="s">
        <v>168</v>
      </c>
      <c r="C43" s="4" t="s">
        <v>41</v>
      </c>
      <c r="D43" s="6" t="s">
        <v>267</v>
      </c>
      <c r="E43" s="4" t="s">
        <v>283</v>
      </c>
      <c r="F43" s="4" t="s">
        <v>38</v>
      </c>
      <c r="G43" s="41" t="e">
        <f>表格1_16[[#This Row],[加權後總分]]-表格1_16[[#This Row],[獎懲分數]]</f>
        <v>#DIV/0!</v>
      </c>
      <c r="H4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3" s="39" t="e">
        <f t="shared" si="0"/>
        <v>#DIV/0!</v>
      </c>
      <c r="J43" s="36" t="e">
        <f t="shared" si="1"/>
        <v>#DIV/0!</v>
      </c>
      <c r="K43" s="8" t="e">
        <f t="shared" si="5"/>
        <v>#DIV/0!</v>
      </c>
      <c r="L43" s="8" t="e">
        <f t="shared" si="3"/>
        <v>#DIV/0!</v>
      </c>
      <c r="M43" s="8" t="e">
        <f>表格1_3[[#This Row],[部內平均]]</f>
        <v>#DIV/0!</v>
      </c>
      <c r="N43" s="8"/>
      <c r="O43" s="8" t="e">
        <f>表格1_3[[#This Row],[複評平均]]</f>
        <v>#DIV/0!</v>
      </c>
      <c r="P43" s="3"/>
      <c r="Q43" s="3"/>
      <c r="R43" s="3"/>
      <c r="S43" s="3"/>
      <c r="T43" s="3"/>
      <c r="U43" s="3"/>
      <c r="V43" s="3"/>
      <c r="W43" s="38">
        <v>76.400000000000006</v>
      </c>
      <c r="X43" s="2">
        <v>41</v>
      </c>
    </row>
    <row r="44" spans="1:24" hidden="1">
      <c r="A44" s="10" t="s">
        <v>383</v>
      </c>
      <c r="B44" s="5" t="s">
        <v>169</v>
      </c>
      <c r="C44" s="4" t="s">
        <v>42</v>
      </c>
      <c r="D44" s="6" t="s">
        <v>268</v>
      </c>
      <c r="E44" s="4" t="s">
        <v>287</v>
      </c>
      <c r="F44" s="4" t="s">
        <v>120</v>
      </c>
      <c r="G44" s="41" t="e">
        <f>表格1_16[[#This Row],[加權後總分]]-表格1_16[[#This Row],[獎懲分數]]</f>
        <v>#DIV/0!</v>
      </c>
      <c r="H4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4" s="39" t="e">
        <f t="shared" si="0"/>
        <v>#DIV/0!</v>
      </c>
      <c r="J44" s="36" t="e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</f>
        <v>#DIV/0!</v>
      </c>
      <c r="K44" s="8" t="e">
        <f t="shared" si="5"/>
        <v>#DIV/0!</v>
      </c>
      <c r="L44" s="8" t="e">
        <f t="shared" si="3"/>
        <v>#DIV/0!</v>
      </c>
      <c r="M44" s="8" t="e">
        <f>表格1_3[[#This Row],[部內平均]]</f>
        <v>#DIV/0!</v>
      </c>
      <c r="N44" s="8" t="e">
        <f>表格1_3[[#This Row],[共評平均]]</f>
        <v>#DIV/0!</v>
      </c>
      <c r="O44" s="8">
        <v>76</v>
      </c>
      <c r="P44" s="3"/>
      <c r="Q44" s="3"/>
      <c r="R44" s="3"/>
      <c r="S44" s="3"/>
      <c r="T44" s="3"/>
      <c r="U44" s="3"/>
      <c r="V44" s="3"/>
      <c r="W44" s="38">
        <v>76</v>
      </c>
      <c r="X44" s="2">
        <v>42</v>
      </c>
    </row>
    <row r="45" spans="1:24" hidden="1">
      <c r="A45" s="10" t="s">
        <v>382</v>
      </c>
      <c r="B45" s="5" t="s">
        <v>171</v>
      </c>
      <c r="C45" s="4" t="s">
        <v>44</v>
      </c>
      <c r="D45" s="6" t="s">
        <v>268</v>
      </c>
      <c r="E45" s="4" t="s">
        <v>287</v>
      </c>
      <c r="F45" s="4" t="s">
        <v>120</v>
      </c>
      <c r="G45" s="41" t="e">
        <f>表格1_16[[#This Row],[加權後總分]]-表格1_16[[#This Row],[獎懲分數]]</f>
        <v>#DIV/0!</v>
      </c>
      <c r="H4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5" s="39" t="e">
        <f t="shared" si="0"/>
        <v>#DIV/0!</v>
      </c>
      <c r="J45" s="36" t="e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>#DIV/0!</v>
      </c>
      <c r="K45" s="8" t="e">
        <f t="shared" si="5"/>
        <v>#DIV/0!</v>
      </c>
      <c r="L45" s="8" t="e">
        <f t="shared" si="3"/>
        <v>#DIV/0!</v>
      </c>
      <c r="M45" s="8" t="e">
        <f>表格1_3[[#This Row],[部內平均]]</f>
        <v>#DIV/0!</v>
      </c>
      <c r="N45" s="8" t="e">
        <f>表格1_3[[#This Row],[共評平均]]</f>
        <v>#DIV/0!</v>
      </c>
      <c r="O45" s="8">
        <v>85</v>
      </c>
      <c r="P45" s="3"/>
      <c r="Q45" s="3"/>
      <c r="R45" s="3"/>
      <c r="S45" s="3"/>
      <c r="T45" s="3"/>
      <c r="U45" s="3"/>
      <c r="V45" s="3"/>
      <c r="W45" s="38">
        <v>76</v>
      </c>
      <c r="X45" s="2">
        <v>43</v>
      </c>
    </row>
    <row r="46" spans="1:24">
      <c r="A46" s="10" t="s">
        <v>380</v>
      </c>
      <c r="B46" s="5" t="s">
        <v>172</v>
      </c>
      <c r="C46" s="4" t="s">
        <v>45</v>
      </c>
      <c r="D46" s="6" t="s">
        <v>268</v>
      </c>
      <c r="E46" s="4" t="s">
        <v>288</v>
      </c>
      <c r="F46" s="4" t="s">
        <v>120</v>
      </c>
      <c r="G46" s="41" t="e">
        <f>表格1_16[[#This Row],[加權後總分]]</f>
        <v>#DIV/0!</v>
      </c>
      <c r="H4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6" s="39" t="e">
        <f t="shared" si="0"/>
        <v>#DIV/0!</v>
      </c>
      <c r="J46" s="36" t="e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)+表格1_16[[#This Row],[獎懲分數]]</f>
        <v>#DIV/0!</v>
      </c>
      <c r="K46" s="8" t="e">
        <f t="shared" si="5"/>
        <v>#DIV/0!</v>
      </c>
      <c r="L46" s="8" t="e">
        <f t="shared" si="3"/>
        <v>#DIV/0!</v>
      </c>
      <c r="M46" s="8" t="e">
        <f>表格1_3[[#This Row],[部內平均]]</f>
        <v>#DIV/0!</v>
      </c>
      <c r="N46" s="8" t="e">
        <f>表格1_3[[#This Row],[共評平均]]</f>
        <v>#DIV/0!</v>
      </c>
      <c r="O46" s="8">
        <v>77.2</v>
      </c>
      <c r="P46" s="3"/>
      <c r="Q46" s="3"/>
      <c r="R46" s="3"/>
      <c r="S46" s="3"/>
      <c r="T46" s="3"/>
      <c r="U46" s="3"/>
      <c r="V46" s="3">
        <v>-10</v>
      </c>
      <c r="W46" s="38">
        <v>75.900000000000006</v>
      </c>
      <c r="X46" s="2">
        <v>44</v>
      </c>
    </row>
    <row r="47" spans="1:24">
      <c r="A47" s="10" t="s">
        <v>380</v>
      </c>
      <c r="B47" s="5" t="s">
        <v>173</v>
      </c>
      <c r="C47" s="4" t="s">
        <v>46</v>
      </c>
      <c r="D47" s="6" t="s">
        <v>268</v>
      </c>
      <c r="E47" s="4" t="s">
        <v>287</v>
      </c>
      <c r="F47" s="4" t="s">
        <v>120</v>
      </c>
      <c r="G47" s="41" t="e">
        <f>表格1_16[[#This Row],[加權後總分]]-表格1_16[[#This Row],[獎懲分數]]</f>
        <v>#DIV/0!</v>
      </c>
      <c r="H4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7" s="39" t="e">
        <f t="shared" si="0"/>
        <v>#DIV/0!</v>
      </c>
      <c r="J47" s="36" t="e">
        <f t="shared" si="1"/>
        <v>#DIV/0!</v>
      </c>
      <c r="K47" s="8" t="e">
        <f t="shared" si="5"/>
        <v>#DIV/0!</v>
      </c>
      <c r="L47" s="8" t="e">
        <f t="shared" si="3"/>
        <v>#DIV/0!</v>
      </c>
      <c r="M47" s="8" t="e">
        <f>表格1_3[[#This Row],[部內平均]]</f>
        <v>#DIV/0!</v>
      </c>
      <c r="N47" s="8" t="e">
        <f>表格1_3[[#This Row],[共評平均]]</f>
        <v>#DIV/0!</v>
      </c>
      <c r="O47" s="8">
        <v>71</v>
      </c>
      <c r="P47" s="3"/>
      <c r="Q47" s="3"/>
      <c r="R47" s="3"/>
      <c r="S47" s="3"/>
      <c r="T47" s="3"/>
      <c r="U47" s="3"/>
      <c r="V47" s="3"/>
      <c r="W47" s="38">
        <v>75.849999999999994</v>
      </c>
      <c r="X47" s="2">
        <v>45</v>
      </c>
    </row>
    <row r="48" spans="1:24" hidden="1">
      <c r="A48" s="10" t="s">
        <v>392</v>
      </c>
      <c r="B48" s="5" t="s">
        <v>170</v>
      </c>
      <c r="C48" s="4" t="s">
        <v>43</v>
      </c>
      <c r="D48" s="6" t="s">
        <v>268</v>
      </c>
      <c r="E48" s="4" t="s">
        <v>287</v>
      </c>
      <c r="F48" s="4" t="s">
        <v>45</v>
      </c>
      <c r="G48" s="41"/>
      <c r="H48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48" s="39" t="e">
        <f t="shared" si="0"/>
        <v>#DIV/0!</v>
      </c>
      <c r="J48" s="36"/>
      <c r="K48" s="8"/>
      <c r="L48" s="8"/>
      <c r="M48" s="8" t="e">
        <f>表格1_3[[#This Row],[部內平均]]</f>
        <v>#DIV/0!</v>
      </c>
      <c r="N48" s="8" t="e">
        <f>表格1_3[[#This Row],[共評平均]]</f>
        <v>#DIV/0!</v>
      </c>
      <c r="O48" s="8" t="e">
        <f>表格1_3[[#This Row],[複評平均]]</f>
        <v>#DIV/0!</v>
      </c>
      <c r="P48" s="3"/>
      <c r="Q48" s="3"/>
      <c r="R48" s="3"/>
      <c r="S48" s="3"/>
      <c r="T48" s="3"/>
      <c r="U48" s="3"/>
      <c r="V48" s="3"/>
      <c r="W48" s="38">
        <v>75.8</v>
      </c>
      <c r="X48" s="2">
        <v>46</v>
      </c>
    </row>
    <row r="49" spans="1:24" ht="26">
      <c r="A49" s="10" t="s">
        <v>383</v>
      </c>
      <c r="B49" s="5" t="s">
        <v>175</v>
      </c>
      <c r="C49" s="4" t="s">
        <v>48</v>
      </c>
      <c r="D49" s="6" t="s">
        <v>269</v>
      </c>
      <c r="E49" s="4" t="s">
        <v>290</v>
      </c>
      <c r="F49" s="4" t="s">
        <v>53</v>
      </c>
      <c r="G49" s="41" t="e">
        <f>表格1_16[[#This Row],[加權後總分]]-表格1_16[[#This Row],[獎懲分數]]</f>
        <v>#DIV/0!</v>
      </c>
      <c r="H4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49" s="39" t="e">
        <f t="shared" si="0"/>
        <v>#DIV/0!</v>
      </c>
      <c r="J49" s="36" t="e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>#DIV/0!</v>
      </c>
      <c r="K49" s="8" t="e">
        <f>IF(J49&gt;=90,"A",
 IF(J49&gt;=77,"B",
 IF(J49&gt;=70,"C",
 IF(J49&gt;=60,"D","E"))))</f>
        <v>#DIV/0!</v>
      </c>
      <c r="L49" s="8" t="e">
        <f t="shared" si="3"/>
        <v>#DIV/0!</v>
      </c>
      <c r="M49" s="8" t="e">
        <f>表格1_3[[#This Row],[部內平均]]</f>
        <v>#DIV/0!</v>
      </c>
      <c r="N49" s="8" t="e">
        <f>表格1_3[[#This Row],[共評平均]]</f>
        <v>#DIV/0!</v>
      </c>
      <c r="O49" s="8" t="e">
        <f>表格1_3[[#This Row],[複評平均]]</f>
        <v>#DIV/0!</v>
      </c>
      <c r="P49" s="3"/>
      <c r="Q49" s="3"/>
      <c r="R49" s="3"/>
      <c r="S49" s="3"/>
      <c r="T49" s="3"/>
      <c r="U49" s="3"/>
      <c r="V49" s="3"/>
      <c r="W49" s="38">
        <v>75.8</v>
      </c>
      <c r="X49" s="2">
        <v>47</v>
      </c>
    </row>
    <row r="50" spans="1:24" hidden="1">
      <c r="A50" s="10" t="s">
        <v>390</v>
      </c>
      <c r="B50" s="5" t="s">
        <v>176</v>
      </c>
      <c r="C50" s="13" t="s">
        <v>49</v>
      </c>
      <c r="D50" s="6" t="s">
        <v>269</v>
      </c>
      <c r="E50" s="4" t="s">
        <v>283</v>
      </c>
      <c r="F50" s="4" t="s">
        <v>93</v>
      </c>
      <c r="G50" s="41" t="e">
        <f>表格1_16[[#This Row],[加權後總分]]-表格1_16[[#This Row],[獎懲分數]]</f>
        <v>#DIV/0!</v>
      </c>
      <c r="H5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0" s="39" t="e">
        <f t="shared" si="0"/>
        <v>#DIV/0!</v>
      </c>
      <c r="J50" s="36" t="e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>#DIV/0!</v>
      </c>
      <c r="K50" s="8" t="e">
        <f t="shared" ref="K50:K52" si="6">IF(J50&gt;=90,"A",
 IF(J50&gt;=77,"B",
 IF(J50&gt;=70,"C",
 IF(J50&gt;=60,"D","E"))))</f>
        <v>#DIV/0!</v>
      </c>
      <c r="L50" s="8" t="e">
        <f t="shared" si="3"/>
        <v>#DIV/0!</v>
      </c>
      <c r="M50" s="8" t="e">
        <f>表格1_3[[#This Row],[部內平均]]</f>
        <v>#DIV/0!</v>
      </c>
      <c r="N50" s="8" t="e">
        <f>表格1_3[[#This Row],[共評平均]]</f>
        <v>#DIV/0!</v>
      </c>
      <c r="O50" s="8" t="e">
        <f>表格1_3[[#This Row],[複評平均]]</f>
        <v>#DIV/0!</v>
      </c>
      <c r="P50" s="3"/>
      <c r="Q50" s="3"/>
      <c r="R50" s="3"/>
      <c r="S50" s="3"/>
      <c r="T50" s="3"/>
      <c r="U50" s="3"/>
      <c r="V50" s="3"/>
      <c r="W50" s="38">
        <v>75.7</v>
      </c>
      <c r="X50" s="2">
        <v>48</v>
      </c>
    </row>
    <row r="51" spans="1:24">
      <c r="A51" s="10" t="s">
        <v>338</v>
      </c>
      <c r="B51" s="5" t="s">
        <v>177</v>
      </c>
      <c r="C51" s="4" t="s">
        <v>50</v>
      </c>
      <c r="D51" s="6" t="s">
        <v>269</v>
      </c>
      <c r="E51" s="4" t="s">
        <v>291</v>
      </c>
      <c r="F51" s="4" t="s">
        <v>53</v>
      </c>
      <c r="G51" s="41" t="e">
        <f>表格1_16[[#This Row],[加權後總分]]-表格1_16[[#This Row],[獎懲分數]]</f>
        <v>#DIV/0!</v>
      </c>
      <c r="H5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1" s="39" t="e">
        <f t="shared" si="0"/>
        <v>#DIV/0!</v>
      </c>
      <c r="J51" s="36" t="e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>#DIV/0!</v>
      </c>
      <c r="K51" s="8" t="e">
        <f t="shared" si="6"/>
        <v>#DIV/0!</v>
      </c>
      <c r="L51" s="8" t="e">
        <f t="shared" si="3"/>
        <v>#DIV/0!</v>
      </c>
      <c r="M51" s="8" t="e">
        <f>表格1_3[[#This Row],[部內平均]]</f>
        <v>#DIV/0!</v>
      </c>
      <c r="N51" s="8" t="e">
        <f>表格1_3[[#This Row],[共評平均]]</f>
        <v>#DIV/0!</v>
      </c>
      <c r="O51" s="8" t="e">
        <f>表格1_3[[#This Row],[複評平均]]</f>
        <v>#DIV/0!</v>
      </c>
      <c r="P51" s="3"/>
      <c r="Q51" s="3"/>
      <c r="R51" s="3"/>
      <c r="S51" s="3"/>
      <c r="T51" s="3"/>
      <c r="U51" s="3"/>
      <c r="V51" s="3"/>
      <c r="W51" s="38">
        <v>75.599999999999994</v>
      </c>
      <c r="X51" s="2">
        <v>49</v>
      </c>
    </row>
    <row r="52" spans="1:24">
      <c r="A52" s="10" t="s">
        <v>337</v>
      </c>
      <c r="B52" s="5" t="s">
        <v>174</v>
      </c>
      <c r="C52" s="4" t="s">
        <v>47</v>
      </c>
      <c r="D52" s="6" t="s">
        <v>269</v>
      </c>
      <c r="E52" s="4" t="s">
        <v>289</v>
      </c>
      <c r="F52" s="4" t="s">
        <v>53</v>
      </c>
      <c r="G52" s="41" t="e">
        <f>表格1_16[[#This Row],[加權後總分]]-表格1_16[[#This Row],[獎懲分數]]</f>
        <v>#DIV/0!</v>
      </c>
      <c r="H5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2" s="39" t="e">
        <f t="shared" si="0"/>
        <v>#DIV/0!</v>
      </c>
      <c r="J52" s="36" t="e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>#DIV/0!</v>
      </c>
      <c r="K52" s="8" t="e">
        <f t="shared" si="6"/>
        <v>#DIV/0!</v>
      </c>
      <c r="L52" s="8" t="e">
        <f t="shared" si="3"/>
        <v>#DIV/0!</v>
      </c>
      <c r="M52" s="8" t="e">
        <f>表格1_3[[#This Row],[部內平均]]</f>
        <v>#DIV/0!</v>
      </c>
      <c r="N52" s="8" t="e">
        <f>表格1_3[[#This Row],[共評平均]]</f>
        <v>#DIV/0!</v>
      </c>
      <c r="O52" s="8" t="e">
        <f>表格1_3[[#This Row],[複評平均]]</f>
        <v>#DIV/0!</v>
      </c>
      <c r="P52" s="3"/>
      <c r="Q52" s="3"/>
      <c r="R52" s="3"/>
      <c r="S52" s="3"/>
      <c r="T52" s="3"/>
      <c r="U52" s="3"/>
      <c r="V52" s="3"/>
      <c r="W52" s="38">
        <v>75.199999999999989</v>
      </c>
      <c r="X52" s="2">
        <v>50</v>
      </c>
    </row>
    <row r="53" spans="1:24" hidden="1">
      <c r="A53" s="10" t="s">
        <v>387</v>
      </c>
      <c r="B53" s="5" t="s">
        <v>316</v>
      </c>
      <c r="C53" s="9" t="s">
        <v>317</v>
      </c>
      <c r="D53" s="6" t="s">
        <v>269</v>
      </c>
      <c r="E53" s="4" t="s">
        <v>327</v>
      </c>
      <c r="F53" s="4" t="s">
        <v>53</v>
      </c>
      <c r="G53" s="41"/>
      <c r="H53" s="39"/>
      <c r="I53" s="39"/>
      <c r="J53" s="36"/>
      <c r="K53" s="8"/>
      <c r="L53" s="8"/>
      <c r="M53" s="8" t="e">
        <f>表格1_3[[#This Row],[部內平均]]</f>
        <v>#DIV/0!</v>
      </c>
      <c r="N53" s="8" t="e">
        <f>表格1_3[[#This Row],[共評平均]]</f>
        <v>#DIV/0!</v>
      </c>
      <c r="O53" s="8" t="e">
        <f>表格1_3[[#This Row],[複評平均]]</f>
        <v>#DIV/0!</v>
      </c>
      <c r="P53" s="3"/>
      <c r="Q53" s="3"/>
      <c r="R53" s="3"/>
      <c r="S53" s="3"/>
      <c r="T53" s="3"/>
      <c r="U53" s="3"/>
      <c r="V53" s="3"/>
      <c r="W53" s="38">
        <v>75.099999999999994</v>
      </c>
      <c r="X53" s="2">
        <v>51</v>
      </c>
    </row>
    <row r="54" spans="1:24" hidden="1">
      <c r="A54" s="10" t="s">
        <v>339</v>
      </c>
      <c r="B54" s="5" t="s">
        <v>178</v>
      </c>
      <c r="C54" s="4" t="s">
        <v>51</v>
      </c>
      <c r="D54" s="6" t="s">
        <v>269</v>
      </c>
      <c r="E54" s="4" t="s">
        <v>5</v>
      </c>
      <c r="F54" s="4" t="s">
        <v>120</v>
      </c>
      <c r="G54" s="41" t="e">
        <f>表格1_16[[#This Row],[加權後總分]]-表格1_16[[#This Row],[獎懲分數]]</f>
        <v>#DIV/0!</v>
      </c>
      <c r="H5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4" s="39" t="e">
        <f t="shared" si="0"/>
        <v>#DIV/0!</v>
      </c>
      <c r="J54" s="36" t="e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>#DIV/0!</v>
      </c>
      <c r="K54" s="8" t="e">
        <f>IF(J54&gt;=90,"A",
 IF(J54&gt;=77,"B",
 IF(J54&gt;=70,"C",
 IF(J54&gt;=60,"D","E"))))</f>
        <v>#DIV/0!</v>
      </c>
      <c r="L54" s="8" t="e">
        <f t="shared" si="3"/>
        <v>#DIV/0!</v>
      </c>
      <c r="M54" s="8" t="e">
        <f>表格1_3[[#This Row],[部內平均]]</f>
        <v>#DIV/0!</v>
      </c>
      <c r="N54" s="8" t="e">
        <f>表格1_3[[#This Row],[共評平均]]</f>
        <v>#DIV/0!</v>
      </c>
      <c r="O54" s="8"/>
      <c r="P54" s="3"/>
      <c r="Q54" s="3"/>
      <c r="R54" s="3"/>
      <c r="S54" s="3">
        <v>2</v>
      </c>
      <c r="T54" s="3"/>
      <c r="U54" s="3"/>
      <c r="V54" s="3">
        <v>-6</v>
      </c>
      <c r="W54" s="38">
        <v>74.826666666666668</v>
      </c>
      <c r="X54" s="2">
        <v>52</v>
      </c>
    </row>
    <row r="55" spans="1:24" hidden="1">
      <c r="A55" s="10" t="s">
        <v>340</v>
      </c>
      <c r="B55" s="5" t="s">
        <v>182</v>
      </c>
      <c r="C55" s="4" t="s">
        <v>55</v>
      </c>
      <c r="D55" s="6" t="s">
        <v>269</v>
      </c>
      <c r="E55" s="4" t="s">
        <v>5</v>
      </c>
      <c r="F55" s="4" t="s">
        <v>53</v>
      </c>
      <c r="G55" s="41" t="e">
        <f>表格1_16[[#This Row],[加權後總分]]-表格1_16[[#This Row],[獎懲分數]]</f>
        <v>#DIV/0!</v>
      </c>
      <c r="H5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5" s="39" t="e">
        <f t="shared" si="0"/>
        <v>#DIV/0!</v>
      </c>
      <c r="J55" s="36" t="e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>#DIV/0!</v>
      </c>
      <c r="K55" s="8" t="e">
        <f t="shared" ref="K55:K56" si="7">IF(J55&gt;=90,"A",
 IF(J55&gt;=77,"B",
 IF(J55&gt;=70,"C",
 IF(J55&gt;=60,"D","E"))))</f>
        <v>#DIV/0!</v>
      </c>
      <c r="L55" s="8" t="e">
        <f t="shared" si="3"/>
        <v>#DIV/0!</v>
      </c>
      <c r="M55" s="8" t="e">
        <f>表格1_3[[#This Row],[部內平均]]</f>
        <v>#DIV/0!</v>
      </c>
      <c r="N55" s="8" t="e">
        <f>表格1_3[[#This Row],[共評平均]]</f>
        <v>#DIV/0!</v>
      </c>
      <c r="O55" s="8"/>
      <c r="P55" s="3"/>
      <c r="Q55" s="3"/>
      <c r="R55" s="3"/>
      <c r="S55" s="3"/>
      <c r="T55" s="3"/>
      <c r="U55" s="3"/>
      <c r="V55" s="3"/>
      <c r="W55" s="38">
        <v>74.8</v>
      </c>
      <c r="X55" s="2">
        <v>53</v>
      </c>
    </row>
    <row r="56" spans="1:24" hidden="1">
      <c r="A56" s="10" t="s">
        <v>341</v>
      </c>
      <c r="B56" s="5" t="s">
        <v>181</v>
      </c>
      <c r="C56" s="4" t="s">
        <v>54</v>
      </c>
      <c r="D56" s="6" t="s">
        <v>269</v>
      </c>
      <c r="E56" s="4" t="s">
        <v>281</v>
      </c>
      <c r="F56" s="4" t="s">
        <v>53</v>
      </c>
      <c r="G56" s="41" t="e">
        <f>表格1_16[[#This Row],[加權後總分]]-表格1_16[[#This Row],[獎懲分數]]</f>
        <v>#DIV/0!</v>
      </c>
      <c r="H5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6" s="39" t="e">
        <f t="shared" si="0"/>
        <v>#DIV/0!</v>
      </c>
      <c r="J56" s="36" t="e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>#DIV/0!</v>
      </c>
      <c r="K56" s="8" t="e">
        <f t="shared" si="7"/>
        <v>#DIV/0!</v>
      </c>
      <c r="L56" s="8" t="e">
        <f t="shared" si="3"/>
        <v>#DIV/0!</v>
      </c>
      <c r="M56" s="8" t="e">
        <f>表格1_3[[#This Row],[部內平均]]</f>
        <v>#DIV/0!</v>
      </c>
      <c r="N56" s="8" t="e">
        <f>表格1_3[[#This Row],[共評平均]]</f>
        <v>#DIV/0!</v>
      </c>
      <c r="O56" s="8"/>
      <c r="P56" s="3"/>
      <c r="Q56" s="3"/>
      <c r="R56" s="3"/>
      <c r="S56" s="3"/>
      <c r="T56" s="3"/>
      <c r="U56" s="3"/>
      <c r="V56" s="3"/>
      <c r="W56" s="38">
        <v>74.733333333333334</v>
      </c>
      <c r="X56" s="2">
        <v>54</v>
      </c>
    </row>
    <row r="57" spans="1:24" hidden="1">
      <c r="A57" s="10" t="s">
        <v>388</v>
      </c>
      <c r="B57" s="5" t="s">
        <v>179</v>
      </c>
      <c r="C57" s="4" t="s">
        <v>52</v>
      </c>
      <c r="D57" s="6" t="s">
        <v>269</v>
      </c>
      <c r="E57" s="4" t="s">
        <v>285</v>
      </c>
      <c r="F57" s="4" t="s">
        <v>55</v>
      </c>
      <c r="G57" s="41"/>
      <c r="H57" s="39"/>
      <c r="I57" s="39"/>
      <c r="J57" s="36"/>
      <c r="K57" s="8"/>
      <c r="L57" s="8"/>
      <c r="M57" s="8" t="e">
        <f>表格1_3[[#This Row],[部內平均]]</f>
        <v>#DIV/0!</v>
      </c>
      <c r="N57" s="8" t="e">
        <f>表格1_3[[#This Row],[共評平均]]</f>
        <v>#DIV/0!</v>
      </c>
      <c r="O57" s="8"/>
      <c r="P57" s="3"/>
      <c r="Q57" s="3"/>
      <c r="R57" s="3"/>
      <c r="S57" s="3"/>
      <c r="T57" s="3"/>
      <c r="U57" s="3"/>
      <c r="V57" s="3"/>
      <c r="W57" s="38">
        <v>74.7</v>
      </c>
      <c r="X57" s="2">
        <v>55</v>
      </c>
    </row>
    <row r="58" spans="1:24" hidden="1">
      <c r="A58" s="10" t="s">
        <v>342</v>
      </c>
      <c r="B58" s="5" t="s">
        <v>180</v>
      </c>
      <c r="C58" s="4" t="s">
        <v>53</v>
      </c>
      <c r="D58" s="6" t="s">
        <v>269</v>
      </c>
      <c r="E58" s="4" t="s">
        <v>292</v>
      </c>
      <c r="F58" s="4" t="s">
        <v>119</v>
      </c>
      <c r="G58" s="41" t="e">
        <f>表格1_16[[#This Row],[加權後總分]]-表格1_16[[#This Row],[獎懲分數]]</f>
        <v>#DIV/0!</v>
      </c>
      <c r="H5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8" s="39" t="e">
        <f t="shared" si="0"/>
        <v>#DIV/0!</v>
      </c>
      <c r="J58" s="36" t="e">
        <f t="shared" ref="J58:J95" si="8"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>#DIV/0!</v>
      </c>
      <c r="K58" s="8" t="e">
        <f>IF(J58&gt;=90,"A",
 IF(J58&gt;=77,"B",
 IF(J58&gt;=70,"C",
 IF(J58&gt;=60,"D","E"))))</f>
        <v>#DIV/0!</v>
      </c>
      <c r="L58" s="8" t="e">
        <f t="shared" si="3"/>
        <v>#DIV/0!</v>
      </c>
      <c r="M58" s="8" t="e">
        <f>表格1_3[[#This Row],[部內平均]]</f>
        <v>#DIV/0!</v>
      </c>
      <c r="N58" s="8" t="e">
        <f>表格1_3[[#This Row],[共評平均]]</f>
        <v>#DIV/0!</v>
      </c>
      <c r="O58" s="8">
        <v>80</v>
      </c>
      <c r="P58" s="3"/>
      <c r="Q58" s="3"/>
      <c r="R58" s="3"/>
      <c r="S58" s="3"/>
      <c r="T58" s="3"/>
      <c r="U58" s="3"/>
      <c r="V58" s="3"/>
      <c r="W58" s="38">
        <v>74.599999999999994</v>
      </c>
      <c r="X58" s="2">
        <v>56</v>
      </c>
    </row>
    <row r="59" spans="1:24" hidden="1">
      <c r="A59" s="10" t="s">
        <v>383</v>
      </c>
      <c r="B59" s="5" t="s">
        <v>189</v>
      </c>
      <c r="C59" s="13" t="s">
        <v>62</v>
      </c>
      <c r="D59" s="6" t="s">
        <v>269</v>
      </c>
      <c r="E59" s="4" t="s">
        <v>293</v>
      </c>
      <c r="F59" s="4" t="s">
        <v>53</v>
      </c>
      <c r="G59" s="41" t="e">
        <f>表格1_16[[#This Row],[加權後總分]]-表格1_16[[#This Row],[獎懲分數]]</f>
        <v>#DIV/0!</v>
      </c>
      <c r="H5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59" s="39" t="e">
        <f t="shared" si="0"/>
        <v>#DIV/0!</v>
      </c>
      <c r="J59" s="36" t="e">
        <f t="shared" si="8"/>
        <v>#DIV/0!</v>
      </c>
      <c r="K59" s="8" t="e">
        <f t="shared" ref="K59:K74" si="9">IF(J59&gt;=90,"A",
 IF(J59&gt;=77,"B",
 IF(J59&gt;=70,"C",
 IF(J59&gt;=60,"D","E"))))</f>
        <v>#DIV/0!</v>
      </c>
      <c r="L59" s="8" t="e">
        <f t="shared" si="3"/>
        <v>#DIV/0!</v>
      </c>
      <c r="M59" s="8" t="e">
        <f>表格1_3[[#This Row],[部內平均]]</f>
        <v>#DIV/0!</v>
      </c>
      <c r="N59" s="8" t="e">
        <f>表格1_3[[#This Row],[共評平均]]</f>
        <v>#DIV/0!</v>
      </c>
      <c r="O59" s="8" t="e">
        <f>表格1_3[[#This Row],[複評平均]]</f>
        <v>#DIV/0!</v>
      </c>
      <c r="P59" s="3"/>
      <c r="Q59" s="3"/>
      <c r="R59" s="3"/>
      <c r="S59" s="3"/>
      <c r="T59" s="3"/>
      <c r="U59" s="3"/>
      <c r="V59" s="3"/>
      <c r="W59" s="38">
        <v>74.400000000000006</v>
      </c>
      <c r="X59" s="2">
        <v>57</v>
      </c>
    </row>
    <row r="60" spans="1:24">
      <c r="A60" s="10" t="s">
        <v>386</v>
      </c>
      <c r="B60" s="5" t="s">
        <v>187</v>
      </c>
      <c r="C60" s="4" t="s">
        <v>60</v>
      </c>
      <c r="D60" s="6" t="s">
        <v>269</v>
      </c>
      <c r="E60" s="4" t="s">
        <v>283</v>
      </c>
      <c r="F60" s="4" t="s">
        <v>53</v>
      </c>
      <c r="G60" s="41" t="e">
        <f>表格1_16[[#This Row],[加權後總分]]-表格1_16[[#This Row],[獎懲分數]]</f>
        <v>#DIV/0!</v>
      </c>
      <c r="H6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0" s="39" t="e">
        <f t="shared" si="0"/>
        <v>#DIV/0!</v>
      </c>
      <c r="J60" s="36" t="e">
        <f t="shared" si="8"/>
        <v>#DIV/0!</v>
      </c>
      <c r="K60" s="8" t="e">
        <f t="shared" si="9"/>
        <v>#DIV/0!</v>
      </c>
      <c r="L60" s="8" t="e">
        <f t="shared" si="3"/>
        <v>#DIV/0!</v>
      </c>
      <c r="M60" s="8" t="e">
        <f>表格1_3[[#This Row],[部內平均]]</f>
        <v>#DIV/0!</v>
      </c>
      <c r="N60" s="8" t="e">
        <f>表格1_3[[#This Row],[共評平均]]</f>
        <v>#DIV/0!</v>
      </c>
      <c r="O60" s="8" t="e">
        <f>表格1_3[[#This Row],[複評平均]]</f>
        <v>#DIV/0!</v>
      </c>
      <c r="P60" s="3"/>
      <c r="Q60" s="3"/>
      <c r="R60" s="3"/>
      <c r="S60" s="3"/>
      <c r="T60" s="3"/>
      <c r="U60" s="3"/>
      <c r="V60" s="3"/>
      <c r="W60" s="38">
        <v>74.2</v>
      </c>
      <c r="X60" s="2">
        <v>58</v>
      </c>
    </row>
    <row r="61" spans="1:24" hidden="1">
      <c r="A61" s="10" t="s">
        <v>382</v>
      </c>
      <c r="B61" s="5" t="s">
        <v>188</v>
      </c>
      <c r="C61" s="13" t="s">
        <v>61</v>
      </c>
      <c r="D61" s="6" t="s">
        <v>269</v>
      </c>
      <c r="E61" s="4" t="s">
        <v>283</v>
      </c>
      <c r="F61" s="4" t="s">
        <v>53</v>
      </c>
      <c r="G61" s="41" t="e">
        <f>表格1_16[[#This Row],[加權後總分]]-表格1_16[[#This Row],[獎懲分數]]</f>
        <v>#DIV/0!</v>
      </c>
      <c r="H6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1" s="39" t="e">
        <f t="shared" si="0"/>
        <v>#DIV/0!</v>
      </c>
      <c r="J61" s="36" t="e">
        <f t="shared" si="8"/>
        <v>#DIV/0!</v>
      </c>
      <c r="K61" s="8" t="e">
        <f t="shared" si="9"/>
        <v>#DIV/0!</v>
      </c>
      <c r="L61" s="8" t="e">
        <f t="shared" si="3"/>
        <v>#DIV/0!</v>
      </c>
      <c r="M61" s="8" t="e">
        <f>表格1_3[[#This Row],[部內平均]]</f>
        <v>#DIV/0!</v>
      </c>
      <c r="N61" s="8" t="e">
        <f>表格1_3[[#This Row],[共評平均]]</f>
        <v>#DIV/0!</v>
      </c>
      <c r="O61" s="8" t="e">
        <f>表格1_3[[#This Row],[複評平均]]</f>
        <v>#DIV/0!</v>
      </c>
      <c r="P61" s="3"/>
      <c r="Q61" s="3"/>
      <c r="R61" s="3"/>
      <c r="S61" s="3"/>
      <c r="T61" s="3"/>
      <c r="U61" s="3"/>
      <c r="V61" s="3"/>
      <c r="W61" s="38">
        <v>74.199999999999989</v>
      </c>
      <c r="X61" s="2">
        <v>59</v>
      </c>
    </row>
    <row r="62" spans="1:24" hidden="1">
      <c r="A62" s="10" t="s">
        <v>385</v>
      </c>
      <c r="B62" s="5" t="s">
        <v>183</v>
      </c>
      <c r="C62" s="14" t="s">
        <v>56</v>
      </c>
      <c r="D62" s="6" t="s">
        <v>269</v>
      </c>
      <c r="E62" s="4" t="s">
        <v>283</v>
      </c>
      <c r="F62" s="4" t="s">
        <v>53</v>
      </c>
      <c r="G62" s="41" t="e">
        <f>表格1_16[[#This Row],[加權後總分]]-表格1_16[[#This Row],[獎懲分數]]</f>
        <v>#DIV/0!</v>
      </c>
      <c r="H6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2" s="39" t="e">
        <f t="shared" si="0"/>
        <v>#DIV/0!</v>
      </c>
      <c r="J62" s="36" t="e">
        <f t="shared" si="8"/>
        <v>#DIV/0!</v>
      </c>
      <c r="K62" s="8" t="e">
        <f t="shared" si="9"/>
        <v>#DIV/0!</v>
      </c>
      <c r="L62" s="8" t="e">
        <f t="shared" si="3"/>
        <v>#DIV/0!</v>
      </c>
      <c r="M62" s="8" t="e">
        <f>表格1_3[[#This Row],[部內平均]]</f>
        <v>#DIV/0!</v>
      </c>
      <c r="N62" s="8" t="e">
        <f>表格1_3[[#This Row],[共評平均]]</f>
        <v>#DIV/0!</v>
      </c>
      <c r="O62" s="8" t="e">
        <f>表格1_3[[#This Row],[複評平均]]</f>
        <v>#DIV/0!</v>
      </c>
      <c r="P62" s="3"/>
      <c r="Q62" s="3"/>
      <c r="R62" s="3"/>
      <c r="S62" s="3">
        <v>2</v>
      </c>
      <c r="T62" s="3"/>
      <c r="U62" s="3"/>
      <c r="V62" s="3">
        <v>-6</v>
      </c>
      <c r="W62" s="38">
        <v>74</v>
      </c>
      <c r="X62" s="2">
        <v>60</v>
      </c>
    </row>
    <row r="63" spans="1:24" hidden="1">
      <c r="A63" s="10" t="s">
        <v>389</v>
      </c>
      <c r="B63" s="5" t="s">
        <v>184</v>
      </c>
      <c r="C63" s="13" t="s">
        <v>57</v>
      </c>
      <c r="D63" s="6" t="s">
        <v>269</v>
      </c>
      <c r="E63" s="4" t="s">
        <v>283</v>
      </c>
      <c r="F63" s="4" t="s">
        <v>53</v>
      </c>
      <c r="G63" s="41" t="e">
        <f>表格1_16[[#This Row],[加權後總分]]-表格1_16[[#This Row],[獎懲分數]]</f>
        <v>#DIV/0!</v>
      </c>
      <c r="H6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3" s="39" t="e">
        <f t="shared" si="0"/>
        <v>#DIV/0!</v>
      </c>
      <c r="J63" s="36" t="e">
        <f t="shared" si="8"/>
        <v>#DIV/0!</v>
      </c>
      <c r="K63" s="8" t="e">
        <f t="shared" si="9"/>
        <v>#DIV/0!</v>
      </c>
      <c r="L63" s="8" t="e">
        <f t="shared" si="3"/>
        <v>#DIV/0!</v>
      </c>
      <c r="M63" s="8" t="e">
        <f>表格1_3[[#This Row],[部內平均]]</f>
        <v>#DIV/0!</v>
      </c>
      <c r="N63" s="8" t="e">
        <f>表格1_3[[#This Row],[共評平均]]</f>
        <v>#DIV/0!</v>
      </c>
      <c r="O63" s="8" t="e">
        <f>表格1_3[[#This Row],[複評平均]]</f>
        <v>#DIV/0!</v>
      </c>
      <c r="P63" s="3"/>
      <c r="Q63" s="3"/>
      <c r="R63" s="3"/>
      <c r="S63" s="3">
        <v>1</v>
      </c>
      <c r="T63" s="3"/>
      <c r="U63" s="3"/>
      <c r="V63" s="3">
        <v>-3</v>
      </c>
      <c r="W63" s="38">
        <v>73.800000000000011</v>
      </c>
      <c r="X63" s="2">
        <v>61</v>
      </c>
    </row>
    <row r="64" spans="1:24">
      <c r="A64" s="10" t="s">
        <v>340</v>
      </c>
      <c r="B64" s="5" t="s">
        <v>185</v>
      </c>
      <c r="C64" s="4" t="s">
        <v>58</v>
      </c>
      <c r="D64" s="6" t="s">
        <v>269</v>
      </c>
      <c r="E64" s="4" t="s">
        <v>285</v>
      </c>
      <c r="F64" s="4" t="s">
        <v>53</v>
      </c>
      <c r="G64" s="41" t="e">
        <f>表格1_16[[#This Row],[加權後總分]]-表格1_16[[#This Row],[獎懲分數]]</f>
        <v>#DIV/0!</v>
      </c>
      <c r="H6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4" s="39" t="e">
        <f t="shared" si="0"/>
        <v>#DIV/0!</v>
      </c>
      <c r="J64" s="36" t="e">
        <f t="shared" si="8"/>
        <v>#DIV/0!</v>
      </c>
      <c r="K64" s="8" t="e">
        <f t="shared" si="9"/>
        <v>#DIV/0!</v>
      </c>
      <c r="L64" s="8" t="e">
        <f t="shared" si="3"/>
        <v>#DIV/0!</v>
      </c>
      <c r="M64" s="8" t="e">
        <f>表格1_3[[#This Row],[部內平均]]</f>
        <v>#DIV/0!</v>
      </c>
      <c r="N64" s="8" t="e">
        <f>表格1_3[[#This Row],[共評平均]]</f>
        <v>#DIV/0!</v>
      </c>
      <c r="O64" s="8" t="e">
        <f>表格1_3[[#This Row],[複評平均]]</f>
        <v>#DIV/0!</v>
      </c>
      <c r="P64" s="3"/>
      <c r="Q64" s="3"/>
      <c r="R64" s="3"/>
      <c r="S64" s="3"/>
      <c r="T64" s="3"/>
      <c r="U64" s="3"/>
      <c r="V64" s="3"/>
      <c r="W64" s="38">
        <v>73.8</v>
      </c>
      <c r="X64" s="2">
        <v>62</v>
      </c>
    </row>
    <row r="65" spans="1:24" hidden="1">
      <c r="A65" s="10" t="s">
        <v>337</v>
      </c>
      <c r="B65" s="5" t="s">
        <v>186</v>
      </c>
      <c r="C65" s="4" t="s">
        <v>59</v>
      </c>
      <c r="D65" s="6" t="s">
        <v>269</v>
      </c>
      <c r="E65" s="4" t="s">
        <v>293</v>
      </c>
      <c r="F65" s="4" t="s">
        <v>55</v>
      </c>
      <c r="G65" s="41" t="e">
        <f>表格1_16[[#This Row],[加權後總分]]-表格1_16[[#This Row],[獎懲分數]]</f>
        <v>#DIV/0!</v>
      </c>
      <c r="H6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5" s="39" t="e">
        <f t="shared" si="0"/>
        <v>#DIV/0!</v>
      </c>
      <c r="J65" s="36" t="e">
        <f t="shared" si="8"/>
        <v>#DIV/0!</v>
      </c>
      <c r="K65" s="8" t="e">
        <f t="shared" si="9"/>
        <v>#DIV/0!</v>
      </c>
      <c r="L65" s="8" t="e">
        <f t="shared" si="3"/>
        <v>#DIV/0!</v>
      </c>
      <c r="M65" s="8" t="e">
        <f>表格1_3[[#This Row],[部內平均]]</f>
        <v>#DIV/0!</v>
      </c>
      <c r="N65" s="8" t="e">
        <f>表格1_3[[#This Row],[共評平均]]</f>
        <v>#DIV/0!</v>
      </c>
      <c r="O65" s="8" t="e">
        <f>表格1_3[[#This Row],[複評平均]]</f>
        <v>#DIV/0!</v>
      </c>
      <c r="P65" s="3"/>
      <c r="Q65" s="3"/>
      <c r="R65" s="3"/>
      <c r="S65" s="3"/>
      <c r="T65" s="3"/>
      <c r="U65" s="3"/>
      <c r="V65" s="3"/>
      <c r="W65" s="38">
        <v>73.599999999999994</v>
      </c>
      <c r="X65" s="2">
        <v>63</v>
      </c>
    </row>
    <row r="66" spans="1:24" hidden="1">
      <c r="A66" s="10" t="s">
        <v>405</v>
      </c>
      <c r="B66" s="5" t="s">
        <v>196</v>
      </c>
      <c r="C66" s="4" t="s">
        <v>69</v>
      </c>
      <c r="D66" s="6" t="s">
        <v>270</v>
      </c>
      <c r="E66" s="4" t="s">
        <v>5</v>
      </c>
      <c r="F66" s="4" t="s">
        <v>77</v>
      </c>
      <c r="G66" s="41" t="e">
        <f>表格1_16[[#This Row],[加權後總分]]-表格1_16[[#This Row],[獎懲分數]]</f>
        <v>#DIV/0!</v>
      </c>
      <c r="H6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6" s="39" t="e">
        <f t="shared" si="0"/>
        <v>#DIV/0!</v>
      </c>
      <c r="J66" s="36" t="e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>#DIV/0!</v>
      </c>
      <c r="K66" s="8" t="e">
        <f t="shared" si="9"/>
        <v>#DIV/0!</v>
      </c>
      <c r="L66" s="8" t="e">
        <f t="shared" si="3"/>
        <v>#DIV/0!</v>
      </c>
      <c r="M66" s="8" t="e">
        <f>表格1_3[[#This Row],[部內平均]]</f>
        <v>#DIV/0!</v>
      </c>
      <c r="N66" s="8" t="e">
        <f>表格1_3[[#This Row],[共評平均]]</f>
        <v>#DIV/0!</v>
      </c>
      <c r="O66" s="8"/>
      <c r="P66" s="3"/>
      <c r="Q66" s="3"/>
      <c r="R66" s="3"/>
      <c r="S66" s="3"/>
      <c r="T66" s="3"/>
      <c r="U66" s="3"/>
      <c r="V66" s="3"/>
      <c r="W66" s="38">
        <v>73.5</v>
      </c>
      <c r="X66" s="2">
        <v>64</v>
      </c>
    </row>
    <row r="67" spans="1:24">
      <c r="A67" s="10" t="s">
        <v>406</v>
      </c>
      <c r="B67" s="5" t="s">
        <v>197</v>
      </c>
      <c r="C67" s="4" t="s">
        <v>70</v>
      </c>
      <c r="D67" s="6" t="s">
        <v>270</v>
      </c>
      <c r="E67" s="4" t="s">
        <v>283</v>
      </c>
      <c r="F67" s="4" t="s">
        <v>77</v>
      </c>
      <c r="G67" s="41" t="e">
        <f>表格1_16[[#This Row],[加權後總分]]-表格1_16[[#This Row],[獎懲分數]]</f>
        <v>#DIV/0!</v>
      </c>
      <c r="H6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7" s="39" t="e">
        <f t="shared" ref="I67:I130" si="10">_xlfn.RANK.EQ(G67,$G$2:$G$146,0)</f>
        <v>#DIV/0!</v>
      </c>
      <c r="J67" s="36" t="e">
        <f t="shared" si="8"/>
        <v>#DIV/0!</v>
      </c>
      <c r="K67" s="8" t="e">
        <f t="shared" si="9"/>
        <v>#DIV/0!</v>
      </c>
      <c r="L67" s="8" t="e">
        <f t="shared" ref="L67:L130" si="11">_xlfn.RANK.EQ(J67,$J$2:$J$146,0)</f>
        <v>#DIV/0!</v>
      </c>
      <c r="M67" s="8" t="e">
        <f>表格1_3[[#This Row],[部內平均]]</f>
        <v>#DIV/0!</v>
      </c>
      <c r="N67" s="8"/>
      <c r="O67" s="8" t="e">
        <f>表格1_3[[#This Row],[複評平均]]</f>
        <v>#DIV/0!</v>
      </c>
      <c r="P67" s="3"/>
      <c r="Q67" s="3"/>
      <c r="R67" s="3"/>
      <c r="S67" s="3"/>
      <c r="T67" s="3"/>
      <c r="U67" s="3"/>
      <c r="V67" s="3"/>
      <c r="W67" s="38">
        <v>73.275000000000006</v>
      </c>
      <c r="X67" s="2">
        <v>65</v>
      </c>
    </row>
    <row r="68" spans="1:24" hidden="1">
      <c r="A68" s="10" t="s">
        <v>335</v>
      </c>
      <c r="B68" s="5" t="s">
        <v>190</v>
      </c>
      <c r="C68" s="4" t="s">
        <v>63</v>
      </c>
      <c r="D68" s="6" t="s">
        <v>270</v>
      </c>
      <c r="E68" s="4" t="s">
        <v>286</v>
      </c>
      <c r="F68" s="4" t="s">
        <v>77</v>
      </c>
      <c r="G68" s="41" t="e">
        <f>表格1_16[[#This Row],[加權後總分]]-表格1_16[[#This Row],[獎懲分數]]</f>
        <v>#DIV/0!</v>
      </c>
      <c r="H6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8" s="39" t="e">
        <f t="shared" si="10"/>
        <v>#DIV/0!</v>
      </c>
      <c r="J68" s="36" t="e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>#DIV/0!</v>
      </c>
      <c r="K68" s="8" t="e">
        <f t="shared" si="9"/>
        <v>#DIV/0!</v>
      </c>
      <c r="L68" s="8" t="e">
        <f t="shared" si="11"/>
        <v>#DIV/0!</v>
      </c>
      <c r="M68" s="8" t="e">
        <f>表格1_3[[#This Row],[部內平均]]</f>
        <v>#DIV/0!</v>
      </c>
      <c r="N68" s="8" t="e">
        <f>表格1_3[[#This Row],[共評平均]]</f>
        <v>#DIV/0!</v>
      </c>
      <c r="O68" s="8"/>
      <c r="P68" s="3"/>
      <c r="Q68" s="3"/>
      <c r="R68" s="3"/>
      <c r="S68" s="3"/>
      <c r="T68" s="3"/>
      <c r="U68" s="3"/>
      <c r="V68" s="3"/>
      <c r="W68" s="38">
        <v>73.2</v>
      </c>
      <c r="X68" s="2">
        <v>66</v>
      </c>
    </row>
    <row r="69" spans="1:24" hidden="1">
      <c r="A69" s="10" t="s">
        <v>389</v>
      </c>
      <c r="B69" s="5" t="s">
        <v>191</v>
      </c>
      <c r="C69" s="13" t="s">
        <v>64</v>
      </c>
      <c r="D69" s="6" t="s">
        <v>270</v>
      </c>
      <c r="E69" s="4" t="s">
        <v>283</v>
      </c>
      <c r="F69" s="4" t="s">
        <v>63</v>
      </c>
      <c r="G69" s="41" t="e">
        <f>表格1_16[[#This Row],[加權後總分]]-表格1_16[[#This Row],[獎懲分數]]</f>
        <v>#DIV/0!</v>
      </c>
      <c r="H6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69" s="39" t="e">
        <f t="shared" si="10"/>
        <v>#DIV/0!</v>
      </c>
      <c r="J69" s="36" t="e">
        <f t="shared" si="8"/>
        <v>#DIV/0!</v>
      </c>
      <c r="K69" s="8" t="e">
        <f t="shared" si="9"/>
        <v>#DIV/0!</v>
      </c>
      <c r="L69" s="8" t="e">
        <f t="shared" si="11"/>
        <v>#DIV/0!</v>
      </c>
      <c r="M69" s="8" t="e">
        <f>表格1_3[[#This Row],[部內平均]]</f>
        <v>#DIV/0!</v>
      </c>
      <c r="N69" s="8"/>
      <c r="O69" s="8" t="e">
        <f>表格1_3[[#This Row],[複評平均]]</f>
        <v>#DIV/0!</v>
      </c>
      <c r="P69" s="3"/>
      <c r="Q69" s="3"/>
      <c r="R69" s="3"/>
      <c r="S69" s="3"/>
      <c r="T69" s="3"/>
      <c r="U69" s="3"/>
      <c r="V69" s="3"/>
      <c r="W69" s="38">
        <v>73.199999999999989</v>
      </c>
      <c r="X69" s="2">
        <v>67</v>
      </c>
    </row>
    <row r="70" spans="1:24" hidden="1">
      <c r="A70" s="10" t="s">
        <v>389</v>
      </c>
      <c r="B70" s="5" t="s">
        <v>192</v>
      </c>
      <c r="C70" s="13" t="s">
        <v>65</v>
      </c>
      <c r="D70" s="6" t="s">
        <v>270</v>
      </c>
      <c r="E70" s="4" t="s">
        <v>283</v>
      </c>
      <c r="F70" s="4" t="s">
        <v>77</v>
      </c>
      <c r="G70" s="41" t="e">
        <f>表格1_16[[#This Row],[加權後總分]]-表格1_16[[#This Row],[獎懲分數]]</f>
        <v>#DIV/0!</v>
      </c>
      <c r="H7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70" s="39" t="e">
        <f t="shared" si="10"/>
        <v>#DIV/0!</v>
      </c>
      <c r="J70" s="36" t="e">
        <f t="shared" si="8"/>
        <v>#DIV/0!</v>
      </c>
      <c r="K70" s="8" t="e">
        <f t="shared" si="9"/>
        <v>#DIV/0!</v>
      </c>
      <c r="L70" s="8" t="e">
        <f t="shared" si="11"/>
        <v>#DIV/0!</v>
      </c>
      <c r="M70" s="8" t="e">
        <f>表格1_3[[#This Row],[部內平均]]</f>
        <v>#DIV/0!</v>
      </c>
      <c r="N70" s="8"/>
      <c r="O70" s="8" t="e">
        <f>表格1_3[[#This Row],[複評平均]]</f>
        <v>#DIV/0!</v>
      </c>
      <c r="P70" s="3"/>
      <c r="Q70" s="3"/>
      <c r="R70" s="3"/>
      <c r="S70" s="3"/>
      <c r="T70" s="3"/>
      <c r="U70" s="3"/>
      <c r="V70" s="3"/>
      <c r="W70" s="38">
        <v>73.175000000000011</v>
      </c>
      <c r="X70" s="2">
        <v>68</v>
      </c>
    </row>
    <row r="71" spans="1:24" hidden="1">
      <c r="A71" s="10" t="s">
        <v>389</v>
      </c>
      <c r="B71" s="5" t="s">
        <v>194</v>
      </c>
      <c r="C71" s="13" t="s">
        <v>67</v>
      </c>
      <c r="D71" s="6" t="s">
        <v>270</v>
      </c>
      <c r="E71" s="4" t="s">
        <v>283</v>
      </c>
      <c r="F71" s="4" t="s">
        <v>74</v>
      </c>
      <c r="G71" s="41" t="e">
        <f>表格1_16[[#This Row],[加權後總分]]-表格1_16[[#This Row],[獎懲分數]]</f>
        <v>#DIV/0!</v>
      </c>
      <c r="H7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71" s="39" t="e">
        <f t="shared" si="10"/>
        <v>#DIV/0!</v>
      </c>
      <c r="J71" s="36" t="e">
        <f t="shared" si="8"/>
        <v>#DIV/0!</v>
      </c>
      <c r="K71" s="8" t="e">
        <f t="shared" si="9"/>
        <v>#DIV/0!</v>
      </c>
      <c r="L71" s="8" t="e">
        <f t="shared" si="11"/>
        <v>#DIV/0!</v>
      </c>
      <c r="M71" s="8" t="e">
        <f>表格1_3[[#This Row],[部內平均]]</f>
        <v>#DIV/0!</v>
      </c>
      <c r="N71" s="8"/>
      <c r="O71" s="8" t="e">
        <f>表格1_3[[#This Row],[複評平均]]</f>
        <v>#DIV/0!</v>
      </c>
      <c r="P71" s="3"/>
      <c r="Q71" s="3"/>
      <c r="R71" s="3"/>
      <c r="S71" s="3"/>
      <c r="T71" s="3"/>
      <c r="U71" s="3"/>
      <c r="V71" s="3"/>
      <c r="W71" s="38">
        <v>73</v>
      </c>
      <c r="X71" s="2">
        <v>69</v>
      </c>
    </row>
    <row r="72" spans="1:24" hidden="1">
      <c r="A72" s="10" t="s">
        <v>389</v>
      </c>
      <c r="B72" s="5" t="s">
        <v>195</v>
      </c>
      <c r="C72" s="13" t="s">
        <v>68</v>
      </c>
      <c r="D72" s="6" t="s">
        <v>270</v>
      </c>
      <c r="E72" s="4" t="s">
        <v>283</v>
      </c>
      <c r="F72" s="4" t="s">
        <v>63</v>
      </c>
      <c r="G72" s="41" t="e">
        <f>表格1_16[[#This Row],[加權後總分]]-表格1_16[[#This Row],[獎懲分數]]</f>
        <v>#DIV/0!</v>
      </c>
      <c r="H7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72" s="39" t="e">
        <f t="shared" si="10"/>
        <v>#DIV/0!</v>
      </c>
      <c r="J72" s="36" t="e">
        <f t="shared" si="8"/>
        <v>#DIV/0!</v>
      </c>
      <c r="K72" s="8" t="e">
        <f t="shared" si="9"/>
        <v>#DIV/0!</v>
      </c>
      <c r="L72" s="8" t="e">
        <f t="shared" si="11"/>
        <v>#DIV/0!</v>
      </c>
      <c r="M72" s="8" t="e">
        <f>表格1_3[[#This Row],[部內平均]]</f>
        <v>#DIV/0!</v>
      </c>
      <c r="N72" s="8"/>
      <c r="O72" s="8" t="e">
        <f>表格1_3[[#This Row],[複評平均]]</f>
        <v>#DIV/0!</v>
      </c>
      <c r="P72" s="3"/>
      <c r="Q72" s="3"/>
      <c r="R72" s="3"/>
      <c r="S72" s="3"/>
      <c r="T72" s="3"/>
      <c r="U72" s="3"/>
      <c r="V72" s="3"/>
      <c r="W72" s="38">
        <v>72.8</v>
      </c>
      <c r="X72" s="2">
        <v>70</v>
      </c>
    </row>
    <row r="73" spans="1:24">
      <c r="A73" s="10" t="s">
        <v>389</v>
      </c>
      <c r="B73" s="5" t="s">
        <v>193</v>
      </c>
      <c r="C73" s="4" t="s">
        <v>66</v>
      </c>
      <c r="D73" s="6" t="s">
        <v>270</v>
      </c>
      <c r="E73" s="4" t="s">
        <v>283</v>
      </c>
      <c r="F73" s="4" t="s">
        <v>77</v>
      </c>
      <c r="G73" s="41" t="e">
        <f>表格1_16[[#This Row],[加權後總分]]-表格1_16[[#This Row],[獎懲分數]]</f>
        <v>#DIV/0!</v>
      </c>
      <c r="H7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73" s="39" t="e">
        <f t="shared" si="10"/>
        <v>#DIV/0!</v>
      </c>
      <c r="J73" s="36" t="e">
        <f t="shared" si="8"/>
        <v>#DIV/0!</v>
      </c>
      <c r="K73" s="8" t="e">
        <f t="shared" si="9"/>
        <v>#DIV/0!</v>
      </c>
      <c r="L73" s="8" t="e">
        <f t="shared" si="11"/>
        <v>#DIV/0!</v>
      </c>
      <c r="M73" s="8" t="e">
        <f>表格1_3[[#This Row],[部內平均]]</f>
        <v>#DIV/0!</v>
      </c>
      <c r="N73" s="8"/>
      <c r="O73" s="8" t="e">
        <f>表格1_3[[#This Row],[複評平均]]</f>
        <v>#DIV/0!</v>
      </c>
      <c r="P73" s="3"/>
      <c r="Q73" s="3"/>
      <c r="R73" s="3"/>
      <c r="S73" s="3"/>
      <c r="T73" s="3"/>
      <c r="U73" s="3"/>
      <c r="V73" s="3"/>
      <c r="W73" s="38">
        <v>72.8</v>
      </c>
      <c r="X73" s="2">
        <v>71</v>
      </c>
    </row>
    <row r="74" spans="1:24">
      <c r="A74" s="10" t="s">
        <v>389</v>
      </c>
      <c r="B74" s="5" t="s">
        <v>198</v>
      </c>
      <c r="C74" s="4" t="s">
        <v>71</v>
      </c>
      <c r="D74" s="6" t="s">
        <v>270</v>
      </c>
      <c r="E74" s="4" t="s">
        <v>283</v>
      </c>
      <c r="F74" s="4" t="s">
        <v>77</v>
      </c>
      <c r="G74" s="41" t="e">
        <f>表格1_16[[#This Row],[加權後總分]]-表格1_16[[#This Row],[獎懲分數]]</f>
        <v>#DIV/0!</v>
      </c>
      <c r="H7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74" s="39" t="e">
        <f t="shared" si="10"/>
        <v>#DIV/0!</v>
      </c>
      <c r="J74" s="36" t="e">
        <f t="shared" si="8"/>
        <v>#DIV/0!</v>
      </c>
      <c r="K74" s="8" t="e">
        <f t="shared" si="9"/>
        <v>#DIV/0!</v>
      </c>
      <c r="L74" s="8" t="e">
        <f t="shared" si="11"/>
        <v>#DIV/0!</v>
      </c>
      <c r="M74" s="8" t="e">
        <f>表格1_3[[#This Row],[部內平均]]</f>
        <v>#DIV/0!</v>
      </c>
      <c r="N74" s="8"/>
      <c r="O74" s="8" t="e">
        <f>表格1_3[[#This Row],[複評平均]]</f>
        <v>#DIV/0!</v>
      </c>
      <c r="P74" s="3"/>
      <c r="Q74" s="3"/>
      <c r="R74" s="3"/>
      <c r="S74" s="3"/>
      <c r="T74" s="3"/>
      <c r="U74" s="3"/>
      <c r="V74" s="3"/>
      <c r="W74" s="38">
        <v>72.75</v>
      </c>
      <c r="X74" s="2">
        <v>72</v>
      </c>
    </row>
    <row r="75" spans="1:24" hidden="1">
      <c r="A75" s="10" t="s">
        <v>389</v>
      </c>
      <c r="B75" s="5" t="s">
        <v>318</v>
      </c>
      <c r="C75" s="12" t="s">
        <v>438</v>
      </c>
      <c r="D75" s="6" t="s">
        <v>270</v>
      </c>
      <c r="E75" s="4" t="s">
        <v>283</v>
      </c>
      <c r="F75" s="4" t="s">
        <v>63</v>
      </c>
      <c r="G75" s="41">
        <f>表格1_16[[#This Row],[加權後總分]]-表格1_16[[#This Row],[獎懲分數]]</f>
        <v>0</v>
      </c>
      <c r="H75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75" s="39" t="e">
        <f t="shared" si="10"/>
        <v>#DIV/0!</v>
      </c>
      <c r="J75" s="36"/>
      <c r="K75" s="8"/>
      <c r="L75" s="8" t="e">
        <f t="shared" si="11"/>
        <v>#DIV/0!</v>
      </c>
      <c r="M75" s="8" t="e">
        <f>表格1_3[[#This Row],[部內平均]]</f>
        <v>#DIV/0!</v>
      </c>
      <c r="N75" s="8"/>
      <c r="O75" s="8" t="e">
        <f>表格1_3[[#This Row],[複評平均]]</f>
        <v>#DIV/0!</v>
      </c>
      <c r="P75" s="3"/>
      <c r="Q75" s="3"/>
      <c r="R75" s="3"/>
      <c r="S75" s="3"/>
      <c r="T75" s="3"/>
      <c r="U75" s="3"/>
      <c r="V75" s="3"/>
      <c r="W75" s="38">
        <v>72.599999999999994</v>
      </c>
      <c r="X75" s="2">
        <v>73</v>
      </c>
    </row>
    <row r="76" spans="1:24" ht="26" hidden="1">
      <c r="A76" s="10" t="s">
        <v>389</v>
      </c>
      <c r="B76" s="5" t="s">
        <v>319</v>
      </c>
      <c r="C76" s="12" t="s">
        <v>439</v>
      </c>
      <c r="D76" s="6" t="s">
        <v>270</v>
      </c>
      <c r="E76" s="4" t="s">
        <v>283</v>
      </c>
      <c r="F76" s="4" t="s">
        <v>63</v>
      </c>
      <c r="G76" s="41">
        <f>表格1_16[[#This Row],[加權後總分]]-表格1_16[[#This Row],[獎懲分數]]</f>
        <v>0</v>
      </c>
      <c r="H76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76" s="39" t="e">
        <f t="shared" si="10"/>
        <v>#DIV/0!</v>
      </c>
      <c r="J76" s="36"/>
      <c r="K76" s="8"/>
      <c r="L76" s="8" t="e">
        <f t="shared" si="11"/>
        <v>#DIV/0!</v>
      </c>
      <c r="M76" s="8" t="e">
        <f>表格1_3[[#This Row],[部內平均]]</f>
        <v>#DIV/0!</v>
      </c>
      <c r="N76" s="8"/>
      <c r="O76" s="8" t="e">
        <f>表格1_3[[#This Row],[複評平均]]</f>
        <v>#DIV/0!</v>
      </c>
      <c r="P76" s="3"/>
      <c r="Q76" s="3"/>
      <c r="R76" s="3"/>
      <c r="S76" s="3"/>
      <c r="T76" s="3"/>
      <c r="U76" s="3"/>
      <c r="V76" s="3"/>
      <c r="W76" s="38">
        <v>72.474999999999994</v>
      </c>
      <c r="X76" s="2">
        <v>74</v>
      </c>
    </row>
    <row r="77" spans="1:24" hidden="1">
      <c r="A77" s="10" t="s">
        <v>389</v>
      </c>
      <c r="B77" s="5" t="s">
        <v>199</v>
      </c>
      <c r="C77" s="12" t="s">
        <v>440</v>
      </c>
      <c r="D77" s="6" t="s">
        <v>270</v>
      </c>
      <c r="E77" s="4" t="s">
        <v>283</v>
      </c>
      <c r="F77" s="4" t="s">
        <v>63</v>
      </c>
      <c r="G77" s="41">
        <f>表格1_16[[#This Row],[加權後總分]]-表格1_16[[#This Row],[獎懲分數]]</f>
        <v>0</v>
      </c>
      <c r="H77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77" s="39" t="e">
        <f t="shared" si="10"/>
        <v>#DIV/0!</v>
      </c>
      <c r="J77" s="36"/>
      <c r="K77" s="8"/>
      <c r="L77" s="8" t="e">
        <f t="shared" si="11"/>
        <v>#DIV/0!</v>
      </c>
      <c r="M77" s="8" t="e">
        <f>表格1_3[[#This Row],[部內平均]]</f>
        <v>#DIV/0!</v>
      </c>
      <c r="N77" s="8"/>
      <c r="O77" s="8" t="e">
        <f>表格1_3[[#This Row],[複評平均]]</f>
        <v>#DIV/0!</v>
      </c>
      <c r="P77" s="3"/>
      <c r="Q77" s="3"/>
      <c r="R77" s="3"/>
      <c r="S77" s="3"/>
      <c r="T77" s="3"/>
      <c r="U77" s="3"/>
      <c r="V77" s="3"/>
      <c r="W77" s="38">
        <v>72.433333333333337</v>
      </c>
      <c r="X77" s="2">
        <v>75</v>
      </c>
    </row>
    <row r="78" spans="1:24" hidden="1">
      <c r="A78" s="10" t="s">
        <v>389</v>
      </c>
      <c r="B78" s="5" t="s">
        <v>200</v>
      </c>
      <c r="C78" s="12" t="s">
        <v>441</v>
      </c>
      <c r="D78" s="6" t="s">
        <v>270</v>
      </c>
      <c r="E78" s="4" t="s">
        <v>283</v>
      </c>
      <c r="F78" s="4" t="s">
        <v>63</v>
      </c>
      <c r="G78" s="41">
        <f>表格1_16[[#This Row],[加權後總分]]-表格1_16[[#This Row],[獎懲分數]]</f>
        <v>0</v>
      </c>
      <c r="H78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78" s="39" t="e">
        <f t="shared" si="10"/>
        <v>#DIV/0!</v>
      </c>
      <c r="J78" s="36"/>
      <c r="K78" s="8"/>
      <c r="L78" s="8" t="e">
        <f t="shared" si="11"/>
        <v>#DIV/0!</v>
      </c>
      <c r="M78" s="8" t="e">
        <f>表格1_3[[#This Row],[部內平均]]</f>
        <v>#DIV/0!</v>
      </c>
      <c r="N78" s="8"/>
      <c r="O78" s="8" t="e">
        <f>表格1_3[[#This Row],[複評平均]]</f>
        <v>#DIV/0!</v>
      </c>
      <c r="P78" s="3"/>
      <c r="Q78" s="3"/>
      <c r="R78" s="3"/>
      <c r="S78" s="3"/>
      <c r="T78" s="3"/>
      <c r="U78" s="3"/>
      <c r="V78" s="3"/>
      <c r="W78" s="38">
        <v>72.2</v>
      </c>
      <c r="X78" s="2">
        <v>76</v>
      </c>
    </row>
    <row r="79" spans="1:24">
      <c r="A79" s="10" t="s">
        <v>384</v>
      </c>
      <c r="B79" s="5" t="s">
        <v>203</v>
      </c>
      <c r="C79" s="4" t="s">
        <v>73</v>
      </c>
      <c r="D79" s="6" t="s">
        <v>271</v>
      </c>
      <c r="E79" s="4" t="s">
        <v>294</v>
      </c>
      <c r="F79" s="4" t="s">
        <v>72</v>
      </c>
      <c r="G79" s="41" t="e">
        <f>表格1_16[[#This Row],[加權後總分]]-表格1_16[[#This Row],[獎懲分數]]</f>
        <v>#DIV/0!</v>
      </c>
      <c r="H7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79" s="39" t="e">
        <f t="shared" si="10"/>
        <v>#DIV/0!</v>
      </c>
      <c r="J79" s="36" t="e">
        <f t="shared" si="8"/>
        <v>#DIV/0!</v>
      </c>
      <c r="K79" s="8" t="e">
        <f>IF(J79&gt;=90,"A",
 IF(J79&gt;=77,"B",
 IF(J79&gt;=70,"C",
 IF(J79&gt;=60,"D","E"))))</f>
        <v>#DIV/0!</v>
      </c>
      <c r="L79" s="8" t="e">
        <f t="shared" si="11"/>
        <v>#DIV/0!</v>
      </c>
      <c r="M79" s="8" t="e">
        <f>表格1_3[[#This Row],[部內平均]]</f>
        <v>#DIV/0!</v>
      </c>
      <c r="N79" s="8" t="e">
        <f>表格1_3[[#This Row],[共評平均]]</f>
        <v>#DIV/0!</v>
      </c>
      <c r="O79" s="8" t="e">
        <f>表格1_3[[#This Row],[複評平均]]</f>
        <v>#DIV/0!</v>
      </c>
      <c r="P79" s="3"/>
      <c r="Q79" s="3"/>
      <c r="R79" s="3"/>
      <c r="S79" s="3"/>
      <c r="T79" s="3"/>
      <c r="U79" s="3"/>
      <c r="V79" s="3"/>
      <c r="W79" s="38">
        <v>71.875</v>
      </c>
      <c r="X79" s="2">
        <v>77</v>
      </c>
    </row>
    <row r="80" spans="1:24" hidden="1">
      <c r="A80" s="10" t="s">
        <v>380</v>
      </c>
      <c r="B80" s="5" t="s">
        <v>202</v>
      </c>
      <c r="C80" s="4" t="s">
        <v>72</v>
      </c>
      <c r="D80" s="6" t="s">
        <v>271</v>
      </c>
      <c r="E80" s="4" t="s">
        <v>288</v>
      </c>
      <c r="F80" s="4" t="s">
        <v>120</v>
      </c>
      <c r="G80" s="41" t="e">
        <f>表格1_16[[#This Row],[加權後總分]]-表格1_16[[#This Row],[獎懲分數]]</f>
        <v>#DIV/0!</v>
      </c>
      <c r="H8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0" s="39" t="e">
        <f t="shared" si="10"/>
        <v>#DIV/0!</v>
      </c>
      <c r="J80" s="36" t="e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>#DIV/0!</v>
      </c>
      <c r="K80" s="8" t="e">
        <f t="shared" ref="K80:K95" si="12">IF(J80&gt;=90,"A",
 IF(J80&gt;=77,"B",
 IF(J80&gt;=70,"C",
 IF(J80&gt;=60,"D","E"))))</f>
        <v>#DIV/0!</v>
      </c>
      <c r="L80" s="8" t="e">
        <f t="shared" si="11"/>
        <v>#DIV/0!</v>
      </c>
      <c r="M80" s="8" t="e">
        <f>表格1_3[[#This Row],[部內平均]]</f>
        <v>#DIV/0!</v>
      </c>
      <c r="N80" s="8" t="e">
        <f>表格1_3[[#This Row],[共評平均]]</f>
        <v>#DIV/0!</v>
      </c>
      <c r="O80" s="8"/>
      <c r="P80" s="3"/>
      <c r="Q80" s="3"/>
      <c r="R80" s="3"/>
      <c r="S80" s="3"/>
      <c r="T80" s="3"/>
      <c r="U80" s="3"/>
      <c r="V80" s="3"/>
      <c r="W80" s="38">
        <v>71.599999999999994</v>
      </c>
      <c r="X80" s="2">
        <v>78</v>
      </c>
    </row>
    <row r="81" spans="1:24" hidden="1">
      <c r="A81" s="10" t="s">
        <v>380</v>
      </c>
      <c r="B81" s="5" t="s">
        <v>204</v>
      </c>
      <c r="C81" s="13" t="s">
        <v>74</v>
      </c>
      <c r="D81" s="6" t="s">
        <v>271</v>
      </c>
      <c r="E81" s="4" t="s">
        <v>4</v>
      </c>
      <c r="F81" s="4" t="s">
        <v>72</v>
      </c>
      <c r="G81" s="41" t="e">
        <f>表格1_16[[#This Row],[加權後總分]]-表格1_16[[#This Row],[獎懲分數]]</f>
        <v>#DIV/0!</v>
      </c>
      <c r="H8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1" s="39" t="e">
        <f t="shared" si="10"/>
        <v>#DIV/0!</v>
      </c>
      <c r="J81" s="36" t="e">
        <f t="shared" si="8"/>
        <v>#DIV/0!</v>
      </c>
      <c r="K81" s="8" t="e">
        <f t="shared" si="12"/>
        <v>#DIV/0!</v>
      </c>
      <c r="L81" s="8" t="e">
        <f t="shared" si="11"/>
        <v>#DIV/0!</v>
      </c>
      <c r="M81" s="8" t="e">
        <f>表格1_3[[#This Row],[部內平均]]</f>
        <v>#DIV/0!</v>
      </c>
      <c r="N81" s="8" t="e">
        <f>表格1_3[[#This Row],[共評平均]]</f>
        <v>#DIV/0!</v>
      </c>
      <c r="O81" s="8" t="e">
        <f>表格1_3[[#This Row],[複評平均]]</f>
        <v>#DIV/0!</v>
      </c>
      <c r="P81" s="3"/>
      <c r="Q81" s="3"/>
      <c r="R81" s="3"/>
      <c r="S81" s="3"/>
      <c r="T81" s="3"/>
      <c r="U81" s="3"/>
      <c r="V81" s="3"/>
      <c r="W81" s="38">
        <v>71</v>
      </c>
      <c r="X81" s="2">
        <v>79</v>
      </c>
    </row>
    <row r="82" spans="1:24">
      <c r="A82" s="10" t="s">
        <v>383</v>
      </c>
      <c r="B82" s="5" t="s">
        <v>205</v>
      </c>
      <c r="C82" s="4" t="s">
        <v>75</v>
      </c>
      <c r="D82" s="6" t="s">
        <v>271</v>
      </c>
      <c r="E82" s="4" t="s">
        <v>283</v>
      </c>
      <c r="F82" s="4" t="s">
        <v>330</v>
      </c>
      <c r="G82" s="41" t="e">
        <f>表格1_16[[#This Row],[加權後總分]]-表格1_16[[#This Row],[獎懲分數]]</f>
        <v>#DIV/0!</v>
      </c>
      <c r="H8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2" s="39" t="e">
        <f t="shared" si="10"/>
        <v>#DIV/0!</v>
      </c>
      <c r="J82" s="36" t="e">
        <f t="shared" si="8"/>
        <v>#DIV/0!</v>
      </c>
      <c r="K82" s="8" t="e">
        <f t="shared" si="12"/>
        <v>#DIV/0!</v>
      </c>
      <c r="L82" s="8" t="e">
        <f t="shared" si="11"/>
        <v>#DIV/0!</v>
      </c>
      <c r="M82" s="8" t="e">
        <f>表格1_3[[#This Row],[部內平均]]</f>
        <v>#DIV/0!</v>
      </c>
      <c r="N82" s="8" t="e">
        <f>表格1_3[[#This Row],[共評平均]]</f>
        <v>#DIV/0!</v>
      </c>
      <c r="O82" s="8" t="e">
        <f>表格1_3[[#This Row],[複評平均]]</f>
        <v>#DIV/0!</v>
      </c>
      <c r="P82" s="3"/>
      <c r="Q82" s="3"/>
      <c r="R82" s="3"/>
      <c r="S82" s="3"/>
      <c r="T82" s="3"/>
      <c r="U82" s="3"/>
      <c r="V82" s="3"/>
      <c r="W82" s="38">
        <v>71</v>
      </c>
      <c r="X82" s="2">
        <v>80</v>
      </c>
    </row>
    <row r="83" spans="1:24" hidden="1">
      <c r="A83" s="10" t="s">
        <v>343</v>
      </c>
      <c r="B83" s="5" t="s">
        <v>206</v>
      </c>
      <c r="C83" s="4" t="s">
        <v>76</v>
      </c>
      <c r="D83" s="6" t="s">
        <v>272</v>
      </c>
      <c r="E83" s="4" t="s">
        <v>288</v>
      </c>
      <c r="F83" s="4" t="s">
        <v>120</v>
      </c>
      <c r="G83" s="41" t="e">
        <f>表格1_16[[#This Row],[加權後總分]]-表格1_16[[#This Row],[獎懲分數]]</f>
        <v>#DIV/0!</v>
      </c>
      <c r="H8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3" s="39" t="e">
        <f t="shared" si="10"/>
        <v>#DIV/0!</v>
      </c>
      <c r="J83" s="36" t="e">
        <f t="shared" si="8"/>
        <v>#DIV/0!</v>
      </c>
      <c r="K83" s="8" t="e">
        <f t="shared" si="12"/>
        <v>#DIV/0!</v>
      </c>
      <c r="L83" s="8" t="e">
        <f t="shared" si="11"/>
        <v>#DIV/0!</v>
      </c>
      <c r="M83" s="8"/>
      <c r="N83" s="8" t="e">
        <f>表格1_3[[#This Row],[共評平均]]</f>
        <v>#DIV/0!</v>
      </c>
      <c r="O83" s="8">
        <v>83.8</v>
      </c>
      <c r="P83" s="3">
        <v>1</v>
      </c>
      <c r="Q83" s="3"/>
      <c r="R83" s="3"/>
      <c r="S83" s="3"/>
      <c r="T83" s="3"/>
      <c r="U83" s="3"/>
      <c r="V83" s="3">
        <v>3</v>
      </c>
      <c r="W83" s="38">
        <v>70.8</v>
      </c>
      <c r="X83" s="2">
        <v>81</v>
      </c>
    </row>
    <row r="84" spans="1:24">
      <c r="A84" s="10" t="s">
        <v>340</v>
      </c>
      <c r="B84" s="5" t="s">
        <v>207</v>
      </c>
      <c r="C84" s="4" t="s">
        <v>77</v>
      </c>
      <c r="D84" s="6" t="s">
        <v>272</v>
      </c>
      <c r="E84" s="4" t="s">
        <v>292</v>
      </c>
      <c r="F84" s="4" t="s">
        <v>74</v>
      </c>
      <c r="G84" s="41" t="e">
        <f>表格1_16[[#This Row],[加權後總分]]-表格1_16[[#This Row],[獎懲分數]]</f>
        <v>#DIV/0!</v>
      </c>
      <c r="H8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4" s="39" t="e">
        <f t="shared" si="10"/>
        <v>#DIV/0!</v>
      </c>
      <c r="J84" s="36" t="e">
        <f t="shared" si="8"/>
        <v>#DIV/0!</v>
      </c>
      <c r="K84" s="8" t="e">
        <f t="shared" si="12"/>
        <v>#DIV/0!</v>
      </c>
      <c r="L84" s="8" t="e">
        <f t="shared" si="11"/>
        <v>#DIV/0!</v>
      </c>
      <c r="M84" s="8" t="e">
        <f>表格1_3[[#This Row],[部內平均]]</f>
        <v>#DIV/0!</v>
      </c>
      <c r="N84" s="8" t="e">
        <f>表格1_3[[#This Row],[共評平均]]</f>
        <v>#DIV/0!</v>
      </c>
      <c r="O84" s="8">
        <v>79.599999999999994</v>
      </c>
      <c r="P84" s="3"/>
      <c r="Q84" s="3"/>
      <c r="R84" s="3"/>
      <c r="S84" s="3"/>
      <c r="T84" s="3"/>
      <c r="U84" s="3"/>
      <c r="V84" s="3"/>
      <c r="W84" s="38">
        <v>70.599999999999994</v>
      </c>
      <c r="X84" s="2">
        <v>82</v>
      </c>
    </row>
    <row r="85" spans="1:24" hidden="1">
      <c r="A85" s="10" t="s">
        <v>386</v>
      </c>
      <c r="B85" s="5" t="s">
        <v>208</v>
      </c>
      <c r="C85" s="4" t="s">
        <v>78</v>
      </c>
      <c r="D85" s="6" t="s">
        <v>272</v>
      </c>
      <c r="E85" s="4" t="s">
        <v>293</v>
      </c>
      <c r="F85" s="4" t="s">
        <v>76</v>
      </c>
      <c r="G85" s="41" t="e">
        <f>表格1_16[[#This Row],[加權後總分]]-表格1_16[[#This Row],[獎懲分數]]</f>
        <v>#DIV/0!</v>
      </c>
      <c r="H8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5" s="39" t="e">
        <f t="shared" si="10"/>
        <v>#DIV/0!</v>
      </c>
      <c r="J85" s="36" t="e">
        <f t="shared" si="8"/>
        <v>#DIV/0!</v>
      </c>
      <c r="K85" s="8" t="e">
        <f t="shared" si="12"/>
        <v>#DIV/0!</v>
      </c>
      <c r="L85" s="8" t="e">
        <f t="shared" si="11"/>
        <v>#DIV/0!</v>
      </c>
      <c r="M85" s="8" t="e">
        <f>表格1_3[[#This Row],[部內平均]]</f>
        <v>#DIV/0!</v>
      </c>
      <c r="N85" s="8" t="e">
        <f>表格1_3[[#This Row],[共評平均]]</f>
        <v>#DIV/0!</v>
      </c>
      <c r="O85" s="8" t="e">
        <f>表格1_3[[#This Row],[複評平均]]</f>
        <v>#DIV/0!</v>
      </c>
      <c r="P85" s="3"/>
      <c r="Q85" s="3"/>
      <c r="R85" s="3"/>
      <c r="S85" s="3"/>
      <c r="T85" s="3"/>
      <c r="U85" s="3"/>
      <c r="V85" s="3"/>
      <c r="W85" s="38">
        <v>70.599999999999994</v>
      </c>
      <c r="X85" s="2">
        <v>83</v>
      </c>
    </row>
    <row r="86" spans="1:24">
      <c r="A86" s="10" t="s">
        <v>339</v>
      </c>
      <c r="B86" s="5" t="s">
        <v>209</v>
      </c>
      <c r="C86" s="4" t="s">
        <v>79</v>
      </c>
      <c r="D86" s="6" t="s">
        <v>273</v>
      </c>
      <c r="E86" s="4" t="s">
        <v>295</v>
      </c>
      <c r="F86" s="4" t="s">
        <v>119</v>
      </c>
      <c r="G86" s="41" t="e">
        <f>表格1_16[[#This Row],[加權後總分]]-表格1_16[[#This Row],[獎懲分數]]</f>
        <v>#DIV/0!</v>
      </c>
      <c r="H8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6" s="39" t="e">
        <f t="shared" si="10"/>
        <v>#DIV/0!</v>
      </c>
      <c r="J86" s="36" t="e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V86
)</f>
        <v>#DIV/0!</v>
      </c>
      <c r="K86" s="8" t="e">
        <f t="shared" si="12"/>
        <v>#DIV/0!</v>
      </c>
      <c r="L86" s="8" t="e">
        <f t="shared" si="11"/>
        <v>#DIV/0!</v>
      </c>
      <c r="M86" s="8"/>
      <c r="N86" s="8" t="e">
        <f>表格1_3[[#This Row],[共評平均]]</f>
        <v>#DIV/0!</v>
      </c>
      <c r="O86" s="8"/>
      <c r="P86" s="3">
        <v>1</v>
      </c>
      <c r="Q86" s="3"/>
      <c r="R86" s="3"/>
      <c r="S86" s="3"/>
      <c r="T86" s="3"/>
      <c r="U86" s="3"/>
      <c r="V86" s="3">
        <v>3</v>
      </c>
      <c r="W86" s="38">
        <v>69.525000000000006</v>
      </c>
      <c r="X86" s="2">
        <v>84</v>
      </c>
    </row>
    <row r="87" spans="1:24" hidden="1">
      <c r="A87" s="10" t="s">
        <v>344</v>
      </c>
      <c r="B87" s="5" t="s">
        <v>210</v>
      </c>
      <c r="C87" s="4" t="s">
        <v>80</v>
      </c>
      <c r="D87" s="6" t="s">
        <v>274</v>
      </c>
      <c r="E87" s="4" t="s">
        <v>296</v>
      </c>
      <c r="F87" s="4" t="s">
        <v>79</v>
      </c>
      <c r="G87" s="41" t="e">
        <f>表格1_16[[#This Row],[加權後總分]]-表格1_16[[#This Row],[獎懲分數]]</f>
        <v>#DIV/0!</v>
      </c>
      <c r="H8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7" s="39" t="e">
        <f t="shared" si="10"/>
        <v>#DIV/0!</v>
      </c>
      <c r="J87" s="36" t="e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V87
)</f>
        <v>#DIV/0!</v>
      </c>
      <c r="K87" s="8" t="e">
        <f t="shared" si="12"/>
        <v>#DIV/0!</v>
      </c>
      <c r="L87" s="8" t="e">
        <f t="shared" si="11"/>
        <v>#DIV/0!</v>
      </c>
      <c r="M87" s="8" t="e">
        <f>表格1_3[[#This Row],[部內平均]]</f>
        <v>#DIV/0!</v>
      </c>
      <c r="N87" s="8" t="e">
        <f>表格1_3[[#This Row],[共評平均]]</f>
        <v>#DIV/0!</v>
      </c>
      <c r="O87" s="8" t="e">
        <f>表格1_3[[#This Row],[複評平均]]</f>
        <v>#DIV/0!</v>
      </c>
      <c r="P87" s="3"/>
      <c r="Q87" s="3"/>
      <c r="R87" s="3"/>
      <c r="S87" s="3"/>
      <c r="T87" s="3"/>
      <c r="U87" s="3"/>
      <c r="V87" s="3"/>
      <c r="W87" s="38">
        <v>69.2</v>
      </c>
      <c r="X87" s="2">
        <v>85</v>
      </c>
    </row>
    <row r="88" spans="1:24">
      <c r="A88" s="10" t="s">
        <v>345</v>
      </c>
      <c r="B88" s="5" t="s">
        <v>211</v>
      </c>
      <c r="C88" s="4" t="s">
        <v>81</v>
      </c>
      <c r="D88" s="6" t="s">
        <v>274</v>
      </c>
      <c r="E88" s="4" t="s">
        <v>296</v>
      </c>
      <c r="F88" s="4" t="s">
        <v>93</v>
      </c>
      <c r="G88" s="41" t="e">
        <f>表格1_16[[#This Row],[加權後總分]]-表格1_16[[#This Row],[獎懲分數]]</f>
        <v>#DIV/0!</v>
      </c>
      <c r="H8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8" s="39" t="e">
        <f t="shared" si="10"/>
        <v>#DIV/0!</v>
      </c>
      <c r="J88" s="36" t="e">
        <f t="shared" si="8"/>
        <v>#DIV/0!</v>
      </c>
      <c r="K88" s="8" t="e">
        <f t="shared" si="12"/>
        <v>#DIV/0!</v>
      </c>
      <c r="L88" s="8" t="e">
        <f t="shared" si="11"/>
        <v>#DIV/0!</v>
      </c>
      <c r="M88" s="8" t="e">
        <f>表格1_3[[#This Row],[部內平均]]</f>
        <v>#DIV/0!</v>
      </c>
      <c r="N88" s="8" t="e">
        <f>表格1_3[[#This Row],[共評平均]]</f>
        <v>#DIV/0!</v>
      </c>
      <c r="O88" s="8" t="e">
        <f>表格1_3[[#This Row],[複評平均]]</f>
        <v>#DIV/0!</v>
      </c>
      <c r="P88" s="3">
        <v>1</v>
      </c>
      <c r="Q88" s="3"/>
      <c r="R88" s="3"/>
      <c r="S88" s="3"/>
      <c r="T88" s="3"/>
      <c r="U88" s="3"/>
      <c r="V88" s="3">
        <v>3</v>
      </c>
      <c r="W88" s="38">
        <v>69</v>
      </c>
      <c r="X88" s="2">
        <v>86</v>
      </c>
    </row>
    <row r="89" spans="1:24" hidden="1">
      <c r="A89" s="10" t="s">
        <v>335</v>
      </c>
      <c r="B89" s="5" t="s">
        <v>212</v>
      </c>
      <c r="C89" s="4" t="s">
        <v>82</v>
      </c>
      <c r="D89" s="6" t="s">
        <v>275</v>
      </c>
      <c r="E89" s="4" t="s">
        <v>285</v>
      </c>
      <c r="F89" s="4" t="s">
        <v>331</v>
      </c>
      <c r="G89" s="41" t="e">
        <f>表格1_16[[#This Row],[加權後總分]]-表格1_16[[#This Row],[獎懲分數]]</f>
        <v>#DIV/0!</v>
      </c>
      <c r="H8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89" s="39" t="e">
        <f t="shared" si="10"/>
        <v>#DIV/0!</v>
      </c>
      <c r="J89" s="36" t="e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V89
)</f>
        <v>#DIV/0!</v>
      </c>
      <c r="K89" s="8" t="e">
        <f t="shared" si="12"/>
        <v>#DIV/0!</v>
      </c>
      <c r="L89" s="8" t="e">
        <f t="shared" si="11"/>
        <v>#DIV/0!</v>
      </c>
      <c r="M89" s="8"/>
      <c r="N89" s="8" t="e">
        <f>表格1_3[[#This Row],[共評平均]]</f>
        <v>#DIV/0!</v>
      </c>
      <c r="O89" s="8" t="e">
        <f>表格1_3[[#This Row],[複評平均]]</f>
        <v>#DIV/0!</v>
      </c>
      <c r="P89" s="3"/>
      <c r="Q89" s="3"/>
      <c r="R89" s="3"/>
      <c r="S89" s="3"/>
      <c r="T89" s="3"/>
      <c r="U89" s="3"/>
      <c r="V89" s="3"/>
      <c r="W89" s="38">
        <v>68.8</v>
      </c>
      <c r="X89" s="2">
        <v>87</v>
      </c>
    </row>
    <row r="90" spans="1:24">
      <c r="A90" s="10" t="s">
        <v>399</v>
      </c>
      <c r="B90" s="5" t="s">
        <v>213</v>
      </c>
      <c r="C90" s="4" t="s">
        <v>334</v>
      </c>
      <c r="D90" s="6" t="s">
        <v>275</v>
      </c>
      <c r="E90" s="4" t="s">
        <v>283</v>
      </c>
      <c r="F90" s="4" t="s">
        <v>35</v>
      </c>
      <c r="G90" s="41" t="e">
        <f>表格1_16[[#This Row],[加權後總分]]-表格1_16[[#This Row],[獎懲分數]]</f>
        <v>#DIV/0!</v>
      </c>
      <c r="H9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0" s="39" t="e">
        <f t="shared" si="10"/>
        <v>#DIV/0!</v>
      </c>
      <c r="J90" s="36" t="e">
        <f t="shared" si="8"/>
        <v>#DIV/0!</v>
      </c>
      <c r="K90" s="8" t="e">
        <f t="shared" si="12"/>
        <v>#DIV/0!</v>
      </c>
      <c r="L90" s="8" t="e">
        <f t="shared" si="11"/>
        <v>#DIV/0!</v>
      </c>
      <c r="M90" s="8" t="e">
        <f>表格1_3[[#This Row],[部內平均]]</f>
        <v>#DIV/0!</v>
      </c>
      <c r="N90" s="8"/>
      <c r="O90" s="8" t="e">
        <f>表格1_3[[#This Row],[複評平均]]</f>
        <v>#DIV/0!</v>
      </c>
      <c r="P90" s="3"/>
      <c r="Q90" s="3"/>
      <c r="R90" s="3"/>
      <c r="S90" s="3"/>
      <c r="T90" s="3"/>
      <c r="U90" s="3"/>
      <c r="V90" s="3"/>
      <c r="W90" s="38">
        <v>68.8</v>
      </c>
      <c r="X90" s="2">
        <v>88</v>
      </c>
    </row>
    <row r="91" spans="1:24" hidden="1">
      <c r="A91" s="10" t="s">
        <v>399</v>
      </c>
      <c r="B91" s="5" t="s">
        <v>215</v>
      </c>
      <c r="C91" s="4" t="s">
        <v>84</v>
      </c>
      <c r="D91" s="6" t="s">
        <v>275</v>
      </c>
      <c r="E91" s="4" t="s">
        <v>283</v>
      </c>
      <c r="F91" s="4" t="s">
        <v>35</v>
      </c>
      <c r="G91" s="41" t="e">
        <f>表格1_16[[#This Row],[加權後總分]]-表格1_16[[#This Row],[獎懲分數]]</f>
        <v>#DIV/0!</v>
      </c>
      <c r="H9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1" s="39" t="e">
        <f t="shared" si="10"/>
        <v>#DIV/0!</v>
      </c>
      <c r="J91" s="36" t="e">
        <f t="shared" si="8"/>
        <v>#DIV/0!</v>
      </c>
      <c r="K91" s="8" t="e">
        <f t="shared" si="12"/>
        <v>#DIV/0!</v>
      </c>
      <c r="L91" s="8" t="e">
        <f t="shared" si="11"/>
        <v>#DIV/0!</v>
      </c>
      <c r="M91" s="8" t="e">
        <f>表格1_3[[#This Row],[部內平均]]</f>
        <v>#DIV/0!</v>
      </c>
      <c r="N91" s="8"/>
      <c r="O91" s="8" t="e">
        <f>表格1_3[[#This Row],[複評平均]]</f>
        <v>#DIV/0!</v>
      </c>
      <c r="P91" s="3"/>
      <c r="Q91" s="3"/>
      <c r="R91" s="3"/>
      <c r="S91" s="3"/>
      <c r="T91" s="3"/>
      <c r="U91" s="3"/>
      <c r="V91" s="3"/>
      <c r="W91" s="38">
        <v>68.8</v>
      </c>
      <c r="X91" s="2">
        <v>89</v>
      </c>
    </row>
    <row r="92" spans="1:24" hidden="1">
      <c r="A92" s="10" t="s">
        <v>399</v>
      </c>
      <c r="B92" s="5" t="s">
        <v>219</v>
      </c>
      <c r="C92" s="4" t="s">
        <v>88</v>
      </c>
      <c r="D92" s="6" t="s">
        <v>275</v>
      </c>
      <c r="E92" s="4" t="s">
        <v>283</v>
      </c>
      <c r="F92" s="4" t="s">
        <v>35</v>
      </c>
      <c r="G92" s="41" t="e">
        <f>表格1_16[[#This Row],[加權後總分]]-表格1_16[[#This Row],[獎懲分數]]</f>
        <v>#DIV/0!</v>
      </c>
      <c r="H9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2" s="39" t="e">
        <f t="shared" si="10"/>
        <v>#DIV/0!</v>
      </c>
      <c r="J92" s="36" t="e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>#DIV/0!</v>
      </c>
      <c r="K92" s="8" t="e">
        <f t="shared" si="12"/>
        <v>#DIV/0!</v>
      </c>
      <c r="L92" s="8" t="e">
        <f t="shared" si="11"/>
        <v>#DIV/0!</v>
      </c>
      <c r="M92" s="8" t="e">
        <f>表格1_3[[#This Row],[部內平均]]</f>
        <v>#DIV/0!</v>
      </c>
      <c r="N92" s="8"/>
      <c r="O92" s="8" t="e">
        <f>表格1_3[[#This Row],[複評平均]]</f>
        <v>#DIV/0!</v>
      </c>
      <c r="P92" s="3"/>
      <c r="Q92" s="3"/>
      <c r="R92" s="3"/>
      <c r="S92" s="3"/>
      <c r="T92" s="3"/>
      <c r="U92" s="3"/>
      <c r="V92" s="3"/>
      <c r="W92" s="38">
        <v>68.612244897959187</v>
      </c>
      <c r="X92" s="2">
        <v>90</v>
      </c>
    </row>
    <row r="93" spans="1:24">
      <c r="A93" s="10" t="s">
        <v>399</v>
      </c>
      <c r="B93" s="5" t="s">
        <v>216</v>
      </c>
      <c r="C93" s="4" t="s">
        <v>85</v>
      </c>
      <c r="D93" s="6" t="s">
        <v>275</v>
      </c>
      <c r="E93" s="4" t="s">
        <v>283</v>
      </c>
      <c r="F93" s="4" t="s">
        <v>35</v>
      </c>
      <c r="G93" s="41" t="e">
        <f>表格1_16[[#This Row],[加權後總分]]-表格1_16[[#This Row],[獎懲分數]]</f>
        <v>#DIV/0!</v>
      </c>
      <c r="H9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3" s="39" t="e">
        <f t="shared" si="10"/>
        <v>#DIV/0!</v>
      </c>
      <c r="J93" s="36" t="e">
        <f t="shared" si="8"/>
        <v>#DIV/0!</v>
      </c>
      <c r="K93" s="8" t="e">
        <f t="shared" si="12"/>
        <v>#DIV/0!</v>
      </c>
      <c r="L93" s="8" t="e">
        <f t="shared" si="11"/>
        <v>#DIV/0!</v>
      </c>
      <c r="M93" s="8" t="e">
        <f>表格1_3[[#This Row],[部內平均]]</f>
        <v>#DIV/0!</v>
      </c>
      <c r="N93" s="8"/>
      <c r="O93" s="8" t="e">
        <f>表格1_3[[#This Row],[複評平均]]</f>
        <v>#DIV/0!</v>
      </c>
      <c r="P93" s="3"/>
      <c r="Q93" s="3"/>
      <c r="R93" s="3"/>
      <c r="S93" s="3"/>
      <c r="T93" s="3"/>
      <c r="U93" s="3"/>
      <c r="V93" s="3"/>
      <c r="W93" s="38">
        <v>68.566666666666663</v>
      </c>
      <c r="X93" s="2">
        <v>91</v>
      </c>
    </row>
    <row r="94" spans="1:24">
      <c r="A94" s="10" t="s">
        <v>399</v>
      </c>
      <c r="B94" s="5" t="s">
        <v>217</v>
      </c>
      <c r="C94" s="4" t="s">
        <v>86</v>
      </c>
      <c r="D94" s="6" t="s">
        <v>275</v>
      </c>
      <c r="E94" s="4" t="s">
        <v>283</v>
      </c>
      <c r="F94" s="4" t="s">
        <v>35</v>
      </c>
      <c r="G94" s="41" t="e">
        <f>表格1_16[[#This Row],[加權後總分]]-表格1_16[[#This Row],[獎懲分數]]</f>
        <v>#DIV/0!</v>
      </c>
      <c r="H9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4" s="39" t="e">
        <f t="shared" si="10"/>
        <v>#DIV/0!</v>
      </c>
      <c r="J94" s="36" t="e">
        <f t="shared" si="8"/>
        <v>#DIV/0!</v>
      </c>
      <c r="K94" s="8" t="e">
        <f t="shared" si="12"/>
        <v>#DIV/0!</v>
      </c>
      <c r="L94" s="8" t="e">
        <f t="shared" si="11"/>
        <v>#DIV/0!</v>
      </c>
      <c r="M94" s="8" t="e">
        <f>表格1_3[[#This Row],[部內平均]]</f>
        <v>#DIV/0!</v>
      </c>
      <c r="N94" s="8"/>
      <c r="O94" s="8" t="e">
        <f>表格1_3[[#This Row],[複評平均]]</f>
        <v>#DIV/0!</v>
      </c>
      <c r="P94" s="3"/>
      <c r="Q94" s="3"/>
      <c r="R94" s="3"/>
      <c r="S94" s="3"/>
      <c r="T94" s="3"/>
      <c r="U94" s="3"/>
      <c r="V94" s="3"/>
      <c r="W94" s="38">
        <v>68.400000000000006</v>
      </c>
      <c r="X94" s="2">
        <v>92</v>
      </c>
    </row>
    <row r="95" spans="1:24" hidden="1">
      <c r="A95" s="10" t="s">
        <v>399</v>
      </c>
      <c r="B95" s="5" t="s">
        <v>218</v>
      </c>
      <c r="C95" s="13" t="s">
        <v>87</v>
      </c>
      <c r="D95" s="6" t="s">
        <v>275</v>
      </c>
      <c r="E95" s="4" t="s">
        <v>283</v>
      </c>
      <c r="F95" s="4" t="s">
        <v>313</v>
      </c>
      <c r="G95" s="41" t="e">
        <f>表格1_16[[#This Row],[加權後總分]]-表格1_16[[#This Row],[獎懲分數]]</f>
        <v>#DIV/0!</v>
      </c>
      <c r="H9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5" s="39" t="e">
        <f t="shared" si="10"/>
        <v>#DIV/0!</v>
      </c>
      <c r="J95" s="36" t="e">
        <f t="shared" si="8"/>
        <v>#DIV/0!</v>
      </c>
      <c r="K95" s="8" t="e">
        <f t="shared" si="12"/>
        <v>#DIV/0!</v>
      </c>
      <c r="L95" s="8" t="e">
        <f t="shared" si="11"/>
        <v>#DIV/0!</v>
      </c>
      <c r="M95" s="8" t="e">
        <f>表格1_3[[#This Row],[部內平均]]</f>
        <v>#DIV/0!</v>
      </c>
      <c r="N95" s="8"/>
      <c r="O95" s="8" t="e">
        <f>表格1_3[[#This Row],[複評平均]]</f>
        <v>#DIV/0!</v>
      </c>
      <c r="P95" s="3"/>
      <c r="Q95" s="3"/>
      <c r="R95" s="3"/>
      <c r="S95" s="3"/>
      <c r="T95" s="3"/>
      <c r="U95" s="3"/>
      <c r="V95" s="3"/>
      <c r="W95" s="38">
        <v>68.199999999999989</v>
      </c>
      <c r="X95" s="2">
        <v>93</v>
      </c>
    </row>
    <row r="96" spans="1:24" ht="26" hidden="1">
      <c r="A96" s="10" t="s">
        <v>399</v>
      </c>
      <c r="B96" s="5" t="s">
        <v>247</v>
      </c>
      <c r="C96" s="4" t="s">
        <v>442</v>
      </c>
      <c r="D96" s="6" t="s">
        <v>275</v>
      </c>
      <c r="E96" s="4" t="s">
        <v>283</v>
      </c>
      <c r="F96" s="4" t="s">
        <v>93</v>
      </c>
      <c r="G96" s="41"/>
      <c r="H96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96" s="39"/>
      <c r="J96" s="36"/>
      <c r="K96" s="8"/>
      <c r="L96" s="8"/>
      <c r="M96" s="8" t="e">
        <f>表格1_3[[#This Row],[部內平均]]</f>
        <v>#DIV/0!</v>
      </c>
      <c r="N96" s="8"/>
      <c r="O96" s="8" t="e">
        <f>表格1_3[[#This Row],[複評平均]]</f>
        <v>#DIV/0!</v>
      </c>
      <c r="P96" s="3"/>
      <c r="Q96" s="3"/>
      <c r="R96" s="3"/>
      <c r="S96" s="3"/>
      <c r="T96" s="3"/>
      <c r="U96" s="3"/>
      <c r="V96" s="3"/>
      <c r="W96" s="38">
        <v>67.8</v>
      </c>
      <c r="X96" s="2">
        <v>94</v>
      </c>
    </row>
    <row r="97" spans="1:24" hidden="1">
      <c r="A97" s="10" t="s">
        <v>399</v>
      </c>
      <c r="B97" s="5" t="s">
        <v>220</v>
      </c>
      <c r="C97" s="14" t="s">
        <v>89</v>
      </c>
      <c r="D97" s="6" t="s">
        <v>275</v>
      </c>
      <c r="E97" s="4" t="s">
        <v>283</v>
      </c>
      <c r="F97" s="4" t="s">
        <v>332</v>
      </c>
      <c r="G97" s="41" t="e">
        <f>表格1_16[[#This Row],[加權後總分]]-表格1_16[[#This Row],[獎懲分數]]</f>
        <v>#DIV/0!</v>
      </c>
      <c r="H9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7" s="39" t="e">
        <f t="shared" si="10"/>
        <v>#DIV/0!</v>
      </c>
      <c r="J97" s="36" t="e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>#DIV/0!</v>
      </c>
      <c r="K97" s="8" t="e">
        <f>IF(J97&gt;=90,"A",
 IF(J97&gt;=80,"B",
 IF(J97&gt;=70,"C",
 IF(J97&gt;=60,"D","E"))))</f>
        <v>#DIV/0!</v>
      </c>
      <c r="L97" s="8" t="e">
        <f t="shared" si="11"/>
        <v>#DIV/0!</v>
      </c>
      <c r="M97" s="8" t="e">
        <f>表格1_3[[#This Row],[部內平均]]</f>
        <v>#DIV/0!</v>
      </c>
      <c r="N97" s="8"/>
      <c r="O97" s="8" t="e">
        <f>表格1_3[[#This Row],[複評平均]]</f>
        <v>#DIV/0!</v>
      </c>
      <c r="P97" s="3"/>
      <c r="Q97" s="3"/>
      <c r="R97" s="3"/>
      <c r="S97" s="3"/>
      <c r="T97" s="3"/>
      <c r="U97" s="3"/>
      <c r="V97" s="3"/>
      <c r="W97" s="38">
        <v>67.8</v>
      </c>
      <c r="X97" s="2">
        <v>95</v>
      </c>
    </row>
    <row r="98" spans="1:24">
      <c r="A98" s="10" t="s">
        <v>399</v>
      </c>
      <c r="B98" s="5" t="s">
        <v>221</v>
      </c>
      <c r="C98" s="4" t="s">
        <v>90</v>
      </c>
      <c r="D98" s="6" t="s">
        <v>275</v>
      </c>
      <c r="E98" s="4" t="s">
        <v>283</v>
      </c>
      <c r="F98" s="4" t="s">
        <v>35</v>
      </c>
      <c r="G98" s="41" t="e">
        <f>表格1_16[[#This Row],[加權後總分]]-表格1_16[[#This Row],[獎懲分數]]</f>
        <v>#DIV/0!</v>
      </c>
      <c r="H9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8" s="39" t="e">
        <f t="shared" si="10"/>
        <v>#DIV/0!</v>
      </c>
      <c r="J98" s="36" t="e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>#DIV/0!</v>
      </c>
      <c r="K98" s="8" t="e">
        <f>IF(J98&gt;=90,"A",
 IF(J98&gt;=80,"B",
 IF(J98&gt;=70,"C",
 IF(J98&gt;=60,"D","E"))))</f>
        <v>#DIV/0!</v>
      </c>
      <c r="L98" s="8" t="e">
        <f t="shared" si="11"/>
        <v>#DIV/0!</v>
      </c>
      <c r="M98" s="8" t="e">
        <f>表格1_3[[#This Row],[部內平均]]</f>
        <v>#DIV/0!</v>
      </c>
      <c r="N98" s="8"/>
      <c r="O98" s="8" t="e">
        <f>表格1_3[[#This Row],[複評平均]]</f>
        <v>#DIV/0!</v>
      </c>
      <c r="P98" s="3"/>
      <c r="Q98" s="3"/>
      <c r="R98" s="3"/>
      <c r="S98" s="3"/>
      <c r="T98" s="3"/>
      <c r="U98" s="3"/>
      <c r="V98" s="3"/>
      <c r="W98" s="38">
        <v>67.7</v>
      </c>
      <c r="X98" s="2">
        <v>96</v>
      </c>
    </row>
    <row r="99" spans="1:24" hidden="1">
      <c r="A99" s="10" t="s">
        <v>399</v>
      </c>
      <c r="B99" s="5" t="s">
        <v>320</v>
      </c>
      <c r="C99" s="14" t="s">
        <v>321</v>
      </c>
      <c r="D99" s="6" t="s">
        <v>275</v>
      </c>
      <c r="E99" s="4" t="s">
        <v>283</v>
      </c>
      <c r="F99" s="4" t="s">
        <v>93</v>
      </c>
      <c r="G99" s="41" t="e">
        <f>表格1_16[[#This Row],[加權後總分]]-表格1_16[[#This Row],[獎懲分數]]</f>
        <v>#DIV/0!</v>
      </c>
      <c r="H9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99" s="39" t="e">
        <f t="shared" si="10"/>
        <v>#DIV/0!</v>
      </c>
      <c r="J99" s="36" t="e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>#DIV/0!</v>
      </c>
      <c r="K99" s="8" t="e">
        <f>IF(J99&gt;=90,"A",
 IF(J99&gt;=80,"B",
 IF(J99&gt;=70,"C",
 IF(J99&gt;=60,"D","E"))))</f>
        <v>#DIV/0!</v>
      </c>
      <c r="L99" s="8" t="e">
        <f t="shared" si="11"/>
        <v>#DIV/0!</v>
      </c>
      <c r="M99" s="8" t="e">
        <f>表格1_3[[#This Row],[部內平均]]</f>
        <v>#DIV/0!</v>
      </c>
      <c r="N99" s="8"/>
      <c r="O99" s="8" t="e">
        <f>表格1_3[[#This Row],[複評平均]]</f>
        <v>#DIV/0!</v>
      </c>
      <c r="P99" s="3"/>
      <c r="Q99" s="3"/>
      <c r="R99" s="3"/>
      <c r="S99" s="3"/>
      <c r="T99" s="3"/>
      <c r="U99" s="3"/>
      <c r="V99" s="3"/>
      <c r="W99" s="38">
        <v>67</v>
      </c>
      <c r="X99" s="2">
        <v>97</v>
      </c>
    </row>
    <row r="100" spans="1:24" hidden="1">
      <c r="A100" s="10" t="s">
        <v>399</v>
      </c>
      <c r="B100" s="5" t="s">
        <v>322</v>
      </c>
      <c r="C100" s="14" t="s">
        <v>323</v>
      </c>
      <c r="D100" s="6" t="s">
        <v>275</v>
      </c>
      <c r="E100" s="4" t="s">
        <v>283</v>
      </c>
      <c r="F100" s="4" t="s">
        <v>77</v>
      </c>
      <c r="G100" s="41" t="e">
        <f>表格1_16[[#This Row],[加權後總分]]-表格1_16[[#This Row],[獎懲分數]]</f>
        <v>#DIV/0!</v>
      </c>
      <c r="H10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0" s="39" t="e">
        <f t="shared" si="10"/>
        <v>#DIV/0!</v>
      </c>
      <c r="J100" s="36" t="e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>#DIV/0!</v>
      </c>
      <c r="K100" s="8" t="e">
        <f>IF(J100&gt;=90,"A",
 IF(J100&gt;=80,"B",
 IF(J100&gt;=70,"C",
 IF(J100&gt;=60,"D","E"))))</f>
        <v>#DIV/0!</v>
      </c>
      <c r="L100" s="8" t="e">
        <f t="shared" si="11"/>
        <v>#DIV/0!</v>
      </c>
      <c r="M100" s="8" t="e">
        <f>表格1_3[[#This Row],[部內平均]]</f>
        <v>#DIV/0!</v>
      </c>
      <c r="N100" s="8"/>
      <c r="O100" s="8" t="e">
        <f>表格1_3[[#This Row],[複評平均]]</f>
        <v>#DIV/0!</v>
      </c>
      <c r="P100" s="3"/>
      <c r="Q100" s="3"/>
      <c r="R100" s="3"/>
      <c r="S100" s="3"/>
      <c r="T100" s="3"/>
      <c r="U100" s="3"/>
      <c r="V100" s="3"/>
      <c r="W100" s="38">
        <v>67</v>
      </c>
      <c r="X100" s="2">
        <v>98</v>
      </c>
    </row>
    <row r="101" spans="1:24" hidden="1">
      <c r="A101" s="10" t="s">
        <v>380</v>
      </c>
      <c r="B101" s="5" t="s">
        <v>222</v>
      </c>
      <c r="C101" s="4" t="s">
        <v>91</v>
      </c>
      <c r="D101" s="6" t="s">
        <v>276</v>
      </c>
      <c r="E101" s="4" t="s">
        <v>296</v>
      </c>
      <c r="F101" s="4" t="s">
        <v>79</v>
      </c>
      <c r="G101" s="41" t="e">
        <f>表格1_16[[#This Row],[加權後總分]]-表格1_16[[#This Row],[獎懲分數]]</f>
        <v>#DIV/0!</v>
      </c>
      <c r="H10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1" s="39" t="e">
        <f t="shared" si="10"/>
        <v>#DIV/0!</v>
      </c>
      <c r="J101" s="36" t="e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>#DIV/0!</v>
      </c>
      <c r="K101" s="8" t="e">
        <f>IF(J101&gt;=90,"A",
 IF(J101&gt;=80,"B",
 IF(J101&gt;=70,"C",
 IF(J101&gt;=60,"D","E"))))</f>
        <v>#DIV/0!</v>
      </c>
      <c r="L101" s="8" t="e">
        <f t="shared" si="11"/>
        <v>#DIV/0!</v>
      </c>
      <c r="M101" s="8" t="e">
        <f>表格1_3[[#This Row],[部內平均]]</f>
        <v>#DIV/0!</v>
      </c>
      <c r="N101" s="8" t="e">
        <f>表格1_3[[#This Row],[共評平均]]</f>
        <v>#DIV/0!</v>
      </c>
      <c r="O101" s="8" t="e">
        <f>表格1_3[[#This Row],[複評平均]]</f>
        <v>#DIV/0!</v>
      </c>
      <c r="P101" s="3"/>
      <c r="Q101" s="3"/>
      <c r="R101" s="3"/>
      <c r="S101" s="3"/>
      <c r="T101" s="3"/>
      <c r="U101" s="3"/>
      <c r="V101" s="3"/>
      <c r="W101" s="38">
        <v>66.599999999999994</v>
      </c>
      <c r="X101" s="2">
        <v>99</v>
      </c>
    </row>
    <row r="102" spans="1:24" hidden="1">
      <c r="A102" s="10" t="s">
        <v>393</v>
      </c>
      <c r="B102" s="5" t="s">
        <v>223</v>
      </c>
      <c r="C102" s="4" t="s">
        <v>92</v>
      </c>
      <c r="D102" s="6" t="s">
        <v>276</v>
      </c>
      <c r="E102" s="4" t="s">
        <v>296</v>
      </c>
      <c r="F102" s="4" t="s">
        <v>79</v>
      </c>
      <c r="G102" s="41"/>
      <c r="H102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02" s="39" t="e">
        <f t="shared" si="10"/>
        <v>#DIV/0!</v>
      </c>
      <c r="J102" s="36"/>
      <c r="K102" s="8"/>
      <c r="L102" s="8"/>
      <c r="M102" s="8" t="e">
        <f>表格1_3[[#This Row],[部內平均]]</f>
        <v>#DIV/0!</v>
      </c>
      <c r="N102" s="8" t="e">
        <f>表格1_3[[#This Row],[共評平均]]</f>
        <v>#DIV/0!</v>
      </c>
      <c r="O102" s="8" t="e">
        <f>表格1_3[[#This Row],[複評平均]]</f>
        <v>#DIV/0!</v>
      </c>
      <c r="P102" s="3"/>
      <c r="Q102" s="3"/>
      <c r="R102" s="3"/>
      <c r="S102" s="3"/>
      <c r="T102" s="3"/>
      <c r="U102" s="3"/>
      <c r="V102" s="3"/>
      <c r="W102" s="38">
        <v>66.099999999999994</v>
      </c>
      <c r="X102" s="2">
        <v>100</v>
      </c>
    </row>
    <row r="103" spans="1:24" hidden="1">
      <c r="A103" s="10" t="s">
        <v>395</v>
      </c>
      <c r="B103" s="5" t="s">
        <v>225</v>
      </c>
      <c r="C103" s="4" t="s">
        <v>94</v>
      </c>
      <c r="D103" s="6" t="s">
        <v>276</v>
      </c>
      <c r="E103" s="4" t="s">
        <v>293</v>
      </c>
      <c r="F103" s="4" t="s">
        <v>79</v>
      </c>
      <c r="G103" s="41" t="e">
        <f>表格1_16[[#This Row],[加權後總分]]-表格1_16[[#This Row],[獎懲分數]]</f>
        <v>#DIV/0!</v>
      </c>
      <c r="H10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3" s="39" t="e">
        <f t="shared" si="10"/>
        <v>#DIV/0!</v>
      </c>
      <c r="J103" s="36" t="e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>#DIV/0!</v>
      </c>
      <c r="K103" s="8" t="e">
        <f>IF(J103&gt;=90,"A",
 IF(J103&gt;=77,"B",
 IF(J103&gt;=70,"C",
 IF(J103&gt;=60,"D","E"))))</f>
        <v>#DIV/0!</v>
      </c>
      <c r="L103" s="8" t="e">
        <f t="shared" si="11"/>
        <v>#DIV/0!</v>
      </c>
      <c r="M103" s="8" t="e">
        <f>表格1_3[[#This Row],[部內平均]]</f>
        <v>#DIV/0!</v>
      </c>
      <c r="N103" s="8" t="e">
        <f>表格1_3[[#This Row],[共評平均]]</f>
        <v>#DIV/0!</v>
      </c>
      <c r="O103" s="8" t="e">
        <f>表格1_3[[#This Row],[複評平均]]</f>
        <v>#DIV/0!</v>
      </c>
      <c r="P103" s="3"/>
      <c r="Q103" s="3"/>
      <c r="R103" s="3"/>
      <c r="S103" s="3"/>
      <c r="T103" s="3"/>
      <c r="U103" s="3"/>
      <c r="V103" s="3"/>
      <c r="W103" s="38">
        <v>66</v>
      </c>
      <c r="X103" s="2">
        <v>101</v>
      </c>
    </row>
    <row r="104" spans="1:24">
      <c r="A104" s="10" t="s">
        <v>381</v>
      </c>
      <c r="B104" s="5" t="s">
        <v>224</v>
      </c>
      <c r="C104" s="4" t="s">
        <v>93</v>
      </c>
      <c r="D104" s="6" t="s">
        <v>276</v>
      </c>
      <c r="E104" s="4" t="s">
        <v>288</v>
      </c>
      <c r="F104" s="4" t="s">
        <v>119</v>
      </c>
      <c r="G104" s="41" t="e">
        <f>表格1_16[[#This Row],[加權後總分]]-表格1_16[[#This Row],[獎懲分數]]</f>
        <v>#DIV/0!</v>
      </c>
      <c r="H10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4" s="39" t="e">
        <f t="shared" si="10"/>
        <v>#DIV/0!</v>
      </c>
      <c r="J104" s="36" t="e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>#DIV/0!</v>
      </c>
      <c r="K104" s="8" t="e">
        <f t="shared" ref="K104:K125" si="13">IF(J104&gt;=90,"A",
 IF(J104&gt;=77,"B",
 IF(J104&gt;=70,"C",
 IF(J104&gt;=60,"D","E"))))</f>
        <v>#DIV/0!</v>
      </c>
      <c r="L104" s="8" t="e">
        <f t="shared" si="11"/>
        <v>#DIV/0!</v>
      </c>
      <c r="M104" s="8" t="e">
        <f>表格1_3[[#This Row],[部內平均]]</f>
        <v>#DIV/0!</v>
      </c>
      <c r="N104" s="8" t="e">
        <f>表格1_3[[#This Row],[共評平均]]</f>
        <v>#DIV/0!</v>
      </c>
      <c r="O104" s="8">
        <v>76</v>
      </c>
      <c r="P104" s="3"/>
      <c r="Q104" s="3"/>
      <c r="R104" s="3"/>
      <c r="S104" s="3"/>
      <c r="T104" s="3"/>
      <c r="U104" s="3"/>
      <c r="V104" s="3"/>
      <c r="W104" s="38">
        <v>66</v>
      </c>
      <c r="X104" s="2">
        <v>102</v>
      </c>
    </row>
    <row r="105" spans="1:24">
      <c r="A105" s="10" t="s">
        <v>394</v>
      </c>
      <c r="B105" s="5" t="s">
        <v>226</v>
      </c>
      <c r="C105" s="4" t="s">
        <v>95</v>
      </c>
      <c r="D105" s="6" t="s">
        <v>276</v>
      </c>
      <c r="E105" s="4" t="s">
        <v>283</v>
      </c>
      <c r="F105" s="4" t="s">
        <v>79</v>
      </c>
      <c r="G105" s="41" t="e">
        <f>表格1_16[[#This Row],[加權後總分]]-表格1_16[[#This Row],[獎懲分數]]</f>
        <v>#DIV/0!</v>
      </c>
      <c r="H10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5" s="39" t="e">
        <f t="shared" si="10"/>
        <v>#DIV/0!</v>
      </c>
      <c r="J105" s="36" t="e">
        <f t="shared" ref="J105:J135" si="14"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>#DIV/0!</v>
      </c>
      <c r="K105" s="8" t="e">
        <f t="shared" si="13"/>
        <v>#DIV/0!</v>
      </c>
      <c r="L105" s="8" t="e">
        <f t="shared" si="11"/>
        <v>#DIV/0!</v>
      </c>
      <c r="M105" s="8" t="e">
        <f>表格1_3[[#This Row],[部內平均]]</f>
        <v>#DIV/0!</v>
      </c>
      <c r="N105" s="8" t="e">
        <f>表格1_3[[#This Row],[共評平均]]</f>
        <v>#DIV/0!</v>
      </c>
      <c r="O105" s="8" t="e">
        <f>表格1_3[[#This Row],[複評平均]]</f>
        <v>#DIV/0!</v>
      </c>
      <c r="P105" s="3"/>
      <c r="Q105" s="3"/>
      <c r="R105" s="3"/>
      <c r="S105" s="3"/>
      <c r="T105" s="3"/>
      <c r="U105" s="3"/>
      <c r="V105" s="3"/>
      <c r="W105" s="38">
        <v>65.599999999999994</v>
      </c>
      <c r="X105" s="2">
        <v>103</v>
      </c>
    </row>
    <row r="106" spans="1:24">
      <c r="A106" s="10" t="s">
        <v>407</v>
      </c>
      <c r="B106" s="5" t="s">
        <v>227</v>
      </c>
      <c r="C106" s="4" t="s">
        <v>96</v>
      </c>
      <c r="D106" s="6" t="s">
        <v>277</v>
      </c>
      <c r="E106" s="4" t="s">
        <v>283</v>
      </c>
      <c r="F106" s="4" t="s">
        <v>74</v>
      </c>
      <c r="G106" s="41" t="e">
        <f>表格1_16[[#This Row],[加權後總分]]-表格1_16[[#This Row],[獎懲分數]]</f>
        <v>#DIV/0!</v>
      </c>
      <c r="H10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6" s="39" t="e">
        <f t="shared" si="10"/>
        <v>#DIV/0!</v>
      </c>
      <c r="J106" s="36" t="e">
        <f t="shared" si="14"/>
        <v>#DIV/0!</v>
      </c>
      <c r="K106" s="8" t="e">
        <f t="shared" si="13"/>
        <v>#DIV/0!</v>
      </c>
      <c r="L106" s="8" t="e">
        <f t="shared" si="11"/>
        <v>#DIV/0!</v>
      </c>
      <c r="M106" s="8" t="e">
        <f>表格1_3[[#This Row],[部內平均]]</f>
        <v>#DIV/0!</v>
      </c>
      <c r="N106" s="8"/>
      <c r="O106" s="8" t="e">
        <f>表格1_3[[#This Row],[複評平均]]</f>
        <v>#DIV/0!</v>
      </c>
      <c r="P106" s="3"/>
      <c r="Q106" s="3"/>
      <c r="R106" s="3"/>
      <c r="S106" s="3"/>
      <c r="T106" s="3"/>
      <c r="U106" s="3"/>
      <c r="V106" s="3"/>
      <c r="W106" s="38">
        <v>65.599999999999994</v>
      </c>
      <c r="X106" s="2">
        <v>104</v>
      </c>
    </row>
    <row r="107" spans="1:24" hidden="1">
      <c r="A107" s="10" t="s">
        <v>407</v>
      </c>
      <c r="B107" s="5" t="s">
        <v>236</v>
      </c>
      <c r="C107" s="13" t="s">
        <v>105</v>
      </c>
      <c r="D107" s="6" t="s">
        <v>277</v>
      </c>
      <c r="E107" s="4" t="s">
        <v>283</v>
      </c>
      <c r="F107" s="4" t="s">
        <v>74</v>
      </c>
      <c r="G107" s="41" t="e">
        <f>表格1_16[[#This Row],[加權後總分]]-表格1_16[[#This Row],[獎懲分數]]</f>
        <v>#DIV/0!</v>
      </c>
      <c r="H10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7" s="39" t="e">
        <f t="shared" si="10"/>
        <v>#DIV/0!</v>
      </c>
      <c r="J107" s="36" t="e">
        <f t="shared" si="14"/>
        <v>#DIV/0!</v>
      </c>
      <c r="K107" s="8" t="e">
        <f t="shared" si="13"/>
        <v>#DIV/0!</v>
      </c>
      <c r="L107" s="8" t="e">
        <f t="shared" si="11"/>
        <v>#DIV/0!</v>
      </c>
      <c r="M107" s="8" t="e">
        <f>表格1_3[[#This Row],[部內平均]]</f>
        <v>#DIV/0!</v>
      </c>
      <c r="N107" s="8"/>
      <c r="O107" s="8" t="e">
        <f>表格1_3[[#This Row],[複評平均]]</f>
        <v>#DIV/0!</v>
      </c>
      <c r="P107" s="3"/>
      <c r="Q107" s="3"/>
      <c r="R107" s="3"/>
      <c r="S107" s="3"/>
      <c r="T107" s="3"/>
      <c r="U107" s="3"/>
      <c r="V107" s="3"/>
      <c r="W107" s="38">
        <v>64.849999999999994</v>
      </c>
      <c r="X107" s="2">
        <v>105</v>
      </c>
    </row>
    <row r="108" spans="1:24" hidden="1">
      <c r="A108" s="10" t="s">
        <v>407</v>
      </c>
      <c r="B108" s="5" t="s">
        <v>237</v>
      </c>
      <c r="C108" s="13" t="s">
        <v>106</v>
      </c>
      <c r="D108" s="6" t="s">
        <v>277</v>
      </c>
      <c r="E108" s="4" t="s">
        <v>283</v>
      </c>
      <c r="F108" s="4" t="s">
        <v>74</v>
      </c>
      <c r="G108" s="41" t="e">
        <f>表格1_16[[#This Row],[加權後總分]]-表格1_16[[#This Row],[獎懲分數]]</f>
        <v>#DIV/0!</v>
      </c>
      <c r="H10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8" s="39" t="e">
        <f t="shared" si="10"/>
        <v>#DIV/0!</v>
      </c>
      <c r="J108" s="36" t="e">
        <f t="shared" si="14"/>
        <v>#DIV/0!</v>
      </c>
      <c r="K108" s="8" t="e">
        <f t="shared" si="13"/>
        <v>#DIV/0!</v>
      </c>
      <c r="L108" s="8" t="e">
        <f t="shared" si="11"/>
        <v>#DIV/0!</v>
      </c>
      <c r="M108" s="8" t="e">
        <f>表格1_3[[#This Row],[部內平均]]</f>
        <v>#DIV/0!</v>
      </c>
      <c r="N108" s="8"/>
      <c r="O108" s="8" t="e">
        <f>表格1_3[[#This Row],[複評平均]]</f>
        <v>#DIV/0!</v>
      </c>
      <c r="P108" s="3"/>
      <c r="Q108" s="3"/>
      <c r="R108" s="3"/>
      <c r="S108" s="3"/>
      <c r="T108" s="3"/>
      <c r="U108" s="3"/>
      <c r="V108" s="3"/>
      <c r="W108" s="38">
        <v>64.599999999999994</v>
      </c>
      <c r="X108" s="2">
        <v>106</v>
      </c>
    </row>
    <row r="109" spans="1:24" hidden="1">
      <c r="A109" s="10" t="s">
        <v>407</v>
      </c>
      <c r="B109" s="5" t="s">
        <v>230</v>
      </c>
      <c r="C109" s="4" t="s">
        <v>99</v>
      </c>
      <c r="D109" s="6" t="s">
        <v>277</v>
      </c>
      <c r="E109" s="4" t="s">
        <v>285</v>
      </c>
      <c r="F109" s="4" t="s">
        <v>93</v>
      </c>
      <c r="G109" s="41" t="e">
        <f>表格1_16[[#This Row],[加權後總分]]-表格1_16[[#This Row],[獎懲分數]]</f>
        <v>#DIV/0!</v>
      </c>
      <c r="H10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09" s="39" t="e">
        <f>_xlfn.RANK.EQ(G109,$G$2:$G$146,0)</f>
        <v>#DIV/0!</v>
      </c>
      <c r="J109" s="36" t="e">
        <f t="shared" si="14"/>
        <v>#DIV/0!</v>
      </c>
      <c r="K109" s="8" t="e">
        <f t="shared" si="13"/>
        <v>#DIV/0!</v>
      </c>
      <c r="L109" s="8" t="e">
        <f t="shared" si="11"/>
        <v>#DIV/0!</v>
      </c>
      <c r="M109" s="8" t="e">
        <f>表格1_3[[#This Row],[部內平均]]</f>
        <v>#DIV/0!</v>
      </c>
      <c r="N109" s="8"/>
      <c r="O109" s="8" t="e">
        <f>表格1_3[[#This Row],[複評平均]]</f>
        <v>#DIV/0!</v>
      </c>
      <c r="P109" s="3"/>
      <c r="Q109" s="3"/>
      <c r="R109" s="3"/>
      <c r="S109" s="3"/>
      <c r="T109" s="3"/>
      <c r="U109" s="3"/>
      <c r="V109" s="3"/>
      <c r="W109" s="38">
        <v>63.716666666666654</v>
      </c>
      <c r="X109" s="2">
        <v>107</v>
      </c>
    </row>
    <row r="110" spans="1:24" hidden="1">
      <c r="A110" s="10" t="s">
        <v>407</v>
      </c>
      <c r="B110" s="5" t="s">
        <v>228</v>
      </c>
      <c r="C110" s="13" t="s">
        <v>97</v>
      </c>
      <c r="D110" s="6" t="s">
        <v>277</v>
      </c>
      <c r="E110" s="4" t="s">
        <v>283</v>
      </c>
      <c r="F110" s="4" t="s">
        <v>74</v>
      </c>
      <c r="G110" s="41" t="e">
        <f>表格1_16[[#This Row],[加權後總分]]-表格1_16[[#This Row],[獎懲分數]]</f>
        <v>#DIV/0!</v>
      </c>
      <c r="H11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0" s="39" t="e">
        <f t="shared" si="10"/>
        <v>#DIV/0!</v>
      </c>
      <c r="J110" s="36" t="e">
        <f t="shared" si="14"/>
        <v>#DIV/0!</v>
      </c>
      <c r="K110" s="8" t="e">
        <f t="shared" si="13"/>
        <v>#DIV/0!</v>
      </c>
      <c r="L110" s="8" t="e">
        <f t="shared" si="11"/>
        <v>#DIV/0!</v>
      </c>
      <c r="M110" s="8" t="e">
        <f>表格1_3[[#This Row],[部內平均]]</f>
        <v>#DIV/0!</v>
      </c>
      <c r="N110" s="8"/>
      <c r="O110" s="8" t="e">
        <f>表格1_3[[#This Row],[複評平均]]</f>
        <v>#DIV/0!</v>
      </c>
      <c r="P110" s="3"/>
      <c r="Q110" s="3"/>
      <c r="R110" s="3"/>
      <c r="S110" s="3"/>
      <c r="T110" s="3"/>
      <c r="U110" s="3"/>
      <c r="V110" s="3"/>
      <c r="W110" s="38">
        <v>63.677777777777777</v>
      </c>
      <c r="X110" s="2">
        <v>108</v>
      </c>
    </row>
    <row r="111" spans="1:24">
      <c r="A111" s="10" t="s">
        <v>407</v>
      </c>
      <c r="B111" s="5" t="s">
        <v>229</v>
      </c>
      <c r="C111" s="4" t="s">
        <v>98</v>
      </c>
      <c r="D111" s="6" t="s">
        <v>277</v>
      </c>
      <c r="E111" s="4" t="s">
        <v>283</v>
      </c>
      <c r="F111" s="4" t="s">
        <v>74</v>
      </c>
      <c r="G111" s="41" t="e">
        <f>表格1_16[[#This Row],[加權後總分]]-表格1_16[[#This Row],[獎懲分數]]</f>
        <v>#DIV/0!</v>
      </c>
      <c r="H11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1" s="39" t="e">
        <f t="shared" si="10"/>
        <v>#DIV/0!</v>
      </c>
      <c r="J111" s="36" t="e">
        <f t="shared" si="14"/>
        <v>#DIV/0!</v>
      </c>
      <c r="K111" s="8" t="e">
        <f t="shared" si="13"/>
        <v>#DIV/0!</v>
      </c>
      <c r="L111" s="8" t="e">
        <f t="shared" si="11"/>
        <v>#DIV/0!</v>
      </c>
      <c r="M111" s="8" t="e">
        <f>表格1_3[[#This Row],[部內平均]]</f>
        <v>#DIV/0!</v>
      </c>
      <c r="N111" s="8"/>
      <c r="O111" s="8" t="e">
        <f>表格1_3[[#This Row],[複評平均]]</f>
        <v>#DIV/0!</v>
      </c>
      <c r="P111" s="3"/>
      <c r="Q111" s="3"/>
      <c r="R111" s="3"/>
      <c r="S111" s="3"/>
      <c r="T111" s="3"/>
      <c r="U111" s="3"/>
      <c r="V111" s="3"/>
      <c r="W111" s="38">
        <v>63.599999999999994</v>
      </c>
      <c r="X111" s="2">
        <v>109</v>
      </c>
    </row>
    <row r="112" spans="1:24">
      <c r="A112" s="10" t="s">
        <v>407</v>
      </c>
      <c r="B112" s="5" t="s">
        <v>235</v>
      </c>
      <c r="C112" s="4" t="s">
        <v>104</v>
      </c>
      <c r="D112" s="6" t="s">
        <v>277</v>
      </c>
      <c r="E112" s="4" t="s">
        <v>283</v>
      </c>
      <c r="F112" s="4" t="s">
        <v>74</v>
      </c>
      <c r="G112" s="41" t="e">
        <f>表格1_16[[#This Row],[加權後總分]]-表格1_16[[#This Row],[獎懲分數]]</f>
        <v>#DIV/0!</v>
      </c>
      <c r="H11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2" s="39" t="e">
        <f t="shared" si="10"/>
        <v>#DIV/0!</v>
      </c>
      <c r="J112" s="36" t="e">
        <f t="shared" si="14"/>
        <v>#DIV/0!</v>
      </c>
      <c r="K112" s="8" t="e">
        <f t="shared" si="13"/>
        <v>#DIV/0!</v>
      </c>
      <c r="L112" s="8" t="e">
        <f t="shared" si="11"/>
        <v>#DIV/0!</v>
      </c>
      <c r="M112" s="8" t="e">
        <f>表格1_3[[#This Row],[部內平均]]</f>
        <v>#DIV/0!</v>
      </c>
      <c r="N112" s="8"/>
      <c r="O112" s="8" t="e">
        <f>表格1_3[[#This Row],[複評平均]]</f>
        <v>#DIV/0!</v>
      </c>
      <c r="P112" s="3"/>
      <c r="Q112" s="3"/>
      <c r="R112" s="3"/>
      <c r="S112" s="3"/>
      <c r="T112" s="3"/>
      <c r="U112" s="3"/>
      <c r="V112" s="3"/>
      <c r="W112" s="38">
        <v>63.4</v>
      </c>
      <c r="X112" s="2">
        <v>110</v>
      </c>
    </row>
    <row r="113" spans="1:24" hidden="1">
      <c r="A113" s="10" t="s">
        <v>407</v>
      </c>
      <c r="B113" s="5" t="s">
        <v>240</v>
      </c>
      <c r="C113" s="4" t="s">
        <v>109</v>
      </c>
      <c r="D113" s="6" t="s">
        <v>277</v>
      </c>
      <c r="E113" s="4" t="s">
        <v>283</v>
      </c>
      <c r="F113" s="4" t="s">
        <v>74</v>
      </c>
      <c r="G113" s="41" t="e">
        <f>表格1_16[[#This Row],[加權後總分]]-表格1_16[[#This Row],[獎懲分數]]</f>
        <v>#DIV/0!</v>
      </c>
      <c r="H11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3" s="39" t="e">
        <f t="shared" si="10"/>
        <v>#DIV/0!</v>
      </c>
      <c r="J113" s="36" t="e">
        <f t="shared" si="14"/>
        <v>#DIV/0!</v>
      </c>
      <c r="K113" s="8" t="e">
        <f t="shared" si="13"/>
        <v>#DIV/0!</v>
      </c>
      <c r="L113" s="8" t="e">
        <f t="shared" si="11"/>
        <v>#DIV/0!</v>
      </c>
      <c r="M113" s="8" t="e">
        <f>表格1_3[[#This Row],[部內平均]]</f>
        <v>#DIV/0!</v>
      </c>
      <c r="N113" s="8"/>
      <c r="O113" s="8" t="e">
        <f>表格1_3[[#This Row],[複評平均]]</f>
        <v>#DIV/0!</v>
      </c>
      <c r="P113" s="3"/>
      <c r="Q113" s="3"/>
      <c r="R113" s="3"/>
      <c r="S113" s="3"/>
      <c r="T113" s="3"/>
      <c r="U113" s="3"/>
      <c r="V113" s="3"/>
      <c r="W113" s="38">
        <v>63.2</v>
      </c>
      <c r="X113" s="2">
        <v>111</v>
      </c>
    </row>
    <row r="114" spans="1:24" hidden="1">
      <c r="A114" s="10" t="s">
        <v>407</v>
      </c>
      <c r="B114" s="5" t="s">
        <v>238</v>
      </c>
      <c r="C114" s="4" t="s">
        <v>107</v>
      </c>
      <c r="D114" s="6" t="s">
        <v>277</v>
      </c>
      <c r="E114" s="4" t="s">
        <v>283</v>
      </c>
      <c r="F114" s="4" t="s">
        <v>74</v>
      </c>
      <c r="G114" s="41" t="e">
        <f>表格1_16[[#This Row],[加權後總分]]-表格1_16[[#This Row],[獎懲分數]]</f>
        <v>#DIV/0!</v>
      </c>
      <c r="H11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4" s="39" t="e">
        <f t="shared" si="10"/>
        <v>#DIV/0!</v>
      </c>
      <c r="J114" s="36" t="e">
        <f t="shared" si="14"/>
        <v>#DIV/0!</v>
      </c>
      <c r="K114" s="8" t="e">
        <f t="shared" si="13"/>
        <v>#DIV/0!</v>
      </c>
      <c r="L114" s="8" t="e">
        <f t="shared" si="11"/>
        <v>#DIV/0!</v>
      </c>
      <c r="M114" s="8" t="e">
        <f>表格1_3[[#This Row],[部內平均]]</f>
        <v>#DIV/0!</v>
      </c>
      <c r="N114" s="8"/>
      <c r="O114" s="8" t="e">
        <f>表格1_3[[#This Row],[複評平均]]</f>
        <v>#DIV/0!</v>
      </c>
      <c r="P114" s="3"/>
      <c r="Q114" s="3"/>
      <c r="R114" s="3"/>
      <c r="S114" s="3"/>
      <c r="T114" s="3"/>
      <c r="U114" s="3"/>
      <c r="V114" s="3"/>
      <c r="W114" s="38">
        <v>62.8</v>
      </c>
      <c r="X114" s="2">
        <v>112</v>
      </c>
    </row>
    <row r="115" spans="1:24" hidden="1">
      <c r="A115" s="10" t="s">
        <v>407</v>
      </c>
      <c r="B115" s="5" t="s">
        <v>239</v>
      </c>
      <c r="C115" s="4" t="s">
        <v>108</v>
      </c>
      <c r="D115" s="6" t="s">
        <v>277</v>
      </c>
      <c r="E115" s="4" t="s">
        <v>283</v>
      </c>
      <c r="F115" s="4" t="s">
        <v>74</v>
      </c>
      <c r="G115" s="41" t="e">
        <f>表格1_16[[#This Row],[加權後總分]]-表格1_16[[#This Row],[獎懲分數]]</f>
        <v>#DIV/0!</v>
      </c>
      <c r="H11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5" s="39" t="e">
        <f t="shared" si="10"/>
        <v>#DIV/0!</v>
      </c>
      <c r="J115" s="36" t="e">
        <f t="shared" si="14"/>
        <v>#DIV/0!</v>
      </c>
      <c r="K115" s="8" t="e">
        <f t="shared" si="13"/>
        <v>#DIV/0!</v>
      </c>
      <c r="L115" s="8" t="e">
        <f t="shared" si="11"/>
        <v>#DIV/0!</v>
      </c>
      <c r="M115" s="8" t="e">
        <f>表格1_3[[#This Row],[部內平均]]</f>
        <v>#DIV/0!</v>
      </c>
      <c r="N115" s="8"/>
      <c r="O115" s="8" t="e">
        <f>表格1_3[[#This Row],[複評平均]]</f>
        <v>#DIV/0!</v>
      </c>
      <c r="P115" s="3"/>
      <c r="Q115" s="3"/>
      <c r="R115" s="3"/>
      <c r="S115" s="3"/>
      <c r="T115" s="3"/>
      <c r="U115" s="3"/>
      <c r="V115" s="3"/>
      <c r="W115" s="38">
        <v>62.400000000000006</v>
      </c>
      <c r="X115" s="2">
        <v>113</v>
      </c>
    </row>
    <row r="116" spans="1:24" ht="26" hidden="1">
      <c r="A116" s="10" t="s">
        <v>407</v>
      </c>
      <c r="B116" s="5" t="s">
        <v>201</v>
      </c>
      <c r="C116" s="12" t="s">
        <v>420</v>
      </c>
      <c r="D116" s="6" t="s">
        <v>277</v>
      </c>
      <c r="E116" s="4" t="s">
        <v>283</v>
      </c>
      <c r="F116" s="4" t="s">
        <v>63</v>
      </c>
      <c r="G116" s="41" t="e">
        <f>表格1_16[[#This Row],[加權後總分]]-表格1_16[[#This Row],[獎懲分數]]</f>
        <v>#DIV/0!</v>
      </c>
      <c r="H11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6" s="39" t="e">
        <f t="shared" si="10"/>
        <v>#DIV/0!</v>
      </c>
      <c r="J116" s="36" t="e">
        <f t="shared" si="14"/>
        <v>#DIV/0!</v>
      </c>
      <c r="K116" s="8" t="e">
        <f t="shared" si="13"/>
        <v>#DIV/0!</v>
      </c>
      <c r="L116" s="8" t="e">
        <f t="shared" si="11"/>
        <v>#DIV/0!</v>
      </c>
      <c r="M116" s="8" t="e">
        <f>表格1_3[[#This Row],[部內平均]]</f>
        <v>#DIV/0!</v>
      </c>
      <c r="N116" s="8"/>
      <c r="O116" s="8" t="e">
        <f>表格1_3[[#This Row],[複評平均]]</f>
        <v>#DIV/0!</v>
      </c>
      <c r="P116" s="3"/>
      <c r="Q116" s="3"/>
      <c r="R116" s="3"/>
      <c r="S116" s="3"/>
      <c r="T116" s="3"/>
      <c r="U116" s="3"/>
      <c r="V116" s="3"/>
      <c r="W116" s="38">
        <v>61.8</v>
      </c>
      <c r="X116" s="2">
        <v>114</v>
      </c>
    </row>
    <row r="117" spans="1:24">
      <c r="A117" s="10" t="s">
        <v>407</v>
      </c>
      <c r="B117" s="5" t="s">
        <v>232</v>
      </c>
      <c r="C117" s="4" t="s">
        <v>101</v>
      </c>
      <c r="D117" s="6" t="s">
        <v>277</v>
      </c>
      <c r="E117" s="4" t="s">
        <v>283</v>
      </c>
      <c r="F117" s="4" t="s">
        <v>74</v>
      </c>
      <c r="G117" s="41" t="e">
        <f>表格1_16[[#This Row],[加權後總分]]-表格1_16[[#This Row],[獎懲分數]]</f>
        <v>#DIV/0!</v>
      </c>
      <c r="H11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7" s="39" t="e">
        <f t="shared" si="10"/>
        <v>#DIV/0!</v>
      </c>
      <c r="J117" s="36" t="e">
        <f t="shared" si="14"/>
        <v>#DIV/0!</v>
      </c>
      <c r="K117" s="8" t="e">
        <f t="shared" si="13"/>
        <v>#DIV/0!</v>
      </c>
      <c r="L117" s="8" t="e">
        <f t="shared" si="11"/>
        <v>#DIV/0!</v>
      </c>
      <c r="M117" s="8" t="e">
        <f>表格1_3[[#This Row],[部內平均]]</f>
        <v>#DIV/0!</v>
      </c>
      <c r="N117" s="8"/>
      <c r="O117" s="8" t="e">
        <f>表格1_3[[#This Row],[複評平均]]</f>
        <v>#DIV/0!</v>
      </c>
      <c r="P117" s="3"/>
      <c r="Q117" s="3"/>
      <c r="R117" s="3"/>
      <c r="S117" s="3"/>
      <c r="T117" s="3"/>
      <c r="U117" s="3"/>
      <c r="V117" s="3"/>
      <c r="W117" s="38">
        <v>61.2</v>
      </c>
      <c r="X117" s="2">
        <v>115</v>
      </c>
    </row>
    <row r="118" spans="1:24">
      <c r="A118" s="10" t="s">
        <v>407</v>
      </c>
      <c r="B118" s="5" t="s">
        <v>234</v>
      </c>
      <c r="C118" s="4" t="s">
        <v>103</v>
      </c>
      <c r="D118" s="6" t="s">
        <v>277</v>
      </c>
      <c r="E118" s="4" t="s">
        <v>283</v>
      </c>
      <c r="F118" s="4" t="s">
        <v>74</v>
      </c>
      <c r="G118" s="41" t="e">
        <f>表格1_16[[#This Row],[加權後總分]]-表格1_16[[#This Row],[獎懲分數]]</f>
        <v>#DIV/0!</v>
      </c>
      <c r="H118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8" s="39" t="e">
        <f t="shared" si="10"/>
        <v>#DIV/0!</v>
      </c>
      <c r="J118" s="36" t="e">
        <f t="shared" si="14"/>
        <v>#DIV/0!</v>
      </c>
      <c r="K118" s="8" t="e">
        <f t="shared" si="13"/>
        <v>#DIV/0!</v>
      </c>
      <c r="L118" s="8" t="e">
        <f t="shared" si="11"/>
        <v>#DIV/0!</v>
      </c>
      <c r="M118" s="8" t="e">
        <f>表格1_3[[#This Row],[部內平均]]</f>
        <v>#DIV/0!</v>
      </c>
      <c r="N118" s="8"/>
      <c r="O118" s="8" t="e">
        <f>表格1_3[[#This Row],[複評平均]]</f>
        <v>#DIV/0!</v>
      </c>
      <c r="P118" s="3"/>
      <c r="Q118" s="3"/>
      <c r="R118" s="3"/>
      <c r="S118" s="3"/>
      <c r="T118" s="3"/>
      <c r="U118" s="3"/>
      <c r="V118" s="3"/>
      <c r="W118" s="38">
        <v>60.833333333333329</v>
      </c>
      <c r="X118" s="2">
        <v>116</v>
      </c>
    </row>
    <row r="119" spans="1:24" hidden="1">
      <c r="A119" s="10" t="s">
        <v>407</v>
      </c>
      <c r="B119" s="5" t="s">
        <v>233</v>
      </c>
      <c r="C119" s="4" t="s">
        <v>102</v>
      </c>
      <c r="D119" s="6" t="s">
        <v>277</v>
      </c>
      <c r="E119" s="4" t="s">
        <v>297</v>
      </c>
      <c r="F119" s="4" t="s">
        <v>74</v>
      </c>
      <c r="G119" s="41" t="e">
        <f>表格1_16[[#This Row],[加權後總分]]-表格1_16[[#This Row],[獎懲分數]]</f>
        <v>#DIV/0!</v>
      </c>
      <c r="H119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19" s="39" t="e">
        <f t="shared" si="10"/>
        <v>#DIV/0!</v>
      </c>
      <c r="J119" s="36" t="e">
        <f t="shared" si="14"/>
        <v>#DIV/0!</v>
      </c>
      <c r="K119" s="8" t="e">
        <f t="shared" si="13"/>
        <v>#DIV/0!</v>
      </c>
      <c r="L119" s="8" t="e">
        <f t="shared" si="11"/>
        <v>#DIV/0!</v>
      </c>
      <c r="M119" s="8" t="e">
        <f>表格1_3[[#This Row],[部內平均]]</f>
        <v>#DIV/0!</v>
      </c>
      <c r="N119" s="8"/>
      <c r="O119" s="8" t="e">
        <f>表格1_3[[#This Row],[複評平均]]</f>
        <v>#DIV/0!</v>
      </c>
      <c r="P119" s="3"/>
      <c r="Q119" s="3"/>
      <c r="R119" s="3"/>
      <c r="S119" s="3"/>
      <c r="T119" s="3"/>
      <c r="U119" s="3"/>
      <c r="V119" s="3"/>
      <c r="W119" s="38">
        <v>60.6</v>
      </c>
      <c r="X119" s="2">
        <v>117</v>
      </c>
    </row>
    <row r="120" spans="1:24" ht="26" hidden="1">
      <c r="A120" s="10" t="s">
        <v>407</v>
      </c>
      <c r="B120" s="5" t="s">
        <v>214</v>
      </c>
      <c r="C120" s="12" t="s">
        <v>421</v>
      </c>
      <c r="D120" s="6" t="s">
        <v>277</v>
      </c>
      <c r="E120" s="4" t="s">
        <v>283</v>
      </c>
      <c r="F120" s="4" t="s">
        <v>331</v>
      </c>
      <c r="G120" s="41" t="e">
        <f>表格1_16[[#This Row],[加權後總分]]-表格1_16[[#This Row],[獎懲分數]]</f>
        <v>#DIV/0!</v>
      </c>
      <c r="H12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0" s="39" t="e">
        <f t="shared" si="10"/>
        <v>#DIV/0!</v>
      </c>
      <c r="J120" s="36" t="e">
        <f t="shared" si="14"/>
        <v>#DIV/0!</v>
      </c>
      <c r="K120" s="8" t="e">
        <f t="shared" si="13"/>
        <v>#DIV/0!</v>
      </c>
      <c r="L120" s="8" t="e">
        <f t="shared" si="11"/>
        <v>#DIV/0!</v>
      </c>
      <c r="M120" s="8" t="e">
        <f>表格1_3[[#This Row],[部內平均]]</f>
        <v>#DIV/0!</v>
      </c>
      <c r="N120" s="8"/>
      <c r="O120" s="8" t="e">
        <f>表格1_3[[#This Row],[複評平均]]</f>
        <v>#DIV/0!</v>
      </c>
      <c r="P120" s="3"/>
      <c r="Q120" s="3"/>
      <c r="R120" s="3"/>
      <c r="S120" s="3"/>
      <c r="T120" s="3"/>
      <c r="U120" s="3"/>
      <c r="V120" s="3"/>
      <c r="W120" s="38">
        <v>59.8</v>
      </c>
      <c r="X120" s="2">
        <v>118</v>
      </c>
    </row>
    <row r="121" spans="1:24">
      <c r="A121" s="10" t="s">
        <v>407</v>
      </c>
      <c r="B121" s="5" t="s">
        <v>231</v>
      </c>
      <c r="C121" s="4" t="s">
        <v>100</v>
      </c>
      <c r="D121" s="6" t="s">
        <v>277</v>
      </c>
      <c r="E121" s="4" t="s">
        <v>283</v>
      </c>
      <c r="F121" s="4" t="s">
        <v>74</v>
      </c>
      <c r="G121" s="41" t="e">
        <f>表格1_16[[#This Row],[加權後總分]]-表格1_16[[#This Row],[獎懲分數]]</f>
        <v>#DIV/0!</v>
      </c>
      <c r="H12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1" s="39" t="e">
        <f t="shared" si="10"/>
        <v>#DIV/0!</v>
      </c>
      <c r="J121" s="36" t="e">
        <f t="shared" si="14"/>
        <v>#DIV/0!</v>
      </c>
      <c r="K121" s="8" t="e">
        <f t="shared" si="13"/>
        <v>#DIV/0!</v>
      </c>
      <c r="L121" s="8" t="e">
        <f t="shared" si="11"/>
        <v>#DIV/0!</v>
      </c>
      <c r="M121" s="8" t="e">
        <f>表格1_3[[#This Row],[部內平均]]</f>
        <v>#DIV/0!</v>
      </c>
      <c r="N121" s="8"/>
      <c r="O121" s="8" t="e">
        <f>表格1_3[[#This Row],[複評平均]]</f>
        <v>#DIV/0!</v>
      </c>
      <c r="P121" s="3"/>
      <c r="Q121" s="3"/>
      <c r="R121" s="3"/>
      <c r="S121" s="3"/>
      <c r="T121" s="3"/>
      <c r="U121" s="3"/>
      <c r="V121" s="3"/>
      <c r="W121" s="38">
        <v>56.6</v>
      </c>
      <c r="X121" s="2">
        <v>119</v>
      </c>
    </row>
    <row r="122" spans="1:24" hidden="1">
      <c r="A122" s="10" t="s">
        <v>407</v>
      </c>
      <c r="B122" s="5" t="s">
        <v>244</v>
      </c>
      <c r="C122" s="13" t="s">
        <v>113</v>
      </c>
      <c r="D122" s="6" t="s">
        <v>277</v>
      </c>
      <c r="E122" s="4" t="s">
        <v>283</v>
      </c>
      <c r="F122" s="4" t="s">
        <v>63</v>
      </c>
      <c r="G122" s="41" t="e">
        <f>表格1_16[[#This Row],[加權後總分]]-表格1_16[[#This Row],[獎懲分數]]</f>
        <v>#DIV/0!</v>
      </c>
      <c r="H122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2" s="39" t="e">
        <f t="shared" si="10"/>
        <v>#DIV/0!</v>
      </c>
      <c r="J122" s="36" t="e">
        <f t="shared" si="14"/>
        <v>#DIV/0!</v>
      </c>
      <c r="K122" s="8" t="e">
        <f t="shared" si="13"/>
        <v>#DIV/0!</v>
      </c>
      <c r="L122" s="8" t="e">
        <f t="shared" si="11"/>
        <v>#DIV/0!</v>
      </c>
      <c r="M122" s="8" t="e">
        <f>表格1_3[[#This Row],[部內平均]]</f>
        <v>#DIV/0!</v>
      </c>
      <c r="N122" s="8"/>
      <c r="O122" s="8" t="e">
        <f>表格1_3[[#This Row],[複評平均]]</f>
        <v>#DIV/0!</v>
      </c>
      <c r="P122" s="3"/>
      <c r="Q122" s="3"/>
      <c r="R122" s="3"/>
      <c r="S122" s="3"/>
      <c r="T122" s="3"/>
      <c r="U122" s="3"/>
      <c r="V122" s="3"/>
      <c r="W122" s="38">
        <v>55.8</v>
      </c>
      <c r="X122" s="2">
        <v>120</v>
      </c>
    </row>
    <row r="123" spans="1:24" hidden="1">
      <c r="A123" s="10" t="s">
        <v>407</v>
      </c>
      <c r="B123" s="5" t="s">
        <v>242</v>
      </c>
      <c r="C123" s="13" t="s">
        <v>111</v>
      </c>
      <c r="D123" s="6" t="s">
        <v>277</v>
      </c>
      <c r="E123" s="4" t="s">
        <v>283</v>
      </c>
      <c r="F123" s="4" t="s">
        <v>76</v>
      </c>
      <c r="G123" s="41" t="e">
        <f>表格1_16[[#This Row],[加權後總分]]-表格1_16[[#This Row],[獎懲分數]]</f>
        <v>#DIV/0!</v>
      </c>
      <c r="H12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3" s="39" t="e">
        <f t="shared" si="10"/>
        <v>#DIV/0!</v>
      </c>
      <c r="J123" s="36" t="e">
        <f t="shared" si="14"/>
        <v>#DIV/0!</v>
      </c>
      <c r="K123" s="8" t="e">
        <f t="shared" si="13"/>
        <v>#DIV/0!</v>
      </c>
      <c r="L123" s="8" t="e">
        <f t="shared" si="11"/>
        <v>#DIV/0!</v>
      </c>
      <c r="M123" s="8" t="e">
        <f>表格1_3[[#This Row],[部內平均]]</f>
        <v>#DIV/0!</v>
      </c>
      <c r="N123" s="8"/>
      <c r="O123" s="8" t="e">
        <f>表格1_3[[#This Row],[複評平均]]</f>
        <v>#DIV/0!</v>
      </c>
      <c r="P123" s="3"/>
      <c r="Q123" s="3"/>
      <c r="R123" s="3"/>
      <c r="S123" s="3"/>
      <c r="T123" s="3"/>
      <c r="U123" s="3"/>
      <c r="V123" s="3"/>
      <c r="W123" s="38">
        <v>55</v>
      </c>
      <c r="X123" s="2">
        <v>121</v>
      </c>
    </row>
    <row r="124" spans="1:24" hidden="1">
      <c r="A124" s="10" t="s">
        <v>407</v>
      </c>
      <c r="B124" s="5" t="s">
        <v>243</v>
      </c>
      <c r="C124" s="13" t="s">
        <v>112</v>
      </c>
      <c r="D124" s="6" t="s">
        <v>277</v>
      </c>
      <c r="E124" s="4" t="s">
        <v>283</v>
      </c>
      <c r="F124" s="4" t="s">
        <v>76</v>
      </c>
      <c r="G124" s="41" t="e">
        <f>表格1_16[[#This Row],[加權後總分]]-表格1_16[[#This Row],[獎懲分數]]</f>
        <v>#DIV/0!</v>
      </c>
      <c r="H12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4" s="39" t="e">
        <f t="shared" si="10"/>
        <v>#DIV/0!</v>
      </c>
      <c r="J124" s="36" t="e">
        <f t="shared" si="14"/>
        <v>#DIV/0!</v>
      </c>
      <c r="K124" s="8" t="e">
        <f t="shared" si="13"/>
        <v>#DIV/0!</v>
      </c>
      <c r="L124" s="8" t="e">
        <f t="shared" si="11"/>
        <v>#DIV/0!</v>
      </c>
      <c r="M124" s="8" t="e">
        <f>表格1_3[[#This Row],[部內平均]]</f>
        <v>#DIV/0!</v>
      </c>
      <c r="N124" s="8"/>
      <c r="O124" s="8" t="e">
        <f>表格1_3[[#This Row],[複評平均]]</f>
        <v>#DIV/0!</v>
      </c>
      <c r="P124" s="3"/>
      <c r="Q124" s="3"/>
      <c r="R124" s="3"/>
      <c r="S124" s="3"/>
      <c r="T124" s="3"/>
      <c r="U124" s="3"/>
      <c r="V124" s="3"/>
      <c r="W124" s="38">
        <v>54.8</v>
      </c>
      <c r="X124" s="2">
        <v>122</v>
      </c>
    </row>
    <row r="125" spans="1:24">
      <c r="A125" s="10" t="s">
        <v>407</v>
      </c>
      <c r="B125" s="5" t="s">
        <v>241</v>
      </c>
      <c r="C125" s="4" t="s">
        <v>110</v>
      </c>
      <c r="D125" s="6" t="s">
        <v>277</v>
      </c>
      <c r="E125" s="4" t="s">
        <v>283</v>
      </c>
      <c r="F125" s="4" t="s">
        <v>93</v>
      </c>
      <c r="G125" s="41" t="e">
        <f>表格1_16[[#This Row],[加權後總分]]-表格1_16[[#This Row],[獎懲分數]]</f>
        <v>#DIV/0!</v>
      </c>
      <c r="H12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5" s="39" t="e">
        <f t="shared" si="10"/>
        <v>#DIV/0!</v>
      </c>
      <c r="J125" s="36" t="e">
        <f t="shared" si="14"/>
        <v>#DIV/0!</v>
      </c>
      <c r="K125" s="8" t="e">
        <f t="shared" si="13"/>
        <v>#DIV/0!</v>
      </c>
      <c r="L125" s="8" t="e">
        <f t="shared" si="11"/>
        <v>#DIV/0!</v>
      </c>
      <c r="M125" s="8" t="e">
        <f>表格1_3[[#This Row],[部內平均]]</f>
        <v>#DIV/0!</v>
      </c>
      <c r="N125" s="8"/>
      <c r="O125" s="8" t="e">
        <f>表格1_3[[#This Row],[複評平均]]</f>
        <v>#DIV/0!</v>
      </c>
      <c r="P125" s="3"/>
      <c r="Q125" s="3"/>
      <c r="R125" s="3"/>
      <c r="S125" s="3"/>
      <c r="T125" s="3"/>
      <c r="U125" s="3"/>
      <c r="V125" s="3"/>
      <c r="W125" s="38">
        <v>52.2</v>
      </c>
      <c r="X125" s="2">
        <v>123</v>
      </c>
    </row>
    <row r="126" spans="1:24" hidden="1">
      <c r="A126" s="10" t="s">
        <v>407</v>
      </c>
      <c r="B126" s="5" t="s">
        <v>245</v>
      </c>
      <c r="C126" s="12" t="s">
        <v>415</v>
      </c>
      <c r="D126" s="6" t="s">
        <v>277</v>
      </c>
      <c r="E126" s="4" t="s">
        <v>283</v>
      </c>
      <c r="F126" s="4" t="s">
        <v>332</v>
      </c>
      <c r="G126" s="41">
        <f>表格1_16[[#This Row],[加權後總分]]-表格1_16[[#This Row],[獎懲分數]]</f>
        <v>0</v>
      </c>
      <c r="H126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26" s="39" t="e">
        <f t="shared" si="10"/>
        <v>#DIV/0!</v>
      </c>
      <c r="J126" s="36"/>
      <c r="K126" s="8"/>
      <c r="L126" s="8" t="e">
        <f t="shared" si="11"/>
        <v>#DIV/0!</v>
      </c>
      <c r="M126" s="8" t="e">
        <f>表格1_3[[#This Row],[部內平均]]</f>
        <v>#DIV/0!</v>
      </c>
      <c r="N126" s="8"/>
      <c r="O126" s="8" t="e">
        <f>表格1_3[[#This Row],[複評平均]]</f>
        <v>#DIV/0!</v>
      </c>
      <c r="P126" s="3"/>
      <c r="Q126" s="3"/>
      <c r="R126" s="3"/>
      <c r="S126" s="3"/>
      <c r="T126" s="3"/>
      <c r="U126" s="3"/>
      <c r="V126" s="3"/>
      <c r="W126" s="38">
        <v>51.2</v>
      </c>
      <c r="X126" s="2">
        <v>124</v>
      </c>
    </row>
    <row r="127" spans="1:24" hidden="1">
      <c r="A127" s="10" t="s">
        <v>407</v>
      </c>
      <c r="B127" s="5" t="s">
        <v>246</v>
      </c>
      <c r="C127" s="13" t="s">
        <v>114</v>
      </c>
      <c r="D127" s="6" t="s">
        <v>277</v>
      </c>
      <c r="E127" s="4" t="s">
        <v>283</v>
      </c>
      <c r="F127" s="4" t="s">
        <v>93</v>
      </c>
      <c r="G127" s="41" t="e">
        <f>表格1_16[[#This Row],[加權後總分]]-表格1_16[[#This Row],[獎懲分數]]</f>
        <v>#DIV/0!</v>
      </c>
      <c r="H127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27" s="39" t="e">
        <f t="shared" si="10"/>
        <v>#DIV/0!</v>
      </c>
      <c r="J127" s="36" t="e">
        <f t="shared" si="14"/>
        <v>#DIV/0!</v>
      </c>
      <c r="K127" s="8" t="e">
        <f t="shared" ref="K127:K135" si="15">IF(J127&gt;=90,"A",
 IF(J127&gt;=80,"B",
 IF(J127&gt;=70,"C",
 IF(J127&gt;=60,"D","E"))))</f>
        <v>#DIV/0!</v>
      </c>
      <c r="L127" s="8" t="e">
        <f t="shared" si="11"/>
        <v>#DIV/0!</v>
      </c>
      <c r="M127" s="8" t="e">
        <f>表格1_3[[#This Row],[部內平均]]</f>
        <v>#DIV/0!</v>
      </c>
      <c r="N127" s="8"/>
      <c r="O127" s="8" t="e">
        <f>表格1_3[[#This Row],[複評平均]]</f>
        <v>#DIV/0!</v>
      </c>
      <c r="P127" s="3"/>
      <c r="Q127" s="3"/>
      <c r="R127" s="3"/>
      <c r="S127" s="3"/>
      <c r="T127" s="3"/>
      <c r="U127" s="3"/>
      <c r="V127" s="3"/>
      <c r="W127" s="38">
        <v>51</v>
      </c>
      <c r="X127" s="2">
        <v>125</v>
      </c>
    </row>
    <row r="128" spans="1:24" ht="26" hidden="1">
      <c r="A128" s="10" t="s">
        <v>407</v>
      </c>
      <c r="B128" s="5" t="s">
        <v>250</v>
      </c>
      <c r="C128" s="12" t="s">
        <v>416</v>
      </c>
      <c r="D128" s="6" t="s">
        <v>277</v>
      </c>
      <c r="E128" s="4" t="s">
        <v>283</v>
      </c>
      <c r="F128" s="4" t="s">
        <v>93</v>
      </c>
      <c r="G128" s="41">
        <f>表格1_16[[#This Row],[加權後總分]]-表格1_16[[#This Row],[獎懲分數]]</f>
        <v>0</v>
      </c>
      <c r="H128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28" s="39" t="e">
        <f t="shared" si="10"/>
        <v>#DIV/0!</v>
      </c>
      <c r="J128" s="36"/>
      <c r="K128" s="8"/>
      <c r="L128" s="8" t="e">
        <f t="shared" si="11"/>
        <v>#DIV/0!</v>
      </c>
      <c r="M128" s="8" t="e">
        <f>表格1_3[[#This Row],[部內平均]]</f>
        <v>#DIV/0!</v>
      </c>
      <c r="N128" s="8"/>
      <c r="O128" s="8" t="e">
        <f>表格1_3[[#This Row],[複評平均]]</f>
        <v>#DIV/0!</v>
      </c>
      <c r="P128" s="3"/>
      <c r="Q128" s="3"/>
      <c r="R128" s="3"/>
      <c r="S128" s="3"/>
      <c r="T128" s="3"/>
      <c r="U128" s="3"/>
      <c r="V128" s="3"/>
      <c r="W128" s="38">
        <v>50</v>
      </c>
      <c r="X128" s="2">
        <v>126</v>
      </c>
    </row>
    <row r="129" spans="1:24" hidden="1">
      <c r="A129" s="10" t="s">
        <v>407</v>
      </c>
      <c r="B129" s="5" t="s">
        <v>251</v>
      </c>
      <c r="C129" s="12" t="s">
        <v>433</v>
      </c>
      <c r="D129" s="6" t="s">
        <v>277</v>
      </c>
      <c r="E129" s="4" t="s">
        <v>283</v>
      </c>
      <c r="F129" s="4" t="s">
        <v>93</v>
      </c>
      <c r="G129" s="41">
        <f>表格1_16[[#This Row],[加權後總分]]-表格1_16[[#This Row],[獎懲分數]]</f>
        <v>0</v>
      </c>
      <c r="H129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29" s="39" t="e">
        <f t="shared" si="10"/>
        <v>#DIV/0!</v>
      </c>
      <c r="J129" s="36"/>
      <c r="K129" s="8"/>
      <c r="L129" s="8" t="e">
        <f t="shared" si="11"/>
        <v>#DIV/0!</v>
      </c>
      <c r="M129" s="8" t="e">
        <f>表格1_3[[#This Row],[部內平均]]</f>
        <v>#DIV/0!</v>
      </c>
      <c r="N129" s="8"/>
      <c r="O129" s="8" t="e">
        <f>表格1_3[[#This Row],[複評平均]]</f>
        <v>#DIV/0!</v>
      </c>
      <c r="P129" s="3"/>
      <c r="Q129" s="3"/>
      <c r="R129" s="3"/>
      <c r="S129" s="3"/>
      <c r="T129" s="3"/>
      <c r="U129" s="3"/>
      <c r="V129" s="3"/>
      <c r="W129" s="38">
        <v>50</v>
      </c>
      <c r="X129" s="2">
        <v>127</v>
      </c>
    </row>
    <row r="130" spans="1:24" hidden="1">
      <c r="A130" s="10" t="s">
        <v>407</v>
      </c>
      <c r="B130" s="5" t="s">
        <v>249</v>
      </c>
      <c r="C130" s="4" t="s">
        <v>116</v>
      </c>
      <c r="D130" s="6" t="s">
        <v>277</v>
      </c>
      <c r="E130" s="4" t="s">
        <v>283</v>
      </c>
      <c r="F130" s="4" t="s">
        <v>74</v>
      </c>
      <c r="G130" s="41" t="e">
        <f>表格1_16[[#This Row],[加權後總分]]-表格1_16[[#This Row],[獎懲分數]]</f>
        <v>#DIV/0!</v>
      </c>
      <c r="H13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30" s="39" t="e">
        <f t="shared" si="10"/>
        <v>#DIV/0!</v>
      </c>
      <c r="J130" s="36" t="e">
        <f t="shared" si="14"/>
        <v>#DIV/0!</v>
      </c>
      <c r="K130" s="8" t="e">
        <f t="shared" si="15"/>
        <v>#DIV/0!</v>
      </c>
      <c r="L130" s="8" t="e">
        <f t="shared" si="11"/>
        <v>#DIV/0!</v>
      </c>
      <c r="M130" s="8" t="e">
        <f>表格1_3[[#This Row],[部內平均]]</f>
        <v>#DIV/0!</v>
      </c>
      <c r="N130" s="8"/>
      <c r="O130" s="8" t="e">
        <f>表格1_3[[#This Row],[複評平均]]</f>
        <v>#DIV/0!</v>
      </c>
      <c r="P130" s="3"/>
      <c r="Q130" s="3"/>
      <c r="R130" s="3"/>
      <c r="S130" s="3"/>
      <c r="T130" s="3"/>
      <c r="U130" s="3"/>
      <c r="V130" s="3"/>
      <c r="W130" s="38">
        <v>49.4</v>
      </c>
      <c r="X130" s="2">
        <v>128</v>
      </c>
    </row>
    <row r="131" spans="1:24" hidden="1">
      <c r="A131" s="10" t="s">
        <v>407</v>
      </c>
      <c r="B131" s="5" t="s">
        <v>324</v>
      </c>
      <c r="C131" s="12" t="s">
        <v>432</v>
      </c>
      <c r="D131" s="6" t="s">
        <v>277</v>
      </c>
      <c r="E131" s="4" t="s">
        <v>283</v>
      </c>
      <c r="F131" s="4" t="s">
        <v>93</v>
      </c>
      <c r="G131" s="41">
        <f>表格1_16[[#This Row],[加權後總分]]-表格1_16[[#This Row],[獎懲分數]]</f>
        <v>0</v>
      </c>
      <c r="H131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31" s="39" t="e">
        <f t="shared" ref="I131:I146" si="16">_xlfn.RANK.EQ(G131,$G$2:$G$146,0)</f>
        <v>#DIV/0!</v>
      </c>
      <c r="J131" s="36"/>
      <c r="K131" s="8"/>
      <c r="L131" s="8" t="e">
        <f t="shared" ref="L131:L146" si="17">_xlfn.RANK.EQ(J131,$J$2:$J$146,0)</f>
        <v>#DIV/0!</v>
      </c>
      <c r="M131" s="8" t="e">
        <f>表格1_3[[#This Row],[部內平均]]</f>
        <v>#DIV/0!</v>
      </c>
      <c r="N131" s="8"/>
      <c r="O131" s="8" t="e">
        <f>表格1_3[[#This Row],[複評平均]]</f>
        <v>#DIV/0!</v>
      </c>
      <c r="P131" s="3"/>
      <c r="Q131" s="3"/>
      <c r="R131" s="3"/>
      <c r="S131" s="3"/>
      <c r="T131" s="3"/>
      <c r="U131" s="3"/>
      <c r="V131" s="3"/>
      <c r="W131" s="38">
        <v>49</v>
      </c>
      <c r="X131" s="2">
        <v>129</v>
      </c>
    </row>
    <row r="132" spans="1:24" hidden="1">
      <c r="A132" s="10" t="s">
        <v>407</v>
      </c>
      <c r="B132" s="5" t="s">
        <v>325</v>
      </c>
      <c r="C132" s="12" t="s">
        <v>419</v>
      </c>
      <c r="D132" s="6" t="s">
        <v>277</v>
      </c>
      <c r="E132" s="4" t="s">
        <v>283</v>
      </c>
      <c r="F132" s="4" t="s">
        <v>93</v>
      </c>
      <c r="G132" s="41">
        <f>表格1_16[[#This Row],[加權後總分]]-表格1_16[[#This Row],[獎懲分數]]</f>
        <v>0</v>
      </c>
      <c r="H132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32" s="39" t="e">
        <f t="shared" si="16"/>
        <v>#DIV/0!</v>
      </c>
      <c r="J132" s="36"/>
      <c r="K132" s="8"/>
      <c r="L132" s="8" t="e">
        <f t="shared" si="17"/>
        <v>#DIV/0!</v>
      </c>
      <c r="M132" s="8" t="e">
        <f>表格1_3[[#This Row],[部內平均]]</f>
        <v>#DIV/0!</v>
      </c>
      <c r="N132" s="8"/>
      <c r="O132" s="8" t="e">
        <f>表格1_3[[#This Row],[複評平均]]</f>
        <v>#DIV/0!</v>
      </c>
      <c r="P132" s="3"/>
      <c r="Q132" s="3"/>
      <c r="R132" s="3"/>
      <c r="S132" s="3"/>
      <c r="T132" s="3"/>
      <c r="U132" s="3"/>
      <c r="V132" s="3"/>
      <c r="W132" s="38">
        <v>48.400000000000006</v>
      </c>
      <c r="X132" s="2">
        <v>130</v>
      </c>
    </row>
    <row r="133" spans="1:24" ht="26" hidden="1">
      <c r="A133" s="10" t="s">
        <v>407</v>
      </c>
      <c r="B133" s="5" t="s">
        <v>326</v>
      </c>
      <c r="C133" s="12" t="s">
        <v>431</v>
      </c>
      <c r="D133" s="6" t="s">
        <v>277</v>
      </c>
      <c r="E133" s="4" t="s">
        <v>283</v>
      </c>
      <c r="F133" s="4" t="s">
        <v>93</v>
      </c>
      <c r="G133" s="41">
        <f>表格1_16[[#This Row],[加權後總分]]-表格1_16[[#This Row],[獎懲分數]]</f>
        <v>0</v>
      </c>
      <c r="H133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33" s="39" t="e">
        <f t="shared" si="16"/>
        <v>#DIV/0!</v>
      </c>
      <c r="J133" s="36"/>
      <c r="K133" s="8"/>
      <c r="L133" s="8" t="e">
        <f t="shared" si="17"/>
        <v>#DIV/0!</v>
      </c>
      <c r="M133" s="8" t="e">
        <f>表格1_3[[#This Row],[部內平均]]</f>
        <v>#DIV/0!</v>
      </c>
      <c r="N133" s="8"/>
      <c r="O133" s="8" t="e">
        <f>表格1_3[[#This Row],[複評平均]]</f>
        <v>#DIV/0!</v>
      </c>
      <c r="P133" s="3"/>
      <c r="Q133" s="3"/>
      <c r="R133" s="3"/>
      <c r="S133" s="3"/>
      <c r="T133" s="3"/>
      <c r="U133" s="3"/>
      <c r="V133" s="3"/>
      <c r="W133" s="38">
        <v>48</v>
      </c>
      <c r="X133" s="2">
        <v>131</v>
      </c>
    </row>
    <row r="134" spans="1:24">
      <c r="A134" s="10" t="s">
        <v>407</v>
      </c>
      <c r="B134" s="5" t="s">
        <v>248</v>
      </c>
      <c r="C134" s="4" t="s">
        <v>115</v>
      </c>
      <c r="D134" s="6" t="s">
        <v>277</v>
      </c>
      <c r="E134" s="4" t="s">
        <v>283</v>
      </c>
      <c r="F134" s="4" t="s">
        <v>74</v>
      </c>
      <c r="G134" s="41" t="e">
        <f>表格1_16[[#This Row],[加權後總分]]-表格1_16[[#This Row],[獎懲分數]]</f>
        <v>#DIV/0!</v>
      </c>
      <c r="H13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34" s="39" t="e">
        <f t="shared" si="16"/>
        <v>#DIV/0!</v>
      </c>
      <c r="J134" s="36" t="e">
        <f t="shared" si="14"/>
        <v>#DIV/0!</v>
      </c>
      <c r="K134" s="8" t="e">
        <f t="shared" si="15"/>
        <v>#DIV/0!</v>
      </c>
      <c r="L134" s="8" t="e">
        <f t="shared" si="17"/>
        <v>#DIV/0!</v>
      </c>
      <c r="M134" s="8" t="e">
        <f>表格1_3[[#This Row],[部內平均]]</f>
        <v>#DIV/0!</v>
      </c>
      <c r="N134" s="8"/>
      <c r="O134" s="8" t="e">
        <f>表格1_3[[#This Row],[複評平均]]</f>
        <v>#DIV/0!</v>
      </c>
      <c r="P134" s="3"/>
      <c r="Q134" s="3"/>
      <c r="R134" s="3"/>
      <c r="S134" s="3"/>
      <c r="T134" s="3"/>
      <c r="U134" s="3"/>
      <c r="V134" s="3"/>
      <c r="W134" s="38">
        <v>47.400000000000006</v>
      </c>
      <c r="X134" s="2">
        <v>132</v>
      </c>
    </row>
    <row r="135" spans="1:24">
      <c r="A135" s="10" t="s">
        <v>407</v>
      </c>
      <c r="B135" s="5" t="s">
        <v>252</v>
      </c>
      <c r="C135" s="4" t="s">
        <v>117</v>
      </c>
      <c r="D135" s="6" t="s">
        <v>277</v>
      </c>
      <c r="E135" s="4" t="s">
        <v>283</v>
      </c>
      <c r="F135" s="4" t="s">
        <v>74</v>
      </c>
      <c r="G135" s="41" t="e">
        <f>表格1_16[[#This Row],[加權後總分]]-表格1_16[[#This Row],[獎懲分數]]</f>
        <v>#DIV/0!</v>
      </c>
      <c r="H13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35" s="39" t="e">
        <f t="shared" si="16"/>
        <v>#DIV/0!</v>
      </c>
      <c r="J135" s="36" t="e">
        <f t="shared" si="14"/>
        <v>#DIV/0!</v>
      </c>
      <c r="K135" s="8" t="e">
        <f t="shared" si="15"/>
        <v>#DIV/0!</v>
      </c>
      <c r="L135" s="8" t="e">
        <f t="shared" si="17"/>
        <v>#DIV/0!</v>
      </c>
      <c r="M135" s="8" t="e">
        <f>表格1_3[[#This Row],[部內平均]]</f>
        <v>#DIV/0!</v>
      </c>
      <c r="N135" s="8"/>
      <c r="O135" s="8" t="e">
        <f>表格1_3[[#This Row],[複評平均]]</f>
        <v>#DIV/0!</v>
      </c>
      <c r="P135" s="3"/>
      <c r="Q135" s="3"/>
      <c r="R135" s="3"/>
      <c r="S135" s="3"/>
      <c r="T135" s="3"/>
      <c r="U135" s="3"/>
      <c r="V135" s="3"/>
      <c r="W135" s="38">
        <v>46</v>
      </c>
      <c r="X135" s="2">
        <v>133</v>
      </c>
    </row>
    <row r="136" spans="1:24" hidden="1">
      <c r="A136" s="10" t="s">
        <v>408</v>
      </c>
      <c r="B136" s="5" t="s">
        <v>253</v>
      </c>
      <c r="C136" s="4" t="s">
        <v>118</v>
      </c>
      <c r="D136" s="6" t="s">
        <v>278</v>
      </c>
      <c r="E136" s="4" t="s">
        <v>298</v>
      </c>
      <c r="F136" s="4" t="s">
        <v>118</v>
      </c>
      <c r="G136" s="41"/>
      <c r="H136" s="39"/>
      <c r="I136" s="39"/>
      <c r="J136" s="36"/>
      <c r="K136" s="8"/>
      <c r="L136" s="8"/>
      <c r="M136" s="8" t="e">
        <f>表格1_3[[#This Row],[部內平均]]</f>
        <v>#DIV/0!</v>
      </c>
      <c r="N136" s="8" t="e">
        <f>表格1_3[[#This Row],[共評平均]]</f>
        <v>#DIV/0!</v>
      </c>
      <c r="O136" s="8" t="e">
        <f>表格1_3[[#This Row],[複評平均]]</f>
        <v>#DIV/0!</v>
      </c>
      <c r="P136" s="3"/>
      <c r="Q136" s="3"/>
      <c r="R136" s="3"/>
      <c r="S136" s="3"/>
      <c r="T136" s="3"/>
      <c r="U136" s="3"/>
      <c r="V136" s="3"/>
      <c r="W136" s="38">
        <v>45.8</v>
      </c>
      <c r="X136" s="2">
        <v>134</v>
      </c>
    </row>
    <row r="137" spans="1:24" hidden="1">
      <c r="A137" s="10" t="s">
        <v>384</v>
      </c>
      <c r="B137" s="5" t="s">
        <v>255</v>
      </c>
      <c r="C137" s="4" t="s">
        <v>120</v>
      </c>
      <c r="D137" s="6" t="s">
        <v>279</v>
      </c>
      <c r="E137" s="4" t="s">
        <v>300</v>
      </c>
      <c r="F137" s="4" t="s">
        <v>118</v>
      </c>
      <c r="G137" s="41"/>
      <c r="H137" s="39"/>
      <c r="I137" s="39"/>
      <c r="J137" s="36"/>
      <c r="K137" s="8"/>
      <c r="L137" s="8"/>
      <c r="M137" s="8" t="e">
        <f>表格1_3[[#This Row],[部內平均]]</f>
        <v>#DIV/0!</v>
      </c>
      <c r="N137" s="8" t="e">
        <f>表格1_3[[#This Row],[共評平均]]</f>
        <v>#DIV/0!</v>
      </c>
      <c r="O137" s="8" t="e">
        <f>表格1_3[[#This Row],[複評平均]]</f>
        <v>#DIV/0!</v>
      </c>
      <c r="P137" s="3"/>
      <c r="Q137" s="3"/>
      <c r="R137" s="3"/>
      <c r="S137" s="3"/>
      <c r="T137" s="3"/>
      <c r="U137" s="3"/>
      <c r="V137" s="3"/>
      <c r="W137" s="38">
        <v>45.8</v>
      </c>
      <c r="X137" s="2">
        <v>135</v>
      </c>
    </row>
    <row r="138" spans="1:24" hidden="1">
      <c r="A138" s="10" t="s">
        <v>383</v>
      </c>
      <c r="B138" s="5" t="s">
        <v>254</v>
      </c>
      <c r="C138" s="4" t="s">
        <v>119</v>
      </c>
      <c r="D138" s="6" t="s">
        <v>279</v>
      </c>
      <c r="E138" s="4" t="s">
        <v>299</v>
      </c>
      <c r="F138" s="7"/>
      <c r="G138" s="41"/>
      <c r="H138" s="39"/>
      <c r="I138" s="39"/>
      <c r="J138" s="36"/>
      <c r="K138" s="23"/>
      <c r="L138" s="8"/>
      <c r="M138" s="8" t="e">
        <f>表格1_3[[#This Row],[部內平均]]</f>
        <v>#DIV/0!</v>
      </c>
      <c r="N138" s="8" t="e">
        <f>表格1_3[[#This Row],[共評平均]]</f>
        <v>#DIV/0!</v>
      </c>
      <c r="O138" s="8" t="e">
        <f>表格1_3[[#This Row],[複評平均]]</f>
        <v>#DIV/0!</v>
      </c>
      <c r="P138" s="3"/>
      <c r="Q138" s="3"/>
      <c r="R138" s="3"/>
      <c r="S138" s="3"/>
      <c r="T138" s="3"/>
      <c r="U138" s="3"/>
      <c r="V138" s="3"/>
    </row>
    <row r="139" spans="1:24" hidden="1">
      <c r="A139" s="10" t="s">
        <v>391</v>
      </c>
      <c r="B139" s="5" t="s">
        <v>256</v>
      </c>
      <c r="C139" s="4" t="s">
        <v>121</v>
      </c>
      <c r="D139" s="6" t="s">
        <v>279</v>
      </c>
      <c r="E139" s="4" t="s">
        <v>301</v>
      </c>
      <c r="F139" s="4" t="s">
        <v>120</v>
      </c>
      <c r="G139" s="41"/>
      <c r="H139" s="39"/>
      <c r="I139" s="39"/>
      <c r="J139" s="36"/>
      <c r="K139" s="23"/>
      <c r="L139" s="8"/>
      <c r="M139" s="8" t="e">
        <f>表格1_3[[#This Row],[部內平均]]</f>
        <v>#DIV/0!</v>
      </c>
      <c r="N139" s="8" t="e">
        <f>表格1_3[[#This Row],[共評平均]]</f>
        <v>#DIV/0!</v>
      </c>
      <c r="O139" s="8" t="e">
        <f>表格1_3[[#This Row],[複評平均]]</f>
        <v>#DIV/0!</v>
      </c>
      <c r="P139" s="3"/>
      <c r="Q139" s="3"/>
      <c r="R139" s="3"/>
      <c r="S139" s="3"/>
      <c r="T139" s="3"/>
      <c r="U139" s="3"/>
      <c r="V139" s="3"/>
    </row>
    <row r="140" spans="1:24" hidden="1">
      <c r="A140" s="10" t="s">
        <v>383</v>
      </c>
      <c r="B140" s="5" t="s">
        <v>257</v>
      </c>
      <c r="C140" s="4" t="s">
        <v>122</v>
      </c>
      <c r="D140" s="6" t="s">
        <v>279</v>
      </c>
      <c r="E140" s="4" t="s">
        <v>301</v>
      </c>
      <c r="F140" s="4" t="s">
        <v>120</v>
      </c>
      <c r="G140" s="41" t="e">
        <f>表格1_16[[#This Row],[加權後總分]]-表格1_16[[#This Row],[獎懲分數]]</f>
        <v>#DIV/0!</v>
      </c>
      <c r="H140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40" s="39" t="e">
        <f t="shared" si="16"/>
        <v>#DIV/0!</v>
      </c>
      <c r="J140" s="36" t="e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>#DIV/0!</v>
      </c>
      <c r="K140" s="23" t="e">
        <f>IF(J140&gt;=90,"A",
 IF(J140&gt;=80,"B",
 IF(J140&gt;=70,"C",
 IF(J140&gt;=60,"D","E"))))</f>
        <v>#DIV/0!</v>
      </c>
      <c r="L140" s="8" t="e">
        <f t="shared" si="17"/>
        <v>#DIV/0!</v>
      </c>
      <c r="M140" s="8" t="e">
        <f>表格1_3[[#This Row],[部內平均]]</f>
        <v>#DIV/0!</v>
      </c>
      <c r="N140" s="8" t="e">
        <f>表格1_3[[#This Row],[共評平均]]</f>
        <v>#DIV/0!</v>
      </c>
      <c r="O140" s="8"/>
      <c r="P140" s="3"/>
      <c r="Q140" s="3"/>
      <c r="R140" s="3">
        <v>1</v>
      </c>
      <c r="S140" s="3"/>
      <c r="T140" s="3"/>
      <c r="U140" s="3"/>
      <c r="V140" s="3">
        <v>27</v>
      </c>
    </row>
    <row r="141" spans="1:24" hidden="1">
      <c r="A141" s="10" t="s">
        <v>383</v>
      </c>
      <c r="B141" s="5" t="s">
        <v>259</v>
      </c>
      <c r="C141" s="13" t="s">
        <v>124</v>
      </c>
      <c r="D141" s="6" t="s">
        <v>280</v>
      </c>
      <c r="E141" s="4" t="s">
        <v>281</v>
      </c>
      <c r="F141" s="4" t="s">
        <v>126</v>
      </c>
      <c r="G141" s="41" t="e">
        <f>表格1_16[[#This Row],[加權後總分]]-表格1_16[[#This Row],[獎懲分數]]</f>
        <v>#DIV/0!</v>
      </c>
      <c r="H141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41" s="39" t="e">
        <f t="shared" si="16"/>
        <v>#DIV/0!</v>
      </c>
      <c r="J141" s="36" t="e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>#DIV/0!</v>
      </c>
      <c r="K141" s="23" t="e">
        <f>IF(J141&gt;=90,"A",
 IF(J141&gt;=80,"B",
 IF(J141&gt;=70,"C",
 IF(J141&gt;=60,"D","E"))))</f>
        <v>#DIV/0!</v>
      </c>
      <c r="L141" s="8" t="e">
        <f t="shared" si="17"/>
        <v>#DIV/0!</v>
      </c>
      <c r="M141" s="8" t="e">
        <f>表格1_3[[#This Row],[部內平均]]</f>
        <v>#DIV/0!</v>
      </c>
      <c r="N141" s="8" t="e">
        <f>表格1_3[[#This Row],[共評平均]]</f>
        <v>#DIV/0!</v>
      </c>
      <c r="O141" s="8" t="e">
        <f>表格1_3[[#This Row],[複評平均]]</f>
        <v>#DIV/0!</v>
      </c>
      <c r="P141" s="3"/>
      <c r="Q141" s="3"/>
      <c r="R141" s="3"/>
      <c r="S141" s="3"/>
      <c r="T141" s="3"/>
      <c r="U141" s="3"/>
      <c r="V141" s="3"/>
    </row>
    <row r="142" spans="1:24" hidden="1">
      <c r="A142" s="10" t="s">
        <v>336</v>
      </c>
      <c r="B142" s="5" t="s">
        <v>260</v>
      </c>
      <c r="C142" s="4" t="s">
        <v>125</v>
      </c>
      <c r="D142" s="6" t="s">
        <v>280</v>
      </c>
      <c r="E142" s="4" t="s">
        <v>288</v>
      </c>
      <c r="F142" s="4" t="s">
        <v>120</v>
      </c>
      <c r="G142" s="41"/>
      <c r="H142" s="39" t="str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E</v>
      </c>
      <c r="I142" s="39" t="e">
        <f t="shared" si="16"/>
        <v>#DIV/0!</v>
      </c>
      <c r="J142" s="36"/>
      <c r="K142" s="23"/>
      <c r="L142" s="8"/>
      <c r="M142" s="8" t="e">
        <f>表格1_3[[#This Row],[部內平均]]</f>
        <v>#DIV/0!</v>
      </c>
      <c r="N142" s="8" t="e">
        <f>表格1_3[[#This Row],[共評平均]]</f>
        <v>#DIV/0!</v>
      </c>
      <c r="O142" s="8" t="e">
        <f>表格1_3[[#This Row],[複評平均]]</f>
        <v>#DIV/0!</v>
      </c>
      <c r="P142" s="3"/>
      <c r="Q142" s="3"/>
      <c r="R142" s="3"/>
      <c r="S142" s="3"/>
      <c r="T142" s="3"/>
      <c r="U142" s="3"/>
      <c r="V142" s="3"/>
    </row>
    <row r="143" spans="1:24">
      <c r="B143" s="5" t="s">
        <v>258</v>
      </c>
      <c r="C143" s="4" t="s">
        <v>123</v>
      </c>
      <c r="D143" s="6" t="s">
        <v>280</v>
      </c>
      <c r="E143" s="4" t="s">
        <v>302</v>
      </c>
      <c r="F143" s="4" t="s">
        <v>332</v>
      </c>
      <c r="G143" s="41" t="e">
        <f>表格1_16[[#This Row],[加權後總分]]-表格1_16[[#This Row],[獎懲分數]]</f>
        <v>#DIV/0!</v>
      </c>
      <c r="H143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43" s="39" t="e">
        <f t="shared" si="16"/>
        <v>#DIV/0!</v>
      </c>
      <c r="J143" s="36" t="e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>#DIV/0!</v>
      </c>
      <c r="K143" s="23" t="e">
        <f>IF(J143&gt;=90,"A",
 IF(J143&gt;=80,"B",
 IF(J143&gt;=70,"C",
 IF(J143&gt;=60,"D","E"))))</f>
        <v>#DIV/0!</v>
      </c>
      <c r="L143" s="8" t="e">
        <f t="shared" si="17"/>
        <v>#DIV/0!</v>
      </c>
      <c r="M143" s="8" t="e">
        <f>表格1_3[[#This Row],[部內平均]]</f>
        <v>#DIV/0!</v>
      </c>
      <c r="N143" s="8"/>
      <c r="O143" s="8"/>
      <c r="P143" s="3"/>
      <c r="Q143" s="3"/>
      <c r="R143" s="3"/>
      <c r="S143" s="3"/>
      <c r="T143" s="3"/>
      <c r="U143" s="3"/>
      <c r="V143" s="3"/>
    </row>
    <row r="144" spans="1:24">
      <c r="A144" s="10" t="s">
        <v>383</v>
      </c>
      <c r="B144" s="5" t="s">
        <v>261</v>
      </c>
      <c r="C144" s="4" t="s">
        <v>126</v>
      </c>
      <c r="D144" s="6" t="s">
        <v>280</v>
      </c>
      <c r="E144" s="4" t="s">
        <v>281</v>
      </c>
      <c r="F144" s="4" t="s">
        <v>51</v>
      </c>
      <c r="G144" s="41" t="e">
        <f>表格1_16[[#This Row],[加權後總分]]-表格1_16[[#This Row],[獎懲分數]]</f>
        <v>#DIV/0!</v>
      </c>
      <c r="H144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44" s="39" t="e">
        <f t="shared" si="16"/>
        <v>#DIV/0!</v>
      </c>
      <c r="J144" s="36" t="e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>#DIV/0!</v>
      </c>
      <c r="K144" s="23" t="e">
        <f>IF(J144&gt;=90,"A",
 IF(J144&gt;=80,"B",
 IF(J144&gt;=70,"C",
 IF(J144&gt;=60,"D","E"))))</f>
        <v>#DIV/0!</v>
      </c>
      <c r="L144" s="8" t="e">
        <f t="shared" si="17"/>
        <v>#DIV/0!</v>
      </c>
      <c r="M144" s="8" t="e">
        <f>表格1_3[[#This Row],[部內平均]]</f>
        <v>#DIV/0!</v>
      </c>
      <c r="N144" s="8" t="e">
        <f>表格1_3[[#This Row],[共評平均]]</f>
        <v>#DIV/0!</v>
      </c>
      <c r="O144" s="8"/>
      <c r="P144" s="3"/>
      <c r="Q144" s="3"/>
      <c r="R144" s="3"/>
      <c r="S144" s="3"/>
      <c r="T144" s="3"/>
      <c r="U144" s="3"/>
      <c r="V144" s="3"/>
    </row>
    <row r="145" spans="1:22" hidden="1">
      <c r="A145" s="10" t="s">
        <v>383</v>
      </c>
      <c r="B145" s="5" t="s">
        <v>262</v>
      </c>
      <c r="C145" s="13" t="s">
        <v>127</v>
      </c>
      <c r="D145" s="6" t="s">
        <v>280</v>
      </c>
      <c r="E145" s="4" t="s">
        <v>293</v>
      </c>
      <c r="F145" s="4" t="s">
        <v>119</v>
      </c>
      <c r="G145" s="41" t="e">
        <f>表格1_16[[#This Row],[加權後總分]]-表格1_16[[#This Row],[獎懲分數]]</f>
        <v>#DIV/0!</v>
      </c>
      <c r="H145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45" s="39" t="e">
        <f t="shared" si="16"/>
        <v>#DIV/0!</v>
      </c>
      <c r="J145" s="36" t="e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>#DIV/0!</v>
      </c>
      <c r="K145" s="23" t="e">
        <f>IF(J145&gt;=90,"A",
 IF(J145&gt;=80,"B",
 IF(J145&gt;=70,"C",
 IF(J145&gt;=60,"D","E"))))</f>
        <v>#DIV/0!</v>
      </c>
      <c r="L145" s="8" t="e">
        <f t="shared" si="17"/>
        <v>#DIV/0!</v>
      </c>
      <c r="M145" s="8" t="e">
        <f>表格1_3[[#This Row],[部內平均]]</f>
        <v>#DIV/0!</v>
      </c>
      <c r="N145" s="8" t="e">
        <f>表格1_3[[#This Row],[共評平均]]</f>
        <v>#DIV/0!</v>
      </c>
      <c r="O145" s="8" t="e">
        <f>表格1_3[[#This Row],[複評平均]]</f>
        <v>#DIV/0!</v>
      </c>
      <c r="P145" s="3"/>
      <c r="Q145" s="3"/>
      <c r="R145" s="3"/>
      <c r="S145" s="3"/>
      <c r="T145" s="3"/>
      <c r="U145" s="3"/>
      <c r="V145" s="3"/>
    </row>
    <row r="146" spans="1:22" hidden="1">
      <c r="A146" s="10" t="s">
        <v>380</v>
      </c>
      <c r="B146" s="5" t="s">
        <v>263</v>
      </c>
      <c r="C146" s="4" t="s">
        <v>128</v>
      </c>
      <c r="D146" s="6" t="s">
        <v>280</v>
      </c>
      <c r="E146" s="4" t="s">
        <v>303</v>
      </c>
      <c r="F146" s="4" t="s">
        <v>93</v>
      </c>
      <c r="G146" s="41" t="e">
        <f>表格1_16[[#This Row],[加權後總分]]-表格1_16[[#This Row],[獎懲分數]]</f>
        <v>#DIV/0!</v>
      </c>
      <c r="H146" s="39" t="e">
        <f>IF(表格1_16[[#This Row],[不包含獎懲總分]]&gt;=90,"A",
 IF(表格1_16[[#This Row],[不包含獎懲總分]]&gt;=80,"B",
 IF(表格1_16[[#This Row],[不包含獎懲總分]]&gt;=70,"C",
 IF(表格1_16[[#This Row],[不包含獎懲總分]]&gt;=60,"D","E"))))</f>
        <v>#DIV/0!</v>
      </c>
      <c r="I146" s="39" t="e">
        <f t="shared" si="16"/>
        <v>#DIV/0!</v>
      </c>
      <c r="J146" s="36" t="e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>#DIV/0!</v>
      </c>
      <c r="K146" s="23" t="e">
        <f>IF(J146&gt;=90,"A",
 IF(J146&gt;=80,"B",
 IF(J146&gt;=70,"C",
 IF(J146&gt;=60,"D","E"))))</f>
        <v>#DIV/0!</v>
      </c>
      <c r="L146" s="8" t="e">
        <f t="shared" si="17"/>
        <v>#DIV/0!</v>
      </c>
      <c r="M146" s="8" t="e">
        <f>表格1_3[[#This Row],[部內平均]]</f>
        <v>#DIV/0!</v>
      </c>
      <c r="N146" s="8" t="e">
        <f>表格1_3[[#This Row],[共評平均]]</f>
        <v>#DIV/0!</v>
      </c>
      <c r="O146" s="8">
        <v>67.8</v>
      </c>
      <c r="P146" s="3">
        <v>1</v>
      </c>
      <c r="Q146" s="3"/>
      <c r="R146" s="3"/>
      <c r="S146" s="3"/>
      <c r="T146" s="3"/>
      <c r="U146" s="3"/>
      <c r="V146" s="3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6"/>
  <sheetViews>
    <sheetView showGridLines="0" topLeftCell="C1" zoomScale="80" zoomScaleNormal="80" workbookViewId="0">
      <selection activeCell="AC15" sqref="AC15"/>
    </sheetView>
  </sheetViews>
  <sheetFormatPr defaultRowHeight="14"/>
  <cols>
    <col min="1" max="1" width="11" style="10" hidden="1" customWidth="1"/>
    <col min="2" max="2" width="9.1796875" style="2" hidden="1" customWidth="1"/>
    <col min="3" max="5" width="8.7265625" style="2"/>
    <col min="6" max="6" width="10.453125" style="2" hidden="1" customWidth="1"/>
    <col min="7" max="7" width="15.7265625" style="38" hidden="1" customWidth="1"/>
    <col min="8" max="8" width="10.453125" style="43" hidden="1" customWidth="1"/>
    <col min="9" max="9" width="12.54296875" style="43" hidden="1" customWidth="1"/>
    <col min="10" max="10" width="20.90625" style="37" customWidth="1"/>
    <col min="11" max="11" width="14.1796875" style="10" customWidth="1"/>
    <col min="12" max="12" width="15.36328125" style="10" hidden="1" customWidth="1"/>
    <col min="13" max="13" width="17.36328125" style="2" hidden="1" customWidth="1"/>
    <col min="14" max="14" width="13.6328125" style="10" hidden="1" customWidth="1"/>
    <col min="15" max="15" width="27" style="10" hidden="1" customWidth="1"/>
    <col min="16" max="16" width="14" style="10" hidden="1" customWidth="1"/>
    <col min="17" max="22" width="14" style="2" hidden="1" customWidth="1"/>
    <col min="23" max="23" width="12.54296875" style="38" hidden="1" customWidth="1"/>
    <col min="24" max="24" width="0" style="2" hidden="1" customWidth="1"/>
    <col min="25" max="16384" width="8.7265625" style="2"/>
  </cols>
  <sheetData>
    <row r="1" spans="1:24">
      <c r="A1" s="10" t="s">
        <v>333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328</v>
      </c>
      <c r="G1" s="40" t="s">
        <v>489</v>
      </c>
      <c r="H1" s="42" t="s">
        <v>485</v>
      </c>
      <c r="I1" s="42" t="s">
        <v>487</v>
      </c>
      <c r="J1" s="35" t="s">
        <v>304</v>
      </c>
      <c r="K1" s="11" t="s">
        <v>486</v>
      </c>
      <c r="L1" s="11" t="s">
        <v>488</v>
      </c>
      <c r="M1" s="11" t="s">
        <v>307</v>
      </c>
      <c r="N1" s="11" t="s">
        <v>305</v>
      </c>
      <c r="O1" s="11" t="s">
        <v>306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  <c r="U1" s="1" t="s">
        <v>414</v>
      </c>
      <c r="V1" s="1" t="s">
        <v>308</v>
      </c>
      <c r="W1" s="38" t="s">
        <v>484</v>
      </c>
    </row>
    <row r="2" spans="1:24" ht="30" hidden="1" customHeight="1">
      <c r="A2" s="10" t="s">
        <v>384</v>
      </c>
      <c r="B2" s="44" t="s">
        <v>493</v>
      </c>
      <c r="C2" s="4" t="s">
        <v>6</v>
      </c>
      <c r="D2" s="6" t="s">
        <v>264</v>
      </c>
      <c r="E2" s="4" t="s">
        <v>281</v>
      </c>
      <c r="F2" s="4" t="s">
        <v>310</v>
      </c>
      <c r="G2" s="41" t="e">
        <f>表格1_18[[#This Row],[加權後總分]]-表格1_18[[#This Row],[獎懲分數]]</f>
        <v>#DIV/0!</v>
      </c>
      <c r="H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" s="39" t="e">
        <f>_xlfn.RANK.EQ(G2,$G$2:$G$146,0)</f>
        <v>#DIV/0!</v>
      </c>
      <c r="J2" s="36" t="e">
        <f>IF(
AND(M2&lt;&gt;"",N2&lt;&gt;"",O2&lt;&gt;""),
M2*20% + N2*50% + O2*30%,
IF(
AND(M2&lt;&gt;"",N2="",O2=""),
M2,
IF(
AND(M2="",N2&lt;&gt;"",O2=""),
N2,
IF(
AND(M2="",N2="",O2&lt;&gt;""),
O2,
IF(
AND(M2&lt;&gt;"",N2&lt;&gt;"",O2=""),
M2/(20%+50%)*20% + N2/(20%+50%)*50%,
IF(
AND(M2&lt;&gt;"",N2="",O2&lt;&gt;""),
M2/(20%+30%)*20% + O2/(20%+30%)*30%,
IF(
AND(M2="",N2&lt;&gt;"",O2&lt;&gt;""),
N2/(50%+30%)*50% + O2/(50%+30%)*30%,
""
)
)
)
)
)
)
)</f>
        <v>#DIV/0!</v>
      </c>
      <c r="K2" s="8" t="e">
        <f>IF(J2&gt;=90,"A",
 IF(J2&gt;=77,"B",
 IF(J2&gt;=70,"C",
 IF(J2&gt;=60,"D","E"))))</f>
        <v>#DIV/0!</v>
      </c>
      <c r="L2" s="8" t="e">
        <f>_xlfn.RANK.EQ(J2,$J$2:$J$146,0)</f>
        <v>#DIV/0!</v>
      </c>
      <c r="M2" s="8" t="e">
        <f>表格1_3[[#This Row],[部內平均]]</f>
        <v>#DIV/0!</v>
      </c>
      <c r="N2" s="8" t="e">
        <f>表格1_3[[#This Row],[共評平均]]</f>
        <v>#DIV/0!</v>
      </c>
      <c r="O2" s="8" t="e">
        <f>表格1_3[[#This Row],[複評平均]]</f>
        <v>#DIV/0!</v>
      </c>
      <c r="P2" s="3"/>
      <c r="Q2" s="3"/>
      <c r="R2" s="3"/>
      <c r="S2" s="3"/>
      <c r="T2" s="3"/>
      <c r="U2" s="3"/>
      <c r="V2" s="3"/>
      <c r="W2" s="38" t="e">
        <v>#DIV/0!</v>
      </c>
    </row>
    <row r="3" spans="1:24" hidden="1">
      <c r="A3" s="10" t="s">
        <v>383</v>
      </c>
      <c r="B3" s="5" t="s">
        <v>130</v>
      </c>
      <c r="C3" s="4" t="s">
        <v>309</v>
      </c>
      <c r="D3" s="6" t="s">
        <v>264</v>
      </c>
      <c r="E3" s="4" t="s">
        <v>282</v>
      </c>
      <c r="F3" s="4" t="s">
        <v>310</v>
      </c>
      <c r="G3" s="41" t="e">
        <f>表格1_18[[#This Row],[加權後總分]]-表格1_18[[#This Row],[獎懲分數]]</f>
        <v>#DIV/0!</v>
      </c>
      <c r="H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" s="39" t="e">
        <f t="shared" ref="I3:I66" si="0">_xlfn.RANK.EQ(G3,$G$2:$G$146,0)</f>
        <v>#DIV/0!</v>
      </c>
      <c r="J3" s="36" t="e">
        <f t="shared" ref="J3:J47" si="1">IF(
AND(M3&lt;&gt;"",N3&lt;&gt;"",O3&lt;&gt;""),
M3*20% + N3*50% + O3*30%,
IF(
AND(M3&lt;&gt;"",N3="",O3=""),
M3,
IF(
AND(M3="",N3&lt;&gt;"",O3=""),
N3,
IF(
AND(M3="",N3="",O3&lt;&gt;""),
O3,
IF(
AND(M3&lt;&gt;"",N3&lt;&gt;"",O3=""),
M3/(20%+50%)*20% + N3/(20%+50%)*50%,
IF(
AND(M3&lt;&gt;"",N3="",O3&lt;&gt;""),
M3/(20%+30%)*20% + O3/(20%+30%)*30%,
IF(
AND(M3="",N3&lt;&gt;"",O3&lt;&gt;""),
N3/(50%+30%)*50% + O3/(50%+30%)*30%,
""
)
)
)
)
)
) + V3
)</f>
        <v>#DIV/0!</v>
      </c>
      <c r="K3" s="8" t="e">
        <f t="shared" ref="K3:K18" si="2">IF(J3&gt;=90,"A",
 IF(J3&gt;=77,"B",
 IF(J3&gt;=70,"C",
 IF(J3&gt;=60,"D","E"))))</f>
        <v>#DIV/0!</v>
      </c>
      <c r="L3" s="8" t="e">
        <f t="shared" ref="L3:L66" si="3">_xlfn.RANK.EQ(J3,$J$2:$J$146,0)</f>
        <v>#DIV/0!</v>
      </c>
      <c r="M3" s="8" t="e">
        <f>表格1_3[[#This Row],[部內平均]]</f>
        <v>#DIV/0!</v>
      </c>
      <c r="N3" s="8" t="e">
        <f>表格1_3[[#This Row],[共評平均]]</f>
        <v>#DIV/0!</v>
      </c>
      <c r="O3" s="8" t="e">
        <f>表格1_3[[#This Row],[複評平均]]</f>
        <v>#DIV/0!</v>
      </c>
      <c r="P3" s="3"/>
      <c r="Q3" s="3"/>
      <c r="R3" s="3"/>
      <c r="S3" s="3"/>
      <c r="T3" s="3"/>
      <c r="U3" s="3"/>
      <c r="V3" s="3"/>
      <c r="W3" s="38">
        <v>109.61904761904762</v>
      </c>
      <c r="X3" s="2">
        <v>1</v>
      </c>
    </row>
    <row r="4" spans="1:24" hidden="1">
      <c r="A4" s="10" t="s">
        <v>382</v>
      </c>
      <c r="B4" s="5" t="s">
        <v>131</v>
      </c>
      <c r="C4" s="4" t="s">
        <v>310</v>
      </c>
      <c r="D4" s="6" t="s">
        <v>264</v>
      </c>
      <c r="E4" s="4" t="s">
        <v>5</v>
      </c>
      <c r="F4" s="4" t="s">
        <v>119</v>
      </c>
      <c r="G4" s="41" t="e">
        <f>表格1_18[[#This Row],[加權後總分]]-表格1_18[[#This Row],[獎懲分數]]</f>
        <v>#DIV/0!</v>
      </c>
      <c r="H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" s="39" t="e">
        <f t="shared" si="0"/>
        <v>#DIV/0!</v>
      </c>
      <c r="J4" s="36" t="e">
        <f>IF(
AND(M4&lt;&gt;"",N4&lt;&gt;"",O4&lt;&gt;""),
M4*20% + N4*50% + O4*30%,
IF(
AND(M4&lt;&gt;"",N4="",O4=""),
M4,
IF(
AND(M4="",N4&lt;&gt;"",O4=""),
N4,
IF(
AND(M4="",N4="",O4&lt;&gt;""),
O4,
IF(
AND(M4&lt;&gt;"",N4&lt;&gt;"",O4=""),
M4/(20%+50%)*20% + N4/(20%+50%)*50%,
IF(
AND(M4&lt;&gt;"",N4="",O4&lt;&gt;""),
M4/(20%+30%)*20% + O4/(20%+30%)*30%,
IF(
AND(M4="",N4&lt;&gt;"",O4&lt;&gt;""),
N4/(50%+30%)*50% + O4/(50%+30%)*30%,
""
)
)
)
)
)
) + V4
)</f>
        <v>#DIV/0!</v>
      </c>
      <c r="K4" s="8" t="e">
        <f t="shared" si="2"/>
        <v>#DIV/0!</v>
      </c>
      <c r="L4" s="8" t="e">
        <f t="shared" si="3"/>
        <v>#DIV/0!</v>
      </c>
      <c r="M4" s="8" t="e">
        <f>表格1_3[[#This Row],[部內平均]]</f>
        <v>#DIV/0!</v>
      </c>
      <c r="N4" s="8" t="e">
        <f>表格1_3[[#This Row],[共評平均]]</f>
        <v>#DIV/0!</v>
      </c>
      <c r="O4" s="8"/>
      <c r="P4" s="3"/>
      <c r="Q4" s="3"/>
      <c r="R4" s="3"/>
      <c r="S4" s="3"/>
      <c r="T4" s="3"/>
      <c r="U4" s="3"/>
      <c r="V4" s="3"/>
      <c r="W4" s="38">
        <v>87.6</v>
      </c>
      <c r="X4" s="2">
        <v>2</v>
      </c>
    </row>
    <row r="5" spans="1:24" ht="26" hidden="1">
      <c r="A5" s="10" t="s">
        <v>335</v>
      </c>
      <c r="B5" s="5" t="s">
        <v>133</v>
      </c>
      <c r="C5" s="4" t="s">
        <v>7</v>
      </c>
      <c r="D5" s="6" t="s">
        <v>265</v>
      </c>
      <c r="E5" s="4" t="s">
        <v>284</v>
      </c>
      <c r="F5" s="4" t="s">
        <v>313</v>
      </c>
      <c r="G5" s="41" t="e">
        <f>表格1_18[[#This Row],[加權後總分]]-表格1_18[[#This Row],[獎懲分數]]</f>
        <v>#DIV/0!</v>
      </c>
      <c r="H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" s="39" t="e">
        <f t="shared" si="0"/>
        <v>#DIV/0!</v>
      </c>
      <c r="J5" s="36" t="e">
        <f t="shared" si="1"/>
        <v>#DIV/0!</v>
      </c>
      <c r="K5" s="8" t="e">
        <f t="shared" si="2"/>
        <v>#DIV/0!</v>
      </c>
      <c r="L5" s="8" t="e">
        <f t="shared" si="3"/>
        <v>#DIV/0!</v>
      </c>
      <c r="M5" s="8" t="e">
        <f>表格1_3[[#This Row],[部內平均]]</f>
        <v>#DIV/0!</v>
      </c>
      <c r="N5" s="8"/>
      <c r="O5" s="8" t="e">
        <f>表格1_3[[#This Row],[複評平均]]</f>
        <v>#DIV/0!</v>
      </c>
      <c r="P5" s="3"/>
      <c r="Q5" s="3"/>
      <c r="R5" s="3"/>
      <c r="S5" s="3"/>
      <c r="T5" s="3"/>
      <c r="U5" s="3"/>
      <c r="V5" s="3"/>
      <c r="W5" s="38">
        <v>87.2</v>
      </c>
      <c r="X5" s="2">
        <v>3</v>
      </c>
    </row>
    <row r="6" spans="1:24" hidden="1">
      <c r="A6" s="10" t="s">
        <v>396</v>
      </c>
      <c r="B6" s="5" t="s">
        <v>311</v>
      </c>
      <c r="C6" s="14" t="s">
        <v>434</v>
      </c>
      <c r="D6" s="6" t="s">
        <v>265</v>
      </c>
      <c r="E6" s="4" t="s">
        <v>283</v>
      </c>
      <c r="F6" s="4" t="s">
        <v>313</v>
      </c>
      <c r="G6" s="41" t="e">
        <f>表格1_18[[#This Row],[加權後總分]]-表格1_18[[#This Row],[獎懲分數]]</f>
        <v>#DIV/0!</v>
      </c>
      <c r="H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" s="39" t="e">
        <f t="shared" si="0"/>
        <v>#DIV/0!</v>
      </c>
      <c r="J6" s="36" t="e">
        <f t="shared" si="1"/>
        <v>#DIV/0!</v>
      </c>
      <c r="K6" s="8" t="e">
        <f t="shared" si="2"/>
        <v>#DIV/0!</v>
      </c>
      <c r="L6" s="8" t="e">
        <f t="shared" si="3"/>
        <v>#DIV/0!</v>
      </c>
      <c r="M6" s="8" t="e">
        <f>表格1_3[[#This Row],[部內平均]]</f>
        <v>#DIV/0!</v>
      </c>
      <c r="N6" s="8"/>
      <c r="O6" s="8" t="e">
        <f>表格1_3[[#This Row],[複評平均]]</f>
        <v>#DIV/0!</v>
      </c>
      <c r="P6" s="3"/>
      <c r="Q6" s="3"/>
      <c r="R6" s="3"/>
      <c r="S6" s="3"/>
      <c r="T6" s="3"/>
      <c r="U6" s="3"/>
      <c r="V6" s="3"/>
      <c r="W6" s="38">
        <v>86</v>
      </c>
      <c r="X6" s="2">
        <v>4</v>
      </c>
    </row>
    <row r="7" spans="1:24">
      <c r="A7" s="10" t="s">
        <v>396</v>
      </c>
      <c r="B7" s="5" t="s">
        <v>136</v>
      </c>
      <c r="C7" s="13" t="s">
        <v>10</v>
      </c>
      <c r="D7" s="6" t="s">
        <v>265</v>
      </c>
      <c r="E7" s="4" t="s">
        <v>283</v>
      </c>
      <c r="F7" s="4" t="s">
        <v>313</v>
      </c>
      <c r="G7" s="41" t="e">
        <f>表格1_18[[#This Row],[加權後總分]]-表格1_18[[#This Row],[獎懲分數]]</f>
        <v>#DIV/0!</v>
      </c>
      <c r="H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7" s="39" t="e">
        <f t="shared" si="0"/>
        <v>#DIV/0!</v>
      </c>
      <c r="J7" s="36" t="e">
        <f t="shared" si="1"/>
        <v>#DIV/0!</v>
      </c>
      <c r="K7" s="8" t="e">
        <f t="shared" si="2"/>
        <v>#DIV/0!</v>
      </c>
      <c r="L7" s="8" t="e">
        <f t="shared" si="3"/>
        <v>#DIV/0!</v>
      </c>
      <c r="M7" s="8" t="e">
        <f>表格1_3[[#This Row],[部內平均]]</f>
        <v>#DIV/0!</v>
      </c>
      <c r="N7" s="8"/>
      <c r="O7" s="8" t="e">
        <f>表格1_3[[#This Row],[複評平均]]</f>
        <v>#DIV/0!</v>
      </c>
      <c r="P7" s="3"/>
      <c r="Q7" s="3"/>
      <c r="R7" s="3"/>
      <c r="S7" s="3"/>
      <c r="T7" s="3"/>
      <c r="U7" s="3"/>
      <c r="V7" s="3"/>
      <c r="W7" s="38">
        <v>85.8</v>
      </c>
      <c r="X7" s="2">
        <v>5</v>
      </c>
    </row>
    <row r="8" spans="1:24">
      <c r="A8" s="10" t="s">
        <v>396</v>
      </c>
      <c r="B8" s="5" t="s">
        <v>137</v>
      </c>
      <c r="C8" s="13" t="s">
        <v>11</v>
      </c>
      <c r="D8" s="6" t="s">
        <v>265</v>
      </c>
      <c r="E8" s="4" t="s">
        <v>283</v>
      </c>
      <c r="F8" s="4" t="s">
        <v>313</v>
      </c>
      <c r="G8" s="41" t="e">
        <f>表格1_18[[#This Row],[加權後總分]]-表格1_18[[#This Row],[獎懲分數]]</f>
        <v>#DIV/0!</v>
      </c>
      <c r="H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" s="39" t="e">
        <f t="shared" si="0"/>
        <v>#DIV/0!</v>
      </c>
      <c r="J8" s="36" t="e">
        <f t="shared" si="1"/>
        <v>#DIV/0!</v>
      </c>
      <c r="K8" s="8" t="e">
        <f t="shared" si="2"/>
        <v>#DIV/0!</v>
      </c>
      <c r="L8" s="8" t="e">
        <f t="shared" si="3"/>
        <v>#DIV/0!</v>
      </c>
      <c r="M8" s="8" t="e">
        <f>表格1_3[[#This Row],[部內平均]]</f>
        <v>#DIV/0!</v>
      </c>
      <c r="N8" s="8"/>
      <c r="O8" s="8" t="e">
        <f>表格1_3[[#This Row],[複評平均]]</f>
        <v>#DIV/0!</v>
      </c>
      <c r="P8" s="3"/>
      <c r="Q8" s="3"/>
      <c r="R8" s="3"/>
      <c r="S8" s="3"/>
      <c r="T8" s="3"/>
      <c r="U8" s="3"/>
      <c r="V8" s="3"/>
      <c r="W8" s="38">
        <v>84.86666666666666</v>
      </c>
      <c r="X8" s="2">
        <v>6</v>
      </c>
    </row>
    <row r="9" spans="1:24" hidden="1">
      <c r="A9" s="10" t="s">
        <v>396</v>
      </c>
      <c r="B9" s="5" t="s">
        <v>138</v>
      </c>
      <c r="C9" s="4" t="s">
        <v>12</v>
      </c>
      <c r="D9" s="6" t="s">
        <v>265</v>
      </c>
      <c r="E9" s="4" t="s">
        <v>283</v>
      </c>
      <c r="F9" s="4" t="s">
        <v>93</v>
      </c>
      <c r="G9" s="41" t="e">
        <f>表格1_18[[#This Row],[加權後總分]]-表格1_18[[#This Row],[獎懲分數]]</f>
        <v>#DIV/0!</v>
      </c>
      <c r="H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" s="39" t="e">
        <f t="shared" si="0"/>
        <v>#DIV/0!</v>
      </c>
      <c r="J9" s="36" t="e">
        <f t="shared" si="1"/>
        <v>#DIV/0!</v>
      </c>
      <c r="K9" s="8" t="e">
        <f t="shared" si="2"/>
        <v>#DIV/0!</v>
      </c>
      <c r="L9" s="8" t="e">
        <f t="shared" si="3"/>
        <v>#DIV/0!</v>
      </c>
      <c r="M9" s="8" t="e">
        <f>表格1_3[[#This Row],[部內平均]]</f>
        <v>#DIV/0!</v>
      </c>
      <c r="N9" s="8"/>
      <c r="O9" s="8" t="e">
        <f>表格1_3[[#This Row],[複評平均]]</f>
        <v>#DIV/0!</v>
      </c>
      <c r="P9" s="3"/>
      <c r="Q9" s="3"/>
      <c r="R9" s="3"/>
      <c r="S9" s="3"/>
      <c r="T9" s="3"/>
      <c r="U9" s="3"/>
      <c r="V9" s="3"/>
      <c r="W9" s="38">
        <v>84.8</v>
      </c>
      <c r="X9" s="2">
        <v>7</v>
      </c>
    </row>
    <row r="10" spans="1:24" hidden="1">
      <c r="A10" s="10" t="s">
        <v>396</v>
      </c>
      <c r="B10" s="5" t="s">
        <v>139</v>
      </c>
      <c r="C10" s="4" t="s">
        <v>13</v>
      </c>
      <c r="D10" s="6" t="s">
        <v>265</v>
      </c>
      <c r="E10" s="4" t="s">
        <v>283</v>
      </c>
      <c r="F10" s="4" t="s">
        <v>93</v>
      </c>
      <c r="G10" s="41" t="e">
        <f>表格1_18[[#This Row],[加權後總分]]-表格1_18[[#This Row],[獎懲分數]]</f>
        <v>#DIV/0!</v>
      </c>
      <c r="H1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" s="39" t="e">
        <f t="shared" si="0"/>
        <v>#DIV/0!</v>
      </c>
      <c r="J10" s="36" t="e">
        <f t="shared" si="1"/>
        <v>#DIV/0!</v>
      </c>
      <c r="K10" s="8" t="e">
        <f t="shared" si="2"/>
        <v>#DIV/0!</v>
      </c>
      <c r="L10" s="8" t="e">
        <f t="shared" si="3"/>
        <v>#DIV/0!</v>
      </c>
      <c r="M10" s="8" t="e">
        <f>表格1_3[[#This Row],[部內平均]]</f>
        <v>#DIV/0!</v>
      </c>
      <c r="N10" s="8"/>
      <c r="O10" s="8" t="e">
        <f>表格1_3[[#This Row],[複評平均]]</f>
        <v>#DIV/0!</v>
      </c>
      <c r="P10" s="3"/>
      <c r="Q10" s="3"/>
      <c r="R10" s="3"/>
      <c r="S10" s="3"/>
      <c r="T10" s="3"/>
      <c r="U10" s="3"/>
      <c r="V10" s="3"/>
      <c r="W10" s="38">
        <v>83.8</v>
      </c>
      <c r="X10" s="2">
        <v>8</v>
      </c>
    </row>
    <row r="11" spans="1:24" hidden="1">
      <c r="A11" s="10" t="s">
        <v>396</v>
      </c>
      <c r="B11" s="5" t="s">
        <v>132</v>
      </c>
      <c r="C11" s="4" t="s">
        <v>312</v>
      </c>
      <c r="D11" s="6" t="s">
        <v>265</v>
      </c>
      <c r="E11" s="4" t="s">
        <v>283</v>
      </c>
      <c r="F11" s="4" t="s">
        <v>313</v>
      </c>
      <c r="G11" s="41" t="e">
        <f>表格1_18[[#This Row],[加權後總分]]-表格1_18[[#This Row],[獎懲分數]]</f>
        <v>#DIV/0!</v>
      </c>
      <c r="H1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" s="39" t="e">
        <f t="shared" si="0"/>
        <v>#DIV/0!</v>
      </c>
      <c r="J11" s="36" t="e">
        <f t="shared" si="1"/>
        <v>#DIV/0!</v>
      </c>
      <c r="K11" s="8" t="e">
        <f t="shared" si="2"/>
        <v>#DIV/0!</v>
      </c>
      <c r="L11" s="8" t="e">
        <f t="shared" si="3"/>
        <v>#DIV/0!</v>
      </c>
      <c r="M11" s="8" t="e">
        <f>表格1_3[[#This Row],[部內平均]]</f>
        <v>#DIV/0!</v>
      </c>
      <c r="N11" s="8"/>
      <c r="O11" s="8" t="e">
        <f>表格1_3[[#This Row],[複評平均]]</f>
        <v>#DIV/0!</v>
      </c>
      <c r="P11" s="3"/>
      <c r="Q11" s="3"/>
      <c r="R11" s="3"/>
      <c r="S11" s="3"/>
      <c r="T11" s="3"/>
      <c r="U11" s="3"/>
      <c r="V11" s="3"/>
      <c r="W11" s="38">
        <v>83.8</v>
      </c>
      <c r="X11" s="2">
        <v>9</v>
      </c>
    </row>
    <row r="12" spans="1:24" hidden="1">
      <c r="A12" s="10" t="s">
        <v>396</v>
      </c>
      <c r="B12" s="5" t="s">
        <v>144</v>
      </c>
      <c r="C12" s="4" t="s">
        <v>18</v>
      </c>
      <c r="D12" s="6" t="s">
        <v>265</v>
      </c>
      <c r="E12" s="4" t="s">
        <v>283</v>
      </c>
      <c r="F12" s="4" t="s">
        <v>313</v>
      </c>
      <c r="G12" s="41" t="e">
        <f>表格1_18[[#This Row],[加權後總分]]-表格1_18[[#This Row],[獎懲分數]]</f>
        <v>#DIV/0!</v>
      </c>
      <c r="H1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" s="39" t="e">
        <f t="shared" si="0"/>
        <v>#DIV/0!</v>
      </c>
      <c r="J12" s="36" t="e">
        <f t="shared" si="1"/>
        <v>#DIV/0!</v>
      </c>
      <c r="K12" s="8" t="e">
        <f t="shared" si="2"/>
        <v>#DIV/0!</v>
      </c>
      <c r="L12" s="8" t="e">
        <f t="shared" si="3"/>
        <v>#DIV/0!</v>
      </c>
      <c r="M12" s="8" t="e">
        <f>表格1_3[[#This Row],[部內平均]]</f>
        <v>#DIV/0!</v>
      </c>
      <c r="N12" s="8"/>
      <c r="O12" s="8" t="e">
        <f>表格1_3[[#This Row],[複評平均]]</f>
        <v>#DIV/0!</v>
      </c>
      <c r="P12" s="3"/>
      <c r="Q12" s="3"/>
      <c r="R12" s="3"/>
      <c r="S12" s="3"/>
      <c r="T12" s="3"/>
      <c r="U12" s="3"/>
      <c r="V12" s="3"/>
      <c r="W12" s="38">
        <v>83.6</v>
      </c>
      <c r="X12" s="2">
        <v>10</v>
      </c>
    </row>
    <row r="13" spans="1:24">
      <c r="A13" s="10" t="s">
        <v>396</v>
      </c>
      <c r="B13" s="5" t="s">
        <v>143</v>
      </c>
      <c r="C13" s="13" t="s">
        <v>17</v>
      </c>
      <c r="D13" s="6" t="s">
        <v>265</v>
      </c>
      <c r="E13" s="4" t="s">
        <v>283</v>
      </c>
      <c r="F13" s="4" t="s">
        <v>74</v>
      </c>
      <c r="G13" s="41" t="e">
        <f>表格1_18[[#This Row],[加權後總分]]-表格1_18[[#This Row],[獎懲分數]]</f>
        <v>#DIV/0!</v>
      </c>
      <c r="H1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3" s="39" t="e">
        <f t="shared" si="0"/>
        <v>#DIV/0!</v>
      </c>
      <c r="J13" s="36" t="e">
        <f t="shared" si="1"/>
        <v>#DIV/0!</v>
      </c>
      <c r="K13" s="8" t="e">
        <f t="shared" si="2"/>
        <v>#DIV/0!</v>
      </c>
      <c r="L13" s="8" t="e">
        <f t="shared" si="3"/>
        <v>#DIV/0!</v>
      </c>
      <c r="M13" s="8" t="e">
        <f>表格1_3[[#This Row],[部內平均]]</f>
        <v>#DIV/0!</v>
      </c>
      <c r="N13" s="8"/>
      <c r="O13" s="8" t="e">
        <f>表格1_3[[#This Row],[複評平均]]</f>
        <v>#DIV/0!</v>
      </c>
      <c r="P13" s="3"/>
      <c r="Q13" s="3"/>
      <c r="R13" s="3"/>
      <c r="S13" s="3"/>
      <c r="T13" s="3"/>
      <c r="U13" s="3"/>
      <c r="V13" s="3"/>
      <c r="W13" s="38">
        <v>83.6</v>
      </c>
      <c r="X13" s="2">
        <v>11</v>
      </c>
    </row>
    <row r="14" spans="1:24">
      <c r="A14" s="10" t="s">
        <v>396</v>
      </c>
      <c r="B14" s="5" t="s">
        <v>134</v>
      </c>
      <c r="C14" s="13" t="s">
        <v>8</v>
      </c>
      <c r="D14" s="6" t="s">
        <v>265</v>
      </c>
      <c r="E14" s="4" t="s">
        <v>283</v>
      </c>
      <c r="F14" s="4" t="s">
        <v>313</v>
      </c>
      <c r="G14" s="41" t="e">
        <f>表格1_18[[#This Row],[加權後總分]]-表格1_18[[#This Row],[獎懲分數]]</f>
        <v>#DIV/0!</v>
      </c>
      <c r="H1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4" s="39" t="e">
        <f t="shared" si="0"/>
        <v>#DIV/0!</v>
      </c>
      <c r="J14" s="36" t="e">
        <f t="shared" si="1"/>
        <v>#DIV/0!</v>
      </c>
      <c r="K14" s="8" t="e">
        <f t="shared" si="2"/>
        <v>#DIV/0!</v>
      </c>
      <c r="L14" s="8" t="e">
        <f t="shared" si="3"/>
        <v>#DIV/0!</v>
      </c>
      <c r="M14" s="8" t="e">
        <f>表格1_3[[#This Row],[部內平均]]</f>
        <v>#DIV/0!</v>
      </c>
      <c r="N14" s="8"/>
      <c r="O14" s="8" t="e">
        <f>表格1_3[[#This Row],[複評平均]]</f>
        <v>#DIV/0!</v>
      </c>
      <c r="P14" s="3"/>
      <c r="Q14" s="3"/>
      <c r="R14" s="3"/>
      <c r="S14" s="3"/>
      <c r="T14" s="3"/>
      <c r="U14" s="3"/>
      <c r="V14" s="3"/>
      <c r="W14" s="38">
        <v>82.8</v>
      </c>
      <c r="X14" s="2">
        <v>12</v>
      </c>
    </row>
    <row r="15" spans="1:24">
      <c r="A15" s="10" t="s">
        <v>396</v>
      </c>
      <c r="B15" s="5" t="s">
        <v>135</v>
      </c>
      <c r="C15" s="13" t="s">
        <v>9</v>
      </c>
      <c r="D15" s="6" t="s">
        <v>265</v>
      </c>
      <c r="E15" s="4" t="s">
        <v>283</v>
      </c>
      <c r="F15" s="4" t="s">
        <v>74</v>
      </c>
      <c r="G15" s="41" t="e">
        <f>表格1_18[[#This Row],[加權後總分]]-表格1_18[[#This Row],[獎懲分數]]</f>
        <v>#DIV/0!</v>
      </c>
      <c r="H1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5" s="39" t="e">
        <f t="shared" si="0"/>
        <v>#DIV/0!</v>
      </c>
      <c r="J15" s="36" t="e">
        <f t="shared" si="1"/>
        <v>#DIV/0!</v>
      </c>
      <c r="K15" s="8" t="e">
        <f t="shared" si="2"/>
        <v>#DIV/0!</v>
      </c>
      <c r="L15" s="8" t="e">
        <f t="shared" si="3"/>
        <v>#DIV/0!</v>
      </c>
      <c r="M15" s="8" t="e">
        <f>表格1_3[[#This Row],[部內平均]]</f>
        <v>#DIV/0!</v>
      </c>
      <c r="N15" s="8"/>
      <c r="O15" s="8" t="e">
        <f>表格1_3[[#This Row],[複評平均]]</f>
        <v>#DIV/0!</v>
      </c>
      <c r="P15" s="3"/>
      <c r="Q15" s="3"/>
      <c r="R15" s="3"/>
      <c r="S15" s="3"/>
      <c r="T15" s="3"/>
      <c r="U15" s="3"/>
      <c r="V15" s="3"/>
      <c r="W15" s="38">
        <v>82.2</v>
      </c>
      <c r="X15" s="2">
        <v>13</v>
      </c>
    </row>
    <row r="16" spans="1:24" hidden="1">
      <c r="A16" s="10" t="s">
        <v>396</v>
      </c>
      <c r="B16" s="5" t="s">
        <v>146</v>
      </c>
      <c r="C16" s="4" t="s">
        <v>20</v>
      </c>
      <c r="D16" s="6" t="s">
        <v>265</v>
      </c>
      <c r="E16" s="4" t="s">
        <v>283</v>
      </c>
      <c r="F16" s="4" t="s">
        <v>313</v>
      </c>
      <c r="G16" s="41" t="e">
        <f>表格1_18[[#This Row],[加權後總分]]-表格1_18[[#This Row],[獎懲分數]]</f>
        <v>#DIV/0!</v>
      </c>
      <c r="H1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6" s="39" t="e">
        <f t="shared" si="0"/>
        <v>#DIV/0!</v>
      </c>
      <c r="J16" s="36" t="e">
        <f t="shared" si="1"/>
        <v>#DIV/0!</v>
      </c>
      <c r="K16" s="8" t="e">
        <f t="shared" si="2"/>
        <v>#DIV/0!</v>
      </c>
      <c r="L16" s="8" t="e">
        <f t="shared" si="3"/>
        <v>#DIV/0!</v>
      </c>
      <c r="M16" s="8" t="e">
        <f>表格1_3[[#This Row],[部內平均]]</f>
        <v>#DIV/0!</v>
      </c>
      <c r="N16" s="8"/>
      <c r="O16" s="8" t="e">
        <f>表格1_3[[#This Row],[複評平均]]</f>
        <v>#DIV/0!</v>
      </c>
      <c r="P16" s="3"/>
      <c r="Q16" s="3"/>
      <c r="R16" s="3"/>
      <c r="S16" s="3"/>
      <c r="T16" s="3"/>
      <c r="U16" s="3"/>
      <c r="V16" s="3"/>
      <c r="W16" s="38">
        <v>81.400000000000006</v>
      </c>
      <c r="X16" s="2">
        <v>14</v>
      </c>
    </row>
    <row r="17" spans="1:24" hidden="1">
      <c r="A17" s="10" t="s">
        <v>396</v>
      </c>
      <c r="B17" s="5" t="s">
        <v>140</v>
      </c>
      <c r="C17" s="4" t="s">
        <v>14</v>
      </c>
      <c r="D17" s="6" t="s">
        <v>265</v>
      </c>
      <c r="E17" s="4" t="s">
        <v>283</v>
      </c>
      <c r="F17" s="4" t="s">
        <v>329</v>
      </c>
      <c r="G17" s="41" t="e">
        <f>表格1_18[[#This Row],[加權後總分]]-表格1_18[[#This Row],[獎懲分數]]</f>
        <v>#DIV/0!</v>
      </c>
      <c r="H1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7" s="39" t="e">
        <f t="shared" si="0"/>
        <v>#DIV/0!</v>
      </c>
      <c r="J17" s="36" t="e">
        <f t="shared" si="1"/>
        <v>#DIV/0!</v>
      </c>
      <c r="K17" s="8" t="e">
        <f t="shared" si="2"/>
        <v>#DIV/0!</v>
      </c>
      <c r="L17" s="8" t="e">
        <f t="shared" si="3"/>
        <v>#DIV/0!</v>
      </c>
      <c r="M17" s="8" t="e">
        <f>表格1_3[[#This Row],[部內平均]]</f>
        <v>#DIV/0!</v>
      </c>
      <c r="N17" s="8"/>
      <c r="O17" s="8" t="e">
        <f>表格1_3[[#This Row],[複評平均]]</f>
        <v>#DIV/0!</v>
      </c>
      <c r="P17" s="3"/>
      <c r="Q17" s="3"/>
      <c r="R17" s="3"/>
      <c r="S17" s="3"/>
      <c r="T17" s="3"/>
      <c r="U17" s="3"/>
      <c r="V17" s="3"/>
      <c r="W17" s="38">
        <v>81.349999999999994</v>
      </c>
      <c r="X17" s="2">
        <v>15</v>
      </c>
    </row>
    <row r="18" spans="1:24">
      <c r="A18" s="10" t="s">
        <v>396</v>
      </c>
      <c r="B18" s="5" t="s">
        <v>141</v>
      </c>
      <c r="C18" s="13" t="s">
        <v>15</v>
      </c>
      <c r="D18" s="6" t="s">
        <v>265</v>
      </c>
      <c r="E18" s="4" t="s">
        <v>283</v>
      </c>
      <c r="F18" s="4" t="s">
        <v>313</v>
      </c>
      <c r="G18" s="41" t="e">
        <f>表格1_18[[#This Row],[加權後總分]]-表格1_18[[#This Row],[獎懲分數]]</f>
        <v>#DIV/0!</v>
      </c>
      <c r="H1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8" s="39" t="e">
        <f t="shared" si="0"/>
        <v>#DIV/0!</v>
      </c>
      <c r="J18" s="36" t="e">
        <f t="shared" si="1"/>
        <v>#DIV/0!</v>
      </c>
      <c r="K18" s="8" t="e">
        <f t="shared" si="2"/>
        <v>#DIV/0!</v>
      </c>
      <c r="L18" s="8" t="e">
        <f t="shared" si="3"/>
        <v>#DIV/0!</v>
      </c>
      <c r="M18" s="8" t="e">
        <f>表格1_3[[#This Row],[部內平均]]</f>
        <v>#DIV/0!</v>
      </c>
      <c r="N18" s="8"/>
      <c r="O18" s="8" t="e">
        <f>表格1_3[[#This Row],[複評平均]]</f>
        <v>#DIV/0!</v>
      </c>
      <c r="P18" s="3"/>
      <c r="Q18" s="3"/>
      <c r="R18" s="3"/>
      <c r="S18" s="3"/>
      <c r="T18" s="3"/>
      <c r="U18" s="3"/>
      <c r="V18" s="3"/>
      <c r="W18" s="38">
        <v>81.058333333333337</v>
      </c>
      <c r="X18" s="2">
        <v>16</v>
      </c>
    </row>
    <row r="19" spans="1:24" hidden="1">
      <c r="A19" s="10" t="s">
        <v>396</v>
      </c>
      <c r="B19" s="5" t="s">
        <v>142</v>
      </c>
      <c r="C19" s="14" t="s">
        <v>16</v>
      </c>
      <c r="D19" s="6" t="s">
        <v>265</v>
      </c>
      <c r="E19" s="4" t="s">
        <v>283</v>
      </c>
      <c r="F19" s="4" t="s">
        <v>313</v>
      </c>
      <c r="G19" s="41" t="e">
        <f>表格1_18[[#This Row],[加權後總分]]-表格1_18[[#This Row],[獎懲分數]]</f>
        <v>#DIV/0!</v>
      </c>
      <c r="H1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9" s="39" t="e">
        <f t="shared" si="0"/>
        <v>#DIV/0!</v>
      </c>
      <c r="J19" s="36" t="e">
        <f t="shared" si="1"/>
        <v>#DIV/0!</v>
      </c>
      <c r="K19" s="8" t="e">
        <f t="shared" ref="K19:K34" si="4">IF(J19&gt;=90,"A",
 IF(J19&gt;=77,"B",
 IF(J19&gt;=70,"C",
 IF(J19&gt;=60,"D","E"))))</f>
        <v>#DIV/0!</v>
      </c>
      <c r="L19" s="8" t="e">
        <f t="shared" si="3"/>
        <v>#DIV/0!</v>
      </c>
      <c r="M19" s="8" t="e">
        <f>表格1_3[[#This Row],[部內平均]]</f>
        <v>#DIV/0!</v>
      </c>
      <c r="N19" s="8"/>
      <c r="O19" s="8" t="e">
        <f>表格1_3[[#This Row],[複評平均]]</f>
        <v>#DIV/0!</v>
      </c>
      <c r="P19" s="3"/>
      <c r="Q19" s="3"/>
      <c r="R19" s="3"/>
      <c r="S19" s="3"/>
      <c r="T19" s="3"/>
      <c r="U19" s="3"/>
      <c r="V19" s="3"/>
      <c r="W19" s="38">
        <v>80.693877551020421</v>
      </c>
      <c r="X19" s="2">
        <v>17</v>
      </c>
    </row>
    <row r="20" spans="1:24" hidden="1">
      <c r="A20" s="10" t="s">
        <v>335</v>
      </c>
      <c r="B20" s="5" t="s">
        <v>150</v>
      </c>
      <c r="C20" s="4" t="s">
        <v>23</v>
      </c>
      <c r="D20" s="6" t="s">
        <v>265</v>
      </c>
      <c r="E20" s="4" t="s">
        <v>285</v>
      </c>
      <c r="F20" s="4" t="s">
        <v>313</v>
      </c>
      <c r="G20" s="41" t="e">
        <f>表格1_18[[#This Row],[加權後總分]]-表格1_18[[#This Row],[獎懲分數]]</f>
        <v>#DIV/0!</v>
      </c>
      <c r="H2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0" s="39" t="e">
        <f t="shared" si="0"/>
        <v>#DIV/0!</v>
      </c>
      <c r="J20" s="36" t="e">
        <f t="shared" si="1"/>
        <v>#DIV/0!</v>
      </c>
      <c r="K20" s="8" t="e">
        <f>IF(J20&gt;=90,"A",
 IF(J20&gt;=77,"B",
 IF(J20&gt;=68,"C",
 IF(J20&gt;=60,"D","E"))))</f>
        <v>#DIV/0!</v>
      </c>
      <c r="L20" s="8" t="e">
        <f t="shared" si="3"/>
        <v>#DIV/0!</v>
      </c>
      <c r="M20" s="8" t="e">
        <f>表格1_3[[#This Row],[部內平均]]</f>
        <v>#DIV/0!</v>
      </c>
      <c r="N20" s="8" t="e">
        <f>表格1_3[[#This Row],[共評平均]]</f>
        <v>#DIV/0!</v>
      </c>
      <c r="O20" s="8" t="e">
        <f>表格1_3[[#This Row],[複評平均]]</f>
        <v>#DIV/0!</v>
      </c>
      <c r="P20" s="3"/>
      <c r="Q20" s="3"/>
      <c r="R20" s="3"/>
      <c r="S20" s="3"/>
      <c r="T20" s="3"/>
      <c r="U20" s="3"/>
      <c r="V20" s="3"/>
      <c r="W20" s="38">
        <v>80.599999999999994</v>
      </c>
      <c r="X20" s="2">
        <v>18</v>
      </c>
    </row>
    <row r="21" spans="1:24" hidden="1">
      <c r="A21" s="10" t="s">
        <v>390</v>
      </c>
      <c r="B21" s="5" t="s">
        <v>147</v>
      </c>
      <c r="C21" s="4" t="s">
        <v>21</v>
      </c>
      <c r="D21" s="6" t="s">
        <v>265</v>
      </c>
      <c r="E21" s="4" t="s">
        <v>283</v>
      </c>
      <c r="F21" s="4" t="s">
        <v>313</v>
      </c>
      <c r="G21" s="41" t="e">
        <f>表格1_18[[#This Row],[加權後總分]]-表格1_18[[#This Row],[獎懲分數]]</f>
        <v>#DIV/0!</v>
      </c>
      <c r="H2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1" s="39" t="e">
        <f t="shared" si="0"/>
        <v>#DIV/0!</v>
      </c>
      <c r="J21" s="36" t="e">
        <f t="shared" si="1"/>
        <v>#DIV/0!</v>
      </c>
      <c r="K21" s="8" t="e">
        <f t="shared" si="4"/>
        <v>#DIV/0!</v>
      </c>
      <c r="L21" s="8" t="e">
        <f t="shared" si="3"/>
        <v>#DIV/0!</v>
      </c>
      <c r="M21" s="8" t="e">
        <f>表格1_3[[#This Row],[部內平均]]</f>
        <v>#DIV/0!</v>
      </c>
      <c r="N21" s="8"/>
      <c r="O21" s="8" t="e">
        <f>表格1_3[[#This Row],[複評平均]]</f>
        <v>#DIV/0!</v>
      </c>
      <c r="P21" s="3"/>
      <c r="Q21" s="3"/>
      <c r="R21" s="3"/>
      <c r="S21" s="3"/>
      <c r="T21" s="3"/>
      <c r="U21" s="3"/>
      <c r="V21" s="3"/>
      <c r="W21" s="38">
        <v>80.5</v>
      </c>
      <c r="X21" s="2">
        <v>19</v>
      </c>
    </row>
    <row r="22" spans="1:24" hidden="1">
      <c r="A22" s="10" t="s">
        <v>389</v>
      </c>
      <c r="B22" s="5" t="s">
        <v>145</v>
      </c>
      <c r="C22" s="4" t="s">
        <v>19</v>
      </c>
      <c r="D22" s="6" t="s">
        <v>265</v>
      </c>
      <c r="E22" s="4" t="s">
        <v>285</v>
      </c>
      <c r="F22" s="4" t="s">
        <v>313</v>
      </c>
      <c r="G22" s="41" t="e">
        <f>表格1_18[[#This Row],[加權後總分]]-表格1_18[[#This Row],[獎懲分數]]</f>
        <v>#DIV/0!</v>
      </c>
      <c r="H2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2" s="39" t="e">
        <f t="shared" si="0"/>
        <v>#DIV/0!</v>
      </c>
      <c r="J22" s="36" t="e">
        <f t="shared" si="1"/>
        <v>#DIV/0!</v>
      </c>
      <c r="K22" s="8" t="e">
        <f t="shared" si="4"/>
        <v>#DIV/0!</v>
      </c>
      <c r="L22" s="8" t="e">
        <f t="shared" si="3"/>
        <v>#DIV/0!</v>
      </c>
      <c r="M22" s="8" t="e">
        <f>表格1_3[[#This Row],[部內平均]]</f>
        <v>#DIV/0!</v>
      </c>
      <c r="N22" s="8" t="e">
        <f>表格1_3[[#This Row],[共評平均]]</f>
        <v>#DIV/0!</v>
      </c>
      <c r="O22" s="8" t="e">
        <f>表格1_3[[#This Row],[複評平均]]</f>
        <v>#DIV/0!</v>
      </c>
      <c r="P22" s="3"/>
      <c r="Q22" s="3"/>
      <c r="R22" s="3"/>
      <c r="S22" s="3"/>
      <c r="T22" s="3"/>
      <c r="U22" s="3"/>
      <c r="V22" s="3"/>
      <c r="W22" s="38">
        <v>79.938775510204081</v>
      </c>
      <c r="X22" s="2">
        <v>20</v>
      </c>
    </row>
    <row r="23" spans="1:24" hidden="1">
      <c r="A23" s="10" t="s">
        <v>335</v>
      </c>
      <c r="B23" s="5" t="s">
        <v>148</v>
      </c>
      <c r="C23" s="4" t="s">
        <v>313</v>
      </c>
      <c r="D23" s="6" t="s">
        <v>265</v>
      </c>
      <c r="E23" s="4" t="s">
        <v>5</v>
      </c>
      <c r="F23" s="4" t="s">
        <v>74</v>
      </c>
      <c r="G23" s="41" t="e">
        <f>表格1_18[[#This Row],[加權後總分]]-表格1_18[[#This Row],[獎懲分數]]</f>
        <v>#DIV/0!</v>
      </c>
      <c r="H2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3" s="39" t="e">
        <f t="shared" si="0"/>
        <v>#DIV/0!</v>
      </c>
      <c r="J23" s="36" t="e">
        <f t="shared" si="1"/>
        <v>#DIV/0!</v>
      </c>
      <c r="K23" s="8" t="e">
        <f t="shared" si="4"/>
        <v>#DIV/0!</v>
      </c>
      <c r="L23" s="8" t="e">
        <f t="shared" si="3"/>
        <v>#DIV/0!</v>
      </c>
      <c r="M23" s="8" t="e">
        <f>表格1_3[[#This Row],[部內平均]]</f>
        <v>#DIV/0!</v>
      </c>
      <c r="N23" s="8" t="e">
        <f>表格1_3[[#This Row],[共評平均]]</f>
        <v>#DIV/0!</v>
      </c>
      <c r="O23" s="8" t="e">
        <f>表格1_3[[#This Row],[複評平均]]</f>
        <v>#DIV/0!</v>
      </c>
      <c r="P23" s="3">
        <v>1</v>
      </c>
      <c r="Q23" s="3"/>
      <c r="R23" s="3"/>
      <c r="S23" s="3"/>
      <c r="T23" s="3"/>
      <c r="U23" s="3"/>
      <c r="V23" s="3">
        <v>3</v>
      </c>
      <c r="W23" s="38">
        <v>79.416666666666657</v>
      </c>
      <c r="X23" s="2">
        <v>21</v>
      </c>
    </row>
    <row r="24" spans="1:24" hidden="1">
      <c r="A24" s="10" t="s">
        <v>397</v>
      </c>
      <c r="B24" s="5" t="s">
        <v>149</v>
      </c>
      <c r="C24" s="14" t="s">
        <v>22</v>
      </c>
      <c r="D24" s="6" t="s">
        <v>265</v>
      </c>
      <c r="E24" s="4" t="s">
        <v>283</v>
      </c>
      <c r="F24" s="4" t="s">
        <v>313</v>
      </c>
      <c r="G24" s="41" t="e">
        <f>表格1_18[[#This Row],[加權後總分]]-表格1_18[[#This Row],[獎懲分數]]</f>
        <v>#DIV/0!</v>
      </c>
      <c r="H2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4" s="39" t="e">
        <f t="shared" si="0"/>
        <v>#DIV/0!</v>
      </c>
      <c r="J24" s="36" t="e">
        <f t="shared" si="1"/>
        <v>#DIV/0!</v>
      </c>
      <c r="K24" s="8" t="e">
        <f t="shared" si="4"/>
        <v>#DIV/0!</v>
      </c>
      <c r="L24" s="8" t="e">
        <f t="shared" si="3"/>
        <v>#DIV/0!</v>
      </c>
      <c r="M24" s="8" t="e">
        <f>表格1_3[[#This Row],[部內平均]]</f>
        <v>#DIV/0!</v>
      </c>
      <c r="N24" s="8"/>
      <c r="O24" s="8" t="e">
        <f>表格1_3[[#This Row],[複評平均]]</f>
        <v>#DIV/0!</v>
      </c>
      <c r="P24" s="3"/>
      <c r="Q24" s="3"/>
      <c r="R24" s="3"/>
      <c r="S24" s="3"/>
      <c r="T24" s="3"/>
      <c r="U24" s="3"/>
      <c r="V24" s="3"/>
      <c r="W24" s="38">
        <v>79.285714285714292</v>
      </c>
      <c r="X24" s="2">
        <v>22</v>
      </c>
    </row>
    <row r="25" spans="1:24" hidden="1">
      <c r="A25" s="10" t="s">
        <v>398</v>
      </c>
      <c r="B25" s="5" t="s">
        <v>151</v>
      </c>
      <c r="C25" s="4" t="s">
        <v>24</v>
      </c>
      <c r="D25" s="6" t="s">
        <v>266</v>
      </c>
      <c r="E25" s="4" t="s">
        <v>283</v>
      </c>
      <c r="F25" s="4" t="s">
        <v>329</v>
      </c>
      <c r="G25" s="41" t="e">
        <f>表格1_18[[#This Row],[加權後總分]]-表格1_18[[#This Row],[獎懲分數]]</f>
        <v>#DIV/0!</v>
      </c>
      <c r="H2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5" s="39" t="e">
        <f t="shared" si="0"/>
        <v>#DIV/0!</v>
      </c>
      <c r="J25" s="36" t="e">
        <f t="shared" si="1"/>
        <v>#DIV/0!</v>
      </c>
      <c r="K25" s="8" t="e">
        <f t="shared" si="4"/>
        <v>#DIV/0!</v>
      </c>
      <c r="L25" s="8" t="e">
        <f t="shared" si="3"/>
        <v>#DIV/0!</v>
      </c>
      <c r="M25" s="8" t="e">
        <f>表格1_3[[#This Row],[部內平均]]</f>
        <v>#DIV/0!</v>
      </c>
      <c r="N25" s="8"/>
      <c r="O25" s="8" t="e">
        <f>表格1_3[[#This Row],[複評平均]]</f>
        <v>#DIV/0!</v>
      </c>
      <c r="P25" s="3"/>
      <c r="Q25" s="3"/>
      <c r="R25" s="3"/>
      <c r="S25" s="3"/>
      <c r="T25" s="3"/>
      <c r="U25" s="3"/>
      <c r="V25" s="3"/>
      <c r="W25" s="38">
        <v>79.109090909090895</v>
      </c>
      <c r="X25" s="2">
        <v>23</v>
      </c>
    </row>
    <row r="26" spans="1:24" hidden="1">
      <c r="A26" s="10" t="s">
        <v>397</v>
      </c>
      <c r="B26" s="5" t="s">
        <v>152</v>
      </c>
      <c r="C26" s="4" t="s">
        <v>25</v>
      </c>
      <c r="D26" s="6" t="s">
        <v>266</v>
      </c>
      <c r="E26" s="4" t="s">
        <v>283</v>
      </c>
      <c r="F26" s="4" t="s">
        <v>35</v>
      </c>
      <c r="G26" s="41" t="e">
        <f>表格1_18[[#This Row],[加權後總分]]-表格1_18[[#This Row],[獎懲分數]]</f>
        <v>#DIV/0!</v>
      </c>
      <c r="H2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6" s="39" t="e">
        <f t="shared" si="0"/>
        <v>#DIV/0!</v>
      </c>
      <c r="J26" s="36" t="e">
        <f t="shared" si="1"/>
        <v>#DIV/0!</v>
      </c>
      <c r="K26" s="8" t="e">
        <f t="shared" si="4"/>
        <v>#DIV/0!</v>
      </c>
      <c r="L26" s="8" t="e">
        <f t="shared" si="3"/>
        <v>#DIV/0!</v>
      </c>
      <c r="M26" s="8" t="e">
        <f>表格1_3[[#This Row],[部內平均]]</f>
        <v>#DIV/0!</v>
      </c>
      <c r="N26" s="8"/>
      <c r="O26" s="8" t="e">
        <f>表格1_3[[#This Row],[複評平均]]</f>
        <v>#DIV/0!</v>
      </c>
      <c r="P26" s="3"/>
      <c r="Q26" s="3"/>
      <c r="R26" s="3"/>
      <c r="S26" s="3"/>
      <c r="T26" s="3"/>
      <c r="U26" s="3"/>
      <c r="V26" s="3"/>
      <c r="W26" s="38">
        <v>79</v>
      </c>
      <c r="X26" s="2">
        <v>24</v>
      </c>
    </row>
    <row r="27" spans="1:24">
      <c r="A27" s="10" t="s">
        <v>399</v>
      </c>
      <c r="B27" s="5" t="s">
        <v>157</v>
      </c>
      <c r="C27" s="13" t="s">
        <v>30</v>
      </c>
      <c r="D27" s="6" t="s">
        <v>266</v>
      </c>
      <c r="E27" s="4" t="s">
        <v>283</v>
      </c>
      <c r="F27" s="4" t="s">
        <v>329</v>
      </c>
      <c r="G27" s="41" t="e">
        <f>表格1_18[[#This Row],[加權後總分]]-表格1_18[[#This Row],[獎懲分數]]</f>
        <v>#DIV/0!</v>
      </c>
      <c r="H2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7" s="39" t="e">
        <f t="shared" si="0"/>
        <v>#DIV/0!</v>
      </c>
      <c r="J27" s="36" t="e">
        <f t="shared" si="1"/>
        <v>#DIV/0!</v>
      </c>
      <c r="K27" s="8" t="e">
        <f t="shared" si="4"/>
        <v>#DIV/0!</v>
      </c>
      <c r="L27" s="8" t="e">
        <f t="shared" si="3"/>
        <v>#DIV/0!</v>
      </c>
      <c r="M27" s="8" t="e">
        <f>表格1_3[[#This Row],[部內平均]]</f>
        <v>#DIV/0!</v>
      </c>
      <c r="N27" s="8"/>
      <c r="O27" s="8" t="e">
        <f>表格1_3[[#This Row],[複評平均]]</f>
        <v>#DIV/0!</v>
      </c>
      <c r="P27" s="3"/>
      <c r="Q27" s="3"/>
      <c r="R27" s="3"/>
      <c r="S27" s="3"/>
      <c r="T27" s="3"/>
      <c r="U27" s="3"/>
      <c r="V27" s="3"/>
      <c r="W27" s="38">
        <v>78.957142857142856</v>
      </c>
      <c r="X27" s="2">
        <v>25</v>
      </c>
    </row>
    <row r="28" spans="1:24" hidden="1">
      <c r="A28" s="10" t="s">
        <v>389</v>
      </c>
      <c r="B28" s="5" t="s">
        <v>153</v>
      </c>
      <c r="C28" s="4" t="s">
        <v>26</v>
      </c>
      <c r="D28" s="6" t="s">
        <v>266</v>
      </c>
      <c r="E28" s="4" t="s">
        <v>283</v>
      </c>
      <c r="F28" s="4" t="s">
        <v>329</v>
      </c>
      <c r="G28" s="41" t="e">
        <f>表格1_18[[#This Row],[加權後總分]]-表格1_18[[#This Row],[獎懲分數]]</f>
        <v>#DIV/0!</v>
      </c>
      <c r="H2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8" s="39" t="e">
        <f t="shared" si="0"/>
        <v>#DIV/0!</v>
      </c>
      <c r="J28" s="36" t="e">
        <f t="shared" si="1"/>
        <v>#DIV/0!</v>
      </c>
      <c r="K28" s="8" t="e">
        <f t="shared" si="4"/>
        <v>#DIV/0!</v>
      </c>
      <c r="L28" s="8" t="e">
        <f t="shared" si="3"/>
        <v>#DIV/0!</v>
      </c>
      <c r="M28" s="8" t="e">
        <f>表格1_3[[#This Row],[部內平均]]</f>
        <v>#DIV/0!</v>
      </c>
      <c r="N28" s="8"/>
      <c r="O28" s="8" t="e">
        <f>表格1_3[[#This Row],[複評平均]]</f>
        <v>#DIV/0!</v>
      </c>
      <c r="P28" s="3"/>
      <c r="Q28" s="3"/>
      <c r="R28" s="3"/>
      <c r="S28" s="3"/>
      <c r="T28" s="3"/>
      <c r="U28" s="3"/>
      <c r="V28" s="3"/>
      <c r="W28" s="38">
        <v>78.732142857142861</v>
      </c>
      <c r="X28" s="2">
        <v>26</v>
      </c>
    </row>
    <row r="29" spans="1:24" hidden="1">
      <c r="A29" s="10" t="s">
        <v>399</v>
      </c>
      <c r="B29" s="5" t="s">
        <v>154</v>
      </c>
      <c r="C29" s="4" t="s">
        <v>27</v>
      </c>
      <c r="D29" s="6" t="s">
        <v>266</v>
      </c>
      <c r="E29" s="4" t="s">
        <v>283</v>
      </c>
      <c r="F29" s="4" t="s">
        <v>329</v>
      </c>
      <c r="G29" s="41" t="e">
        <f>表格1_18[[#This Row],[加權後總分]]-表格1_18[[#This Row],[獎懲分數]]</f>
        <v>#DIV/0!</v>
      </c>
      <c r="H2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29" s="39" t="e">
        <f t="shared" si="0"/>
        <v>#DIV/0!</v>
      </c>
      <c r="J29" s="36" t="e">
        <f t="shared" si="1"/>
        <v>#DIV/0!</v>
      </c>
      <c r="K29" s="8" t="e">
        <f t="shared" si="4"/>
        <v>#DIV/0!</v>
      </c>
      <c r="L29" s="8" t="e">
        <f t="shared" si="3"/>
        <v>#DIV/0!</v>
      </c>
      <c r="M29" s="8" t="e">
        <f>表格1_3[[#This Row],[部內平均]]</f>
        <v>#DIV/0!</v>
      </c>
      <c r="N29" s="8"/>
      <c r="O29" s="8" t="e">
        <f>表格1_3[[#This Row],[複評平均]]</f>
        <v>#DIV/0!</v>
      </c>
      <c r="P29" s="3"/>
      <c r="Q29" s="3"/>
      <c r="R29" s="3"/>
      <c r="S29" s="3"/>
      <c r="T29" s="3"/>
      <c r="U29" s="3"/>
      <c r="V29" s="3"/>
      <c r="W29" s="38">
        <v>78.199999999999989</v>
      </c>
      <c r="X29" s="2">
        <v>27</v>
      </c>
    </row>
    <row r="30" spans="1:24" hidden="1">
      <c r="A30" s="10" t="s">
        <v>400</v>
      </c>
      <c r="B30" s="5" t="s">
        <v>156</v>
      </c>
      <c r="C30" s="4" t="s">
        <v>29</v>
      </c>
      <c r="D30" s="6" t="s">
        <v>266</v>
      </c>
      <c r="E30" s="4" t="s">
        <v>283</v>
      </c>
      <c r="F30" s="4" t="s">
        <v>329</v>
      </c>
      <c r="G30" s="41" t="e">
        <f>表格1_18[[#This Row],[加權後總分]]-表格1_18[[#This Row],[獎懲分數]]</f>
        <v>#DIV/0!</v>
      </c>
      <c r="H3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0" s="39" t="e">
        <f t="shared" si="0"/>
        <v>#DIV/0!</v>
      </c>
      <c r="J30" s="36" t="e">
        <f t="shared" si="1"/>
        <v>#DIV/0!</v>
      </c>
      <c r="K30" s="8" t="e">
        <f t="shared" si="4"/>
        <v>#DIV/0!</v>
      </c>
      <c r="L30" s="8" t="e">
        <f t="shared" si="3"/>
        <v>#DIV/0!</v>
      </c>
      <c r="M30" s="8" t="e">
        <f>表格1_3[[#This Row],[部內平均]]</f>
        <v>#DIV/0!</v>
      </c>
      <c r="N30" s="8"/>
      <c r="O30" s="8" t="e">
        <f>表格1_3[[#This Row],[複評平均]]</f>
        <v>#DIV/0!</v>
      </c>
      <c r="P30" s="3"/>
      <c r="Q30" s="3"/>
      <c r="R30" s="3"/>
      <c r="S30" s="3"/>
      <c r="T30" s="3"/>
      <c r="U30" s="3"/>
      <c r="V30" s="3"/>
      <c r="W30" s="38">
        <v>77.8</v>
      </c>
      <c r="X30" s="2">
        <v>28</v>
      </c>
    </row>
    <row r="31" spans="1:24" hidden="1">
      <c r="A31" s="10" t="s">
        <v>397</v>
      </c>
      <c r="B31" s="5" t="s">
        <v>155</v>
      </c>
      <c r="C31" s="4" t="s">
        <v>28</v>
      </c>
      <c r="D31" s="6" t="s">
        <v>266</v>
      </c>
      <c r="E31" s="4" t="s">
        <v>283</v>
      </c>
      <c r="F31" s="4" t="s">
        <v>329</v>
      </c>
      <c r="G31" s="41" t="e">
        <f>表格1_18[[#This Row],[加權後總分]]-表格1_18[[#This Row],[獎懲分數]]</f>
        <v>#DIV/0!</v>
      </c>
      <c r="H3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1" s="39" t="e">
        <f t="shared" si="0"/>
        <v>#DIV/0!</v>
      </c>
      <c r="J31" s="36" t="e">
        <f t="shared" si="1"/>
        <v>#DIV/0!</v>
      </c>
      <c r="K31" s="8" t="e">
        <f t="shared" si="4"/>
        <v>#DIV/0!</v>
      </c>
      <c r="L31" s="8" t="e">
        <f t="shared" si="3"/>
        <v>#DIV/0!</v>
      </c>
      <c r="M31" s="8" t="e">
        <f>表格1_3[[#This Row],[部內平均]]</f>
        <v>#DIV/0!</v>
      </c>
      <c r="N31" s="8"/>
      <c r="O31" s="8" t="e">
        <f>表格1_3[[#This Row],[複評平均]]</f>
        <v>#DIV/0!</v>
      </c>
      <c r="P31" s="3"/>
      <c r="Q31" s="3"/>
      <c r="R31" s="3"/>
      <c r="S31" s="3"/>
      <c r="T31" s="3"/>
      <c r="U31" s="3"/>
      <c r="V31" s="3"/>
      <c r="W31" s="38">
        <v>77.599999999999994</v>
      </c>
      <c r="X31" s="2">
        <v>29</v>
      </c>
    </row>
    <row r="32" spans="1:24">
      <c r="A32" s="10" t="s">
        <v>389</v>
      </c>
      <c r="B32" s="5" t="s">
        <v>158</v>
      </c>
      <c r="C32" s="13" t="s">
        <v>31</v>
      </c>
      <c r="D32" s="6" t="s">
        <v>266</v>
      </c>
      <c r="E32" s="4" t="s">
        <v>283</v>
      </c>
      <c r="F32" s="4" t="s">
        <v>35</v>
      </c>
      <c r="G32" s="41" t="e">
        <f>表格1_18[[#This Row],[加權後總分]]-表格1_18[[#This Row],[獎懲分數]]</f>
        <v>#DIV/0!</v>
      </c>
      <c r="H3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2" s="39" t="e">
        <f t="shared" si="0"/>
        <v>#DIV/0!</v>
      </c>
      <c r="J32" s="36" t="e">
        <f t="shared" si="1"/>
        <v>#DIV/0!</v>
      </c>
      <c r="K32" s="8" t="e">
        <f t="shared" si="4"/>
        <v>#DIV/0!</v>
      </c>
      <c r="L32" s="8" t="e">
        <f t="shared" si="3"/>
        <v>#DIV/0!</v>
      </c>
      <c r="M32" s="8" t="e">
        <f>表格1_3[[#This Row],[部內平均]]</f>
        <v>#DIV/0!</v>
      </c>
      <c r="N32" s="8"/>
      <c r="O32" s="8" t="e">
        <f>表格1_3[[#This Row],[複評平均]]</f>
        <v>#DIV/0!</v>
      </c>
      <c r="P32" s="3"/>
      <c r="Q32" s="3"/>
      <c r="R32" s="3"/>
      <c r="S32" s="3"/>
      <c r="T32" s="3"/>
      <c r="U32" s="3"/>
      <c r="V32" s="3"/>
      <c r="W32" s="38">
        <v>77.400000000000006</v>
      </c>
      <c r="X32" s="2">
        <v>30</v>
      </c>
    </row>
    <row r="33" spans="1:24" hidden="1">
      <c r="A33" s="10" t="s">
        <v>396</v>
      </c>
      <c r="B33" s="5" t="s">
        <v>160</v>
      </c>
      <c r="C33" s="4" t="s">
        <v>33</v>
      </c>
      <c r="D33" s="6" t="s">
        <v>266</v>
      </c>
      <c r="E33" s="4" t="s">
        <v>283</v>
      </c>
      <c r="F33" s="4" t="s">
        <v>329</v>
      </c>
      <c r="G33" s="41" t="e">
        <f>表格1_18[[#This Row],[加權後總分]]-表格1_18[[#This Row],[獎懲分數]]</f>
        <v>#DIV/0!</v>
      </c>
      <c r="H3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3" s="39" t="e">
        <f t="shared" si="0"/>
        <v>#DIV/0!</v>
      </c>
      <c r="J33" s="36" t="e">
        <f t="shared" si="1"/>
        <v>#DIV/0!</v>
      </c>
      <c r="K33" s="8" t="e">
        <f t="shared" si="4"/>
        <v>#DIV/0!</v>
      </c>
      <c r="L33" s="8" t="e">
        <f t="shared" si="3"/>
        <v>#DIV/0!</v>
      </c>
      <c r="M33" s="8" t="e">
        <f>表格1_3[[#This Row],[部內平均]]</f>
        <v>#DIV/0!</v>
      </c>
      <c r="N33" s="8"/>
      <c r="O33" s="8" t="e">
        <f>表格1_3[[#This Row],[複評平均]]</f>
        <v>#DIV/0!</v>
      </c>
      <c r="P33" s="3"/>
      <c r="Q33" s="3"/>
      <c r="R33" s="3"/>
      <c r="S33" s="3"/>
      <c r="T33" s="3"/>
      <c r="U33" s="3"/>
      <c r="V33" s="3"/>
      <c r="W33" s="38">
        <v>77.3</v>
      </c>
      <c r="X33" s="2">
        <v>31</v>
      </c>
    </row>
    <row r="34" spans="1:24" hidden="1">
      <c r="A34" s="10" t="s">
        <v>401</v>
      </c>
      <c r="B34" s="5" t="s">
        <v>159</v>
      </c>
      <c r="C34" s="4" t="s">
        <v>32</v>
      </c>
      <c r="D34" s="6" t="s">
        <v>266</v>
      </c>
      <c r="E34" s="4" t="s">
        <v>283</v>
      </c>
      <c r="F34" s="4" t="s">
        <v>35</v>
      </c>
      <c r="G34" s="41" t="e">
        <f>表格1_18[[#This Row],[加權後總分]]-表格1_18[[#This Row],[獎懲分數]]</f>
        <v>#DIV/0!</v>
      </c>
      <c r="H3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4" s="39" t="e">
        <f t="shared" si="0"/>
        <v>#DIV/0!</v>
      </c>
      <c r="J34" s="36" t="e">
        <f t="shared" si="1"/>
        <v>#DIV/0!</v>
      </c>
      <c r="K34" s="8" t="e">
        <f t="shared" si="4"/>
        <v>#DIV/0!</v>
      </c>
      <c r="L34" s="8" t="e">
        <f t="shared" si="3"/>
        <v>#DIV/0!</v>
      </c>
      <c r="M34" s="8" t="e">
        <f>表格1_3[[#This Row],[部內平均]]</f>
        <v>#DIV/0!</v>
      </c>
      <c r="N34" s="8"/>
      <c r="O34" s="8" t="e">
        <f>表格1_3[[#This Row],[複評平均]]</f>
        <v>#DIV/0!</v>
      </c>
      <c r="P34" s="3"/>
      <c r="Q34" s="3"/>
      <c r="R34" s="3"/>
      <c r="S34" s="3"/>
      <c r="T34" s="3"/>
      <c r="U34" s="3"/>
      <c r="V34" s="3"/>
      <c r="W34" s="38">
        <v>77.125</v>
      </c>
      <c r="X34" s="2">
        <v>32</v>
      </c>
    </row>
    <row r="35" spans="1:24">
      <c r="A35" s="10" t="s">
        <v>389</v>
      </c>
      <c r="B35" s="5" t="s">
        <v>161</v>
      </c>
      <c r="C35" s="13" t="s">
        <v>34</v>
      </c>
      <c r="D35" s="6" t="s">
        <v>266</v>
      </c>
      <c r="E35" s="4" t="s">
        <v>283</v>
      </c>
      <c r="F35" s="4" t="s">
        <v>35</v>
      </c>
      <c r="G35" s="41" t="e">
        <f>表格1_18[[#This Row],[加權後總分]]-表格1_18[[#This Row],[獎懲分數]]</f>
        <v>#DIV/0!</v>
      </c>
      <c r="H3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5" s="39" t="e">
        <f t="shared" si="0"/>
        <v>#DIV/0!</v>
      </c>
      <c r="J35" s="36" t="e">
        <f t="shared" si="1"/>
        <v>#DIV/0!</v>
      </c>
      <c r="K35" s="8" t="e">
        <f t="shared" ref="K35:K47" si="5">IF(J35&gt;=90,"A",
 IF(J35&gt;=77,"B",
 IF(J35&gt;=70,"C",
 IF(J35&gt;=60,"D","E"))))</f>
        <v>#DIV/0!</v>
      </c>
      <c r="L35" s="8" t="e">
        <f t="shared" si="3"/>
        <v>#DIV/0!</v>
      </c>
      <c r="M35" s="8" t="e">
        <f>表格1_3[[#This Row],[部內平均]]</f>
        <v>#DIV/0!</v>
      </c>
      <c r="N35" s="8"/>
      <c r="O35" s="8" t="e">
        <f>表格1_3[[#This Row],[複評平均]]</f>
        <v>#DIV/0!</v>
      </c>
      <c r="P35" s="3"/>
      <c r="Q35" s="3"/>
      <c r="R35" s="3"/>
      <c r="S35" s="3"/>
      <c r="T35" s="3"/>
      <c r="U35" s="3"/>
      <c r="V35" s="3"/>
      <c r="W35" s="38">
        <v>77.061224489795933</v>
      </c>
      <c r="X35" s="2">
        <v>33</v>
      </c>
    </row>
    <row r="36" spans="1:24" hidden="1">
      <c r="A36" s="10" t="s">
        <v>396</v>
      </c>
      <c r="B36" s="5" t="s">
        <v>314</v>
      </c>
      <c r="C36" s="14" t="s">
        <v>315</v>
      </c>
      <c r="D36" s="6" t="s">
        <v>266</v>
      </c>
      <c r="E36" s="4" t="s">
        <v>283</v>
      </c>
      <c r="F36" s="4" t="s">
        <v>35</v>
      </c>
      <c r="G36" s="41" t="e">
        <f>表格1_18[[#This Row],[加權後總分]]-表格1_18[[#This Row],[獎懲分數]]</f>
        <v>#DIV/0!</v>
      </c>
      <c r="H3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6" s="39" t="e">
        <f t="shared" si="0"/>
        <v>#DIV/0!</v>
      </c>
      <c r="J36" s="36" t="e">
        <f t="shared" si="1"/>
        <v>#DIV/0!</v>
      </c>
      <c r="K36" s="8" t="e">
        <f t="shared" si="5"/>
        <v>#DIV/0!</v>
      </c>
      <c r="L36" s="8" t="e">
        <f t="shared" si="3"/>
        <v>#DIV/0!</v>
      </c>
      <c r="M36" s="8" t="e">
        <f>表格1_3[[#This Row],[部內平均]]</f>
        <v>#DIV/0!</v>
      </c>
      <c r="N36" s="8"/>
      <c r="O36" s="8" t="e">
        <f>表格1_3[[#This Row],[複評平均]]</f>
        <v>#DIV/0!</v>
      </c>
      <c r="P36" s="3"/>
      <c r="Q36" s="3"/>
      <c r="R36" s="3"/>
      <c r="S36" s="3"/>
      <c r="T36" s="3"/>
      <c r="U36" s="3"/>
      <c r="V36" s="3"/>
      <c r="W36" s="38">
        <v>77</v>
      </c>
      <c r="X36" s="2">
        <v>34</v>
      </c>
    </row>
    <row r="37" spans="1:24" hidden="1">
      <c r="A37" s="10" t="s">
        <v>335</v>
      </c>
      <c r="B37" s="5" t="s">
        <v>162</v>
      </c>
      <c r="C37" s="4" t="s">
        <v>35</v>
      </c>
      <c r="D37" s="6" t="s">
        <v>266</v>
      </c>
      <c r="E37" s="4" t="s">
        <v>286</v>
      </c>
      <c r="F37" s="4" t="s">
        <v>77</v>
      </c>
      <c r="G37" s="41" t="e">
        <f>表格1_18[[#This Row],[加權後總分]]-表格1_18[[#This Row],[獎懲分數]]</f>
        <v>#DIV/0!</v>
      </c>
      <c r="H3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7" s="39" t="e">
        <f t="shared" si="0"/>
        <v>#DIV/0!</v>
      </c>
      <c r="J37" s="36" t="e">
        <f t="shared" si="1"/>
        <v>#DIV/0!</v>
      </c>
      <c r="K37" s="8" t="e">
        <f t="shared" si="5"/>
        <v>#DIV/0!</v>
      </c>
      <c r="L37" s="8" t="e">
        <f t="shared" si="3"/>
        <v>#DIV/0!</v>
      </c>
      <c r="M37" s="8" t="e">
        <f>表格1_3[[#This Row],[部內平均]]</f>
        <v>#DIV/0!</v>
      </c>
      <c r="N37" s="8" t="e">
        <f>表格1_3[[#This Row],[共評平均]]</f>
        <v>#DIV/0!</v>
      </c>
      <c r="O37" s="8"/>
      <c r="P37" s="3"/>
      <c r="Q37" s="3"/>
      <c r="R37" s="3"/>
      <c r="S37" s="3"/>
      <c r="T37" s="3"/>
      <c r="U37" s="3"/>
      <c r="V37" s="3"/>
      <c r="W37" s="38">
        <v>77</v>
      </c>
      <c r="X37" s="2">
        <v>35</v>
      </c>
    </row>
    <row r="38" spans="1:24" hidden="1">
      <c r="A38" s="10" t="s">
        <v>402</v>
      </c>
      <c r="B38" s="5" t="s">
        <v>163</v>
      </c>
      <c r="C38" s="4" t="s">
        <v>36</v>
      </c>
      <c r="D38" s="6" t="s">
        <v>267</v>
      </c>
      <c r="E38" s="4" t="s">
        <v>283</v>
      </c>
      <c r="F38" s="4" t="s">
        <v>38</v>
      </c>
      <c r="G38" s="41" t="e">
        <f>表格1_18[[#This Row],[加權後總分]]-表格1_18[[#This Row],[獎懲分數]]</f>
        <v>#DIV/0!</v>
      </c>
      <c r="H3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8" s="39" t="e">
        <f t="shared" si="0"/>
        <v>#DIV/0!</v>
      </c>
      <c r="J38" s="36" t="e">
        <f t="shared" si="1"/>
        <v>#DIV/0!</v>
      </c>
      <c r="K38" s="8" t="e">
        <f t="shared" si="5"/>
        <v>#DIV/0!</v>
      </c>
      <c r="L38" s="8" t="e">
        <f t="shared" si="3"/>
        <v>#DIV/0!</v>
      </c>
      <c r="M38" s="8" t="e">
        <f>表格1_3[[#This Row],[部內平均]]</f>
        <v>#DIV/0!</v>
      </c>
      <c r="N38" s="8"/>
      <c r="O38" s="8" t="e">
        <f>表格1_3[[#This Row],[複評平均]]</f>
        <v>#DIV/0!</v>
      </c>
      <c r="P38" s="3"/>
      <c r="Q38" s="3"/>
      <c r="R38" s="3"/>
      <c r="S38" s="3"/>
      <c r="T38" s="3"/>
      <c r="U38" s="3"/>
      <c r="V38" s="3"/>
      <c r="W38" s="38">
        <v>76.959183673469383</v>
      </c>
      <c r="X38" s="2">
        <v>36</v>
      </c>
    </row>
    <row r="39" spans="1:24" hidden="1">
      <c r="A39" s="10" t="s">
        <v>335</v>
      </c>
      <c r="B39" s="5" t="s">
        <v>165</v>
      </c>
      <c r="C39" s="4" t="s">
        <v>38</v>
      </c>
      <c r="D39" s="6" t="s">
        <v>267</v>
      </c>
      <c r="E39" s="4" t="s">
        <v>286</v>
      </c>
      <c r="F39" s="4" t="s">
        <v>74</v>
      </c>
      <c r="G39" s="41" t="e">
        <f>表格1_18[[#This Row],[加權後總分]]-表格1_18[[#This Row],[獎懲分數]]</f>
        <v>#DIV/0!</v>
      </c>
      <c r="H3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39" s="39" t="e">
        <f t="shared" si="0"/>
        <v>#DIV/0!</v>
      </c>
      <c r="J39" s="36" t="e">
        <f t="shared" si="1"/>
        <v>#DIV/0!</v>
      </c>
      <c r="K39" s="8" t="e">
        <f t="shared" si="5"/>
        <v>#DIV/0!</v>
      </c>
      <c r="L39" s="8" t="e">
        <f t="shared" si="3"/>
        <v>#DIV/0!</v>
      </c>
      <c r="M39" s="8" t="e">
        <f>表格1_3[[#This Row],[部內平均]]</f>
        <v>#DIV/0!</v>
      </c>
      <c r="N39" s="8" t="e">
        <f>表格1_3[[#This Row],[共評平均]]</f>
        <v>#DIV/0!</v>
      </c>
      <c r="O39" s="8"/>
      <c r="P39" s="3"/>
      <c r="Q39" s="3"/>
      <c r="R39" s="3"/>
      <c r="S39" s="3"/>
      <c r="T39" s="3"/>
      <c r="U39" s="3"/>
      <c r="V39" s="3"/>
      <c r="W39" s="38">
        <v>76.816666666666663</v>
      </c>
      <c r="X39" s="2">
        <v>37</v>
      </c>
    </row>
    <row r="40" spans="1:24" hidden="1">
      <c r="A40" s="10" t="s">
        <v>335</v>
      </c>
      <c r="B40" s="5" t="s">
        <v>164</v>
      </c>
      <c r="C40" s="4" t="s">
        <v>37</v>
      </c>
      <c r="D40" s="6" t="s">
        <v>267</v>
      </c>
      <c r="E40" s="4" t="s">
        <v>285</v>
      </c>
      <c r="F40" s="4" t="s">
        <v>38</v>
      </c>
      <c r="G40" s="41" t="e">
        <f>表格1_18[[#This Row],[加權後總分]]-表格1_18[[#This Row],[獎懲分數]]</f>
        <v>#DIV/0!</v>
      </c>
      <c r="H4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0" s="39" t="e">
        <f t="shared" si="0"/>
        <v>#DIV/0!</v>
      </c>
      <c r="J40" s="36" t="e">
        <f t="shared" si="1"/>
        <v>#DIV/0!</v>
      </c>
      <c r="K40" s="8" t="e">
        <f t="shared" si="5"/>
        <v>#DIV/0!</v>
      </c>
      <c r="L40" s="8" t="e">
        <f t="shared" si="3"/>
        <v>#DIV/0!</v>
      </c>
      <c r="M40" s="8" t="e">
        <f>表格1_3[[#This Row],[部內平均]]</f>
        <v>#DIV/0!</v>
      </c>
      <c r="N40" s="8" t="e">
        <f>表格1_3[[#This Row],[共評平均]]</f>
        <v>#DIV/0!</v>
      </c>
      <c r="O40" s="8" t="e">
        <f>表格1_3[[#This Row],[複評平均]]</f>
        <v>#DIV/0!</v>
      </c>
      <c r="P40" s="3"/>
      <c r="Q40" s="3"/>
      <c r="R40" s="3"/>
      <c r="S40" s="3"/>
      <c r="T40" s="3"/>
      <c r="U40" s="3"/>
      <c r="V40" s="3"/>
      <c r="W40" s="38">
        <v>76.800000000000011</v>
      </c>
      <c r="X40" s="2">
        <v>38</v>
      </c>
    </row>
    <row r="41" spans="1:24">
      <c r="A41" s="10" t="s">
        <v>403</v>
      </c>
      <c r="B41" s="5" t="s">
        <v>166</v>
      </c>
      <c r="C41" s="13" t="s">
        <v>39</v>
      </c>
      <c r="D41" s="6" t="s">
        <v>267</v>
      </c>
      <c r="E41" s="4" t="s">
        <v>283</v>
      </c>
      <c r="F41" s="4" t="s">
        <v>93</v>
      </c>
      <c r="G41" s="41" t="e">
        <f>表格1_18[[#This Row],[加權後總分]]-表格1_18[[#This Row],[獎懲分數]]</f>
        <v>#DIV/0!</v>
      </c>
      <c r="H4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1" s="39" t="e">
        <f t="shared" si="0"/>
        <v>#DIV/0!</v>
      </c>
      <c r="J41" s="36" t="e">
        <f t="shared" si="1"/>
        <v>#DIV/0!</v>
      </c>
      <c r="K41" s="8" t="e">
        <f t="shared" si="5"/>
        <v>#DIV/0!</v>
      </c>
      <c r="L41" s="8" t="e">
        <f t="shared" si="3"/>
        <v>#DIV/0!</v>
      </c>
      <c r="M41" s="8" t="e">
        <f>表格1_3[[#This Row],[部內平均]]</f>
        <v>#DIV/0!</v>
      </c>
      <c r="N41" s="8"/>
      <c r="O41" s="8" t="e">
        <f>表格1_3[[#This Row],[複評平均]]</f>
        <v>#DIV/0!</v>
      </c>
      <c r="P41" s="3"/>
      <c r="Q41" s="3"/>
      <c r="R41" s="3"/>
      <c r="S41" s="3"/>
      <c r="T41" s="3"/>
      <c r="U41" s="3"/>
      <c r="V41" s="3"/>
      <c r="W41" s="38">
        <v>76.8</v>
      </c>
      <c r="X41" s="2">
        <v>39</v>
      </c>
    </row>
    <row r="42" spans="1:24" hidden="1">
      <c r="A42" s="10" t="s">
        <v>396</v>
      </c>
      <c r="B42" s="5" t="s">
        <v>167</v>
      </c>
      <c r="C42" s="4" t="s">
        <v>40</v>
      </c>
      <c r="D42" s="6" t="s">
        <v>267</v>
      </c>
      <c r="E42" s="4" t="s">
        <v>283</v>
      </c>
      <c r="F42" s="4" t="s">
        <v>38</v>
      </c>
      <c r="G42" s="41" t="e">
        <f>表格1_18[[#This Row],[加權後總分]]-表格1_18[[#This Row],[獎懲分數]]</f>
        <v>#DIV/0!</v>
      </c>
      <c r="H4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2" s="39" t="e">
        <f t="shared" si="0"/>
        <v>#DIV/0!</v>
      </c>
      <c r="J42" s="36" t="e">
        <f t="shared" si="1"/>
        <v>#DIV/0!</v>
      </c>
      <c r="K42" s="8" t="e">
        <f t="shared" si="5"/>
        <v>#DIV/0!</v>
      </c>
      <c r="L42" s="8" t="e">
        <f t="shared" si="3"/>
        <v>#DIV/0!</v>
      </c>
      <c r="M42" s="8" t="e">
        <f>表格1_3[[#This Row],[部內平均]]</f>
        <v>#DIV/0!</v>
      </c>
      <c r="N42" s="8"/>
      <c r="O42" s="8" t="e">
        <f>表格1_3[[#This Row],[複評平均]]</f>
        <v>#DIV/0!</v>
      </c>
      <c r="P42" s="3"/>
      <c r="Q42" s="3"/>
      <c r="R42" s="3"/>
      <c r="S42" s="3"/>
      <c r="T42" s="3"/>
      <c r="U42" s="3"/>
      <c r="V42" s="3"/>
      <c r="W42" s="38">
        <v>76.400000000000006</v>
      </c>
      <c r="X42" s="2">
        <v>40</v>
      </c>
    </row>
    <row r="43" spans="1:24" hidden="1">
      <c r="A43" s="10" t="s">
        <v>404</v>
      </c>
      <c r="B43" s="5" t="s">
        <v>168</v>
      </c>
      <c r="C43" s="4" t="s">
        <v>41</v>
      </c>
      <c r="D43" s="6" t="s">
        <v>267</v>
      </c>
      <c r="E43" s="4" t="s">
        <v>283</v>
      </c>
      <c r="F43" s="4" t="s">
        <v>38</v>
      </c>
      <c r="G43" s="41" t="e">
        <f>表格1_18[[#This Row],[加權後總分]]-表格1_18[[#This Row],[獎懲分數]]</f>
        <v>#DIV/0!</v>
      </c>
      <c r="H4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3" s="39" t="e">
        <f t="shared" si="0"/>
        <v>#DIV/0!</v>
      </c>
      <c r="J43" s="36" t="e">
        <f t="shared" si="1"/>
        <v>#DIV/0!</v>
      </c>
      <c r="K43" s="8" t="e">
        <f t="shared" si="5"/>
        <v>#DIV/0!</v>
      </c>
      <c r="L43" s="8" t="e">
        <f t="shared" si="3"/>
        <v>#DIV/0!</v>
      </c>
      <c r="M43" s="8" t="e">
        <f>表格1_3[[#This Row],[部內平均]]</f>
        <v>#DIV/0!</v>
      </c>
      <c r="N43" s="8"/>
      <c r="O43" s="8" t="e">
        <f>表格1_3[[#This Row],[複評平均]]</f>
        <v>#DIV/0!</v>
      </c>
      <c r="P43" s="3"/>
      <c r="Q43" s="3"/>
      <c r="R43" s="3"/>
      <c r="S43" s="3"/>
      <c r="T43" s="3"/>
      <c r="U43" s="3"/>
      <c r="V43" s="3"/>
      <c r="W43" s="38">
        <v>76.400000000000006</v>
      </c>
      <c r="X43" s="2">
        <v>41</v>
      </c>
    </row>
    <row r="44" spans="1:24" hidden="1">
      <c r="A44" s="10" t="s">
        <v>383</v>
      </c>
      <c r="B44" s="5" t="s">
        <v>169</v>
      </c>
      <c r="C44" s="4" t="s">
        <v>42</v>
      </c>
      <c r="D44" s="6" t="s">
        <v>268</v>
      </c>
      <c r="E44" s="4" t="s">
        <v>287</v>
      </c>
      <c r="F44" s="4" t="s">
        <v>120</v>
      </c>
      <c r="G44" s="41" t="e">
        <f>表格1_18[[#This Row],[加權後總分]]-表格1_18[[#This Row],[獎懲分數]]</f>
        <v>#DIV/0!</v>
      </c>
      <c r="H4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4" s="39" t="e">
        <f t="shared" si="0"/>
        <v>#DIV/0!</v>
      </c>
      <c r="J44" s="36" t="e">
        <f>IF(
AND(M44&lt;&gt;"",N44&lt;&gt;"",O44&lt;&gt;""),
M44*20% + N44*50% + O44*30%,
IF(
AND(M44&lt;&gt;"",N44="",O44=""),
M44,
IF(
AND(M44="",N44&lt;&gt;"",O44=""),
N44,
IF(
AND(M44="",N44="",O44&lt;&gt;""),
O44,
IF(
AND(M44&lt;&gt;"",N44&lt;&gt;"",O44=""),
M44/(20%+50%)*20% + N44/(20%+50%)*50%,
IF(
AND(M44&lt;&gt;"",N44="",O44&lt;&gt;""),
M44/(20%+30%)*20% + O44/(20%+30%)*30%,
IF(
AND(M44="",N44&lt;&gt;"",O44&lt;&gt;""),
N44/(50%+30%)*50% + O44/(50%+30%)*30%,
""
)
)
)
)
)
) + V44
)</f>
        <v>#DIV/0!</v>
      </c>
      <c r="K44" s="8" t="e">
        <f t="shared" si="5"/>
        <v>#DIV/0!</v>
      </c>
      <c r="L44" s="8" t="e">
        <f t="shared" si="3"/>
        <v>#DIV/0!</v>
      </c>
      <c r="M44" s="8" t="e">
        <f>表格1_3[[#This Row],[部內平均]]</f>
        <v>#DIV/0!</v>
      </c>
      <c r="N44" s="8" t="e">
        <f>表格1_3[[#This Row],[共評平均]]</f>
        <v>#DIV/0!</v>
      </c>
      <c r="O44" s="8">
        <v>76</v>
      </c>
      <c r="P44" s="3"/>
      <c r="Q44" s="3"/>
      <c r="R44" s="3"/>
      <c r="S44" s="3"/>
      <c r="T44" s="3"/>
      <c r="U44" s="3"/>
      <c r="V44" s="3"/>
      <c r="W44" s="38">
        <v>76</v>
      </c>
      <c r="X44" s="2">
        <v>42</v>
      </c>
    </row>
    <row r="45" spans="1:24" hidden="1">
      <c r="A45" s="10" t="s">
        <v>382</v>
      </c>
      <c r="B45" s="5" t="s">
        <v>171</v>
      </c>
      <c r="C45" s="4" t="s">
        <v>44</v>
      </c>
      <c r="D45" s="6" t="s">
        <v>268</v>
      </c>
      <c r="E45" s="4" t="s">
        <v>287</v>
      </c>
      <c r="F45" s="4" t="s">
        <v>120</v>
      </c>
      <c r="G45" s="41" t="e">
        <f>表格1_18[[#This Row],[加權後總分]]-表格1_18[[#This Row],[獎懲分數]]</f>
        <v>#DIV/0!</v>
      </c>
      <c r="H4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5" s="39" t="e">
        <f t="shared" si="0"/>
        <v>#DIV/0!</v>
      </c>
      <c r="J45" s="36" t="e">
        <f>IF(
AND(M45&lt;&gt;"",N45&lt;&gt;"",O45&lt;&gt;""),
M45*20% + N45*50% + O45*30%,
IF(
AND(M45&lt;&gt;"",N45="",O45=""),
M45,
IF(
AND(M45="",N45&lt;&gt;"",O45=""),
N45,
IF(
AND(M45="",N45="",O45&lt;&gt;""),
O45,
IF(
AND(M45&lt;&gt;"",N45&lt;&gt;"",O45=""),
M45/(20%+50%)*20% + N45/(20%+50%)*50%,
IF(
AND(M45&lt;&gt;"",N45="",O45&lt;&gt;""),
M45/(20%+30%)*20% + O45/(20%+30%)*30%,
IF(
AND(M45="",N45&lt;&gt;"",O45&lt;&gt;""),
N45/(50%+30%)*50% + O45/(50%+30%)*30%,
""
)
)
)
)
)
) + V45
)</f>
        <v>#DIV/0!</v>
      </c>
      <c r="K45" s="8" t="e">
        <f t="shared" si="5"/>
        <v>#DIV/0!</v>
      </c>
      <c r="L45" s="8" t="e">
        <f t="shared" si="3"/>
        <v>#DIV/0!</v>
      </c>
      <c r="M45" s="8" t="e">
        <f>表格1_3[[#This Row],[部內平均]]</f>
        <v>#DIV/0!</v>
      </c>
      <c r="N45" s="8" t="e">
        <f>表格1_3[[#This Row],[共評平均]]</f>
        <v>#DIV/0!</v>
      </c>
      <c r="O45" s="8">
        <v>85</v>
      </c>
      <c r="P45" s="3"/>
      <c r="Q45" s="3"/>
      <c r="R45" s="3"/>
      <c r="S45" s="3"/>
      <c r="T45" s="3"/>
      <c r="U45" s="3"/>
      <c r="V45" s="3"/>
      <c r="W45" s="38">
        <v>76</v>
      </c>
      <c r="X45" s="2">
        <v>43</v>
      </c>
    </row>
    <row r="46" spans="1:24" hidden="1">
      <c r="A46" s="10" t="s">
        <v>380</v>
      </c>
      <c r="B46" s="5" t="s">
        <v>172</v>
      </c>
      <c r="C46" s="4" t="s">
        <v>45</v>
      </c>
      <c r="D46" s="6" t="s">
        <v>268</v>
      </c>
      <c r="E46" s="4" t="s">
        <v>288</v>
      </c>
      <c r="F46" s="4" t="s">
        <v>120</v>
      </c>
      <c r="G46" s="41" t="e">
        <f>表格1_18[[#This Row],[加權後總分]]</f>
        <v>#DIV/0!</v>
      </c>
      <c r="H4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6" s="39" t="e">
        <f t="shared" si="0"/>
        <v>#DIV/0!</v>
      </c>
      <c r="J46" s="36" t="e">
        <f>IF(
AND(M46&lt;&gt;"",N46&lt;&gt;"",O46&lt;&gt;""),
M46*20% + N46*50% + O46*30%,
IF(
AND(M46&lt;&gt;"",N46="",O46=""),
M46,
IF(
AND(M46="",N46&lt;&gt;"",O46=""),
N46,
IF(
AND(M46="",N46="",O46&lt;&gt;""),
O46,
IF(
AND(M46&lt;&gt;"",N46&lt;&gt;"",O46=""),
M46/(20%+50%)*20% + N46/(20%+50%)*50%,
IF(
AND(M46&lt;&gt;"",N46="",O46&lt;&gt;""),
M46/(20%+30%)*20% + O46/(20%+30%)*30%,
IF(
AND(M46="",N46&lt;&gt;"",O46&lt;&gt;""),
N46/(50%+30%)*50% + O46/(50%+30%)*30%,
""
)
)
)
)
)
)
)+表格1_18[[#This Row],[獎懲分數]]</f>
        <v>#DIV/0!</v>
      </c>
      <c r="K46" s="8" t="e">
        <f t="shared" si="5"/>
        <v>#DIV/0!</v>
      </c>
      <c r="L46" s="8" t="e">
        <f t="shared" si="3"/>
        <v>#DIV/0!</v>
      </c>
      <c r="M46" s="8" t="e">
        <f>表格1_3[[#This Row],[部內平均]]</f>
        <v>#DIV/0!</v>
      </c>
      <c r="N46" s="8" t="e">
        <f>表格1_3[[#This Row],[共評平均]]</f>
        <v>#DIV/0!</v>
      </c>
      <c r="O46" s="8">
        <v>77.2</v>
      </c>
      <c r="P46" s="3"/>
      <c r="Q46" s="3"/>
      <c r="R46" s="3"/>
      <c r="S46" s="3"/>
      <c r="T46" s="3"/>
      <c r="U46" s="3"/>
      <c r="V46" s="3">
        <v>-10</v>
      </c>
      <c r="W46" s="38">
        <v>75.900000000000006</v>
      </c>
      <c r="X46" s="2">
        <v>44</v>
      </c>
    </row>
    <row r="47" spans="1:24" hidden="1">
      <c r="A47" s="10" t="s">
        <v>380</v>
      </c>
      <c r="B47" s="5" t="s">
        <v>173</v>
      </c>
      <c r="C47" s="4" t="s">
        <v>46</v>
      </c>
      <c r="D47" s="6" t="s">
        <v>268</v>
      </c>
      <c r="E47" s="4" t="s">
        <v>287</v>
      </c>
      <c r="F47" s="4" t="s">
        <v>120</v>
      </c>
      <c r="G47" s="41" t="e">
        <f>表格1_18[[#This Row],[加權後總分]]-表格1_18[[#This Row],[獎懲分數]]</f>
        <v>#DIV/0!</v>
      </c>
      <c r="H4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7" s="39" t="e">
        <f t="shared" si="0"/>
        <v>#DIV/0!</v>
      </c>
      <c r="J47" s="36" t="e">
        <f t="shared" si="1"/>
        <v>#DIV/0!</v>
      </c>
      <c r="K47" s="8" t="e">
        <f t="shared" si="5"/>
        <v>#DIV/0!</v>
      </c>
      <c r="L47" s="8" t="e">
        <f t="shared" si="3"/>
        <v>#DIV/0!</v>
      </c>
      <c r="M47" s="8" t="e">
        <f>表格1_3[[#This Row],[部內平均]]</f>
        <v>#DIV/0!</v>
      </c>
      <c r="N47" s="8" t="e">
        <f>表格1_3[[#This Row],[共評平均]]</f>
        <v>#DIV/0!</v>
      </c>
      <c r="O47" s="8">
        <v>71</v>
      </c>
      <c r="P47" s="3"/>
      <c r="Q47" s="3"/>
      <c r="R47" s="3"/>
      <c r="S47" s="3"/>
      <c r="T47" s="3"/>
      <c r="U47" s="3"/>
      <c r="V47" s="3"/>
      <c r="W47" s="38">
        <v>75.849999999999994</v>
      </c>
      <c r="X47" s="2">
        <v>45</v>
      </c>
    </row>
    <row r="48" spans="1:24" hidden="1">
      <c r="A48" s="10" t="s">
        <v>392</v>
      </c>
      <c r="B48" s="5" t="s">
        <v>170</v>
      </c>
      <c r="C48" s="4" t="s">
        <v>43</v>
      </c>
      <c r="D48" s="6" t="s">
        <v>268</v>
      </c>
      <c r="E48" s="4" t="s">
        <v>287</v>
      </c>
      <c r="F48" s="4" t="s">
        <v>45</v>
      </c>
      <c r="G48" s="41"/>
      <c r="H48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48" s="39" t="e">
        <f t="shared" si="0"/>
        <v>#DIV/0!</v>
      </c>
      <c r="J48" s="36"/>
      <c r="K48" s="8"/>
      <c r="L48" s="8"/>
      <c r="M48" s="8" t="e">
        <f>表格1_3[[#This Row],[部內平均]]</f>
        <v>#DIV/0!</v>
      </c>
      <c r="N48" s="8" t="e">
        <f>表格1_3[[#This Row],[共評平均]]</f>
        <v>#DIV/0!</v>
      </c>
      <c r="O48" s="8" t="e">
        <f>表格1_3[[#This Row],[複評平均]]</f>
        <v>#DIV/0!</v>
      </c>
      <c r="P48" s="3"/>
      <c r="Q48" s="3"/>
      <c r="R48" s="3"/>
      <c r="S48" s="3"/>
      <c r="T48" s="3"/>
      <c r="U48" s="3"/>
      <c r="V48" s="3"/>
      <c r="W48" s="38">
        <v>75.8</v>
      </c>
      <c r="X48" s="2">
        <v>46</v>
      </c>
    </row>
    <row r="49" spans="1:24" ht="26" hidden="1">
      <c r="A49" s="10" t="s">
        <v>383</v>
      </c>
      <c r="B49" s="5" t="s">
        <v>175</v>
      </c>
      <c r="C49" s="4" t="s">
        <v>48</v>
      </c>
      <c r="D49" s="6" t="s">
        <v>269</v>
      </c>
      <c r="E49" s="4" t="s">
        <v>290</v>
      </c>
      <c r="F49" s="4" t="s">
        <v>53</v>
      </c>
      <c r="G49" s="41" t="e">
        <f>表格1_18[[#This Row],[加權後總分]]-表格1_18[[#This Row],[獎懲分數]]</f>
        <v>#DIV/0!</v>
      </c>
      <c r="H4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49" s="39" t="e">
        <f t="shared" si="0"/>
        <v>#DIV/0!</v>
      </c>
      <c r="J49" s="36" t="e">
        <f>IF(
AND(M49&lt;&gt;"",N49&lt;&gt;"",O49&lt;&gt;""),
M49*20% + N49*50% + O49*30%,
IF(
AND(M49&lt;&gt;"",N49="",O49=""),
M49,
IF(
AND(M49="",N49&lt;&gt;"",O49=""),
N49,
IF(
AND(M49="",N49="",O49&lt;&gt;""),
O49,
IF(
AND(M49&lt;&gt;"",N49&lt;&gt;"",O49=""),
M49/(20%+50%)*20% + N49/(20%+50%)*50%,
IF(
AND(M49&lt;&gt;"",N49="",O49&lt;&gt;""),
M49/(20%+30%)*20% + O49/(20%+30%)*30%,
IF(
AND(M49="",N49&lt;&gt;"",O49&lt;&gt;""),
N49/(50%+30%)*50% + O49/(50%+30%)*30%,
""
)
)
)
)
)
) + V49
)</f>
        <v>#DIV/0!</v>
      </c>
      <c r="K49" s="8" t="e">
        <f>IF(J49&gt;=90,"A",
 IF(J49&gt;=77,"B",
 IF(J49&gt;=70,"C",
 IF(J49&gt;=60,"D","E"))))</f>
        <v>#DIV/0!</v>
      </c>
      <c r="L49" s="8" t="e">
        <f t="shared" si="3"/>
        <v>#DIV/0!</v>
      </c>
      <c r="M49" s="8" t="e">
        <f>表格1_3[[#This Row],[部內平均]]</f>
        <v>#DIV/0!</v>
      </c>
      <c r="N49" s="8" t="e">
        <f>表格1_3[[#This Row],[共評平均]]</f>
        <v>#DIV/0!</v>
      </c>
      <c r="O49" s="8" t="e">
        <f>表格1_3[[#This Row],[複評平均]]</f>
        <v>#DIV/0!</v>
      </c>
      <c r="P49" s="3"/>
      <c r="Q49" s="3"/>
      <c r="R49" s="3"/>
      <c r="S49" s="3"/>
      <c r="T49" s="3"/>
      <c r="U49" s="3"/>
      <c r="V49" s="3"/>
      <c r="W49" s="38">
        <v>75.8</v>
      </c>
      <c r="X49" s="2">
        <v>47</v>
      </c>
    </row>
    <row r="50" spans="1:24">
      <c r="A50" s="10" t="s">
        <v>390</v>
      </c>
      <c r="B50" s="5" t="s">
        <v>176</v>
      </c>
      <c r="C50" s="13" t="s">
        <v>49</v>
      </c>
      <c r="D50" s="6" t="s">
        <v>269</v>
      </c>
      <c r="E50" s="4" t="s">
        <v>283</v>
      </c>
      <c r="F50" s="4" t="s">
        <v>93</v>
      </c>
      <c r="G50" s="41" t="e">
        <f>表格1_18[[#This Row],[加權後總分]]-表格1_18[[#This Row],[獎懲分數]]</f>
        <v>#DIV/0!</v>
      </c>
      <c r="H5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0" s="39" t="e">
        <f t="shared" si="0"/>
        <v>#DIV/0!</v>
      </c>
      <c r="J50" s="36" t="e">
        <f>IF(
AND(M50&lt;&gt;"",N50&lt;&gt;"",O50&lt;&gt;""),
M50*20% + N50*50% + O50*30%,
IF(
AND(M50&lt;&gt;"",N50="",O50=""),
M50,
IF(
AND(M50="",N50&lt;&gt;"",O50=""),
N50,
IF(
AND(M50="",N50="",O50&lt;&gt;""),
O50,
IF(
AND(M50&lt;&gt;"",N50&lt;&gt;"",O50=""),
M50/(20%+50%)*20% + N50/(20%+50%)*50%,
IF(
AND(M50&lt;&gt;"",N50="",O50&lt;&gt;""),
M50/(20%+30%)*20% + O50/(20%+30%)*30%,
IF(
AND(M50="",N50&lt;&gt;"",O50&lt;&gt;""),
N50/(50%+30%)*50% + O50/(50%+30%)*30%,
""
)
)
)
)
)
) + V50
)</f>
        <v>#DIV/0!</v>
      </c>
      <c r="K50" s="8" t="e">
        <f t="shared" ref="K50:K52" si="6">IF(J50&gt;=90,"A",
 IF(J50&gt;=77,"B",
 IF(J50&gt;=70,"C",
 IF(J50&gt;=60,"D","E"))))</f>
        <v>#DIV/0!</v>
      </c>
      <c r="L50" s="8" t="e">
        <f t="shared" si="3"/>
        <v>#DIV/0!</v>
      </c>
      <c r="M50" s="8" t="e">
        <f>表格1_3[[#This Row],[部內平均]]</f>
        <v>#DIV/0!</v>
      </c>
      <c r="N50" s="8" t="e">
        <f>表格1_3[[#This Row],[共評平均]]</f>
        <v>#DIV/0!</v>
      </c>
      <c r="O50" s="8" t="e">
        <f>表格1_3[[#This Row],[複評平均]]</f>
        <v>#DIV/0!</v>
      </c>
      <c r="P50" s="3"/>
      <c r="Q50" s="3"/>
      <c r="R50" s="3"/>
      <c r="S50" s="3"/>
      <c r="T50" s="3"/>
      <c r="U50" s="3"/>
      <c r="V50" s="3"/>
      <c r="W50" s="38">
        <v>75.7</v>
      </c>
      <c r="X50" s="2">
        <v>48</v>
      </c>
    </row>
    <row r="51" spans="1:24" hidden="1">
      <c r="A51" s="10" t="s">
        <v>338</v>
      </c>
      <c r="B51" s="5" t="s">
        <v>177</v>
      </c>
      <c r="C51" s="4" t="s">
        <v>50</v>
      </c>
      <c r="D51" s="6" t="s">
        <v>269</v>
      </c>
      <c r="E51" s="4" t="s">
        <v>291</v>
      </c>
      <c r="F51" s="4" t="s">
        <v>53</v>
      </c>
      <c r="G51" s="41" t="e">
        <f>表格1_18[[#This Row],[加權後總分]]-表格1_18[[#This Row],[獎懲分數]]</f>
        <v>#DIV/0!</v>
      </c>
      <c r="H5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1" s="39" t="e">
        <f t="shared" si="0"/>
        <v>#DIV/0!</v>
      </c>
      <c r="J51" s="36" t="e">
        <f>IF(
AND(M51&lt;&gt;"",N51&lt;&gt;"",O51&lt;&gt;""),
M51*20% + N51*50% + O51*30%,
IF(
AND(M51&lt;&gt;"",N51="",O51=""),
M51,
IF(
AND(M51="",N51&lt;&gt;"",O51=""),
N51,
IF(
AND(M51="",N51="",O51&lt;&gt;""),
O51,
IF(
AND(M51&lt;&gt;"",N51&lt;&gt;"",O51=""),
M51/(20%+50%)*20% + N51/(20%+50%)*50%,
IF(
AND(M51&lt;&gt;"",N51="",O51&lt;&gt;""),
M51/(20%+30%)*20% + O51/(20%+30%)*30%,
IF(
AND(M51="",N51&lt;&gt;"",O51&lt;&gt;""),
N51/(50%+30%)*50% + O51/(50%+30%)*30%,
""
)
)
)
)
)
) + V51
)</f>
        <v>#DIV/0!</v>
      </c>
      <c r="K51" s="8" t="e">
        <f t="shared" si="6"/>
        <v>#DIV/0!</v>
      </c>
      <c r="L51" s="8" t="e">
        <f t="shared" si="3"/>
        <v>#DIV/0!</v>
      </c>
      <c r="M51" s="8" t="e">
        <f>表格1_3[[#This Row],[部內平均]]</f>
        <v>#DIV/0!</v>
      </c>
      <c r="N51" s="8" t="e">
        <f>表格1_3[[#This Row],[共評平均]]</f>
        <v>#DIV/0!</v>
      </c>
      <c r="O51" s="8" t="e">
        <f>表格1_3[[#This Row],[複評平均]]</f>
        <v>#DIV/0!</v>
      </c>
      <c r="P51" s="3"/>
      <c r="Q51" s="3"/>
      <c r="R51" s="3"/>
      <c r="S51" s="3"/>
      <c r="T51" s="3"/>
      <c r="U51" s="3"/>
      <c r="V51" s="3"/>
      <c r="W51" s="38">
        <v>75.599999999999994</v>
      </c>
      <c r="X51" s="2">
        <v>49</v>
      </c>
    </row>
    <row r="52" spans="1:24" hidden="1">
      <c r="A52" s="10" t="s">
        <v>337</v>
      </c>
      <c r="B52" s="5" t="s">
        <v>174</v>
      </c>
      <c r="C52" s="4" t="s">
        <v>47</v>
      </c>
      <c r="D52" s="6" t="s">
        <v>269</v>
      </c>
      <c r="E52" s="4" t="s">
        <v>289</v>
      </c>
      <c r="F52" s="4" t="s">
        <v>53</v>
      </c>
      <c r="G52" s="41" t="e">
        <f>表格1_18[[#This Row],[加權後總分]]-表格1_18[[#This Row],[獎懲分數]]</f>
        <v>#DIV/0!</v>
      </c>
      <c r="H5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2" s="39" t="e">
        <f t="shared" si="0"/>
        <v>#DIV/0!</v>
      </c>
      <c r="J52" s="36" t="e">
        <f>IF(
AND(M52&lt;&gt;"",N52&lt;&gt;"",O52&lt;&gt;""),
M52*20% + N52*50% + O52*30%,
IF(
AND(M52&lt;&gt;"",N52="",O52=""),
M52,
IF(
AND(M52="",N52&lt;&gt;"",O52=""),
N52,
IF(
AND(M52="",N52="",O52&lt;&gt;""),
O52,
IF(
AND(M52&lt;&gt;"",N52&lt;&gt;"",O52=""),
M52/(20%+50%)*20% + N52/(20%+50%)*50%,
IF(
AND(M52&lt;&gt;"",N52="",O52&lt;&gt;""),
M52/(20%+30%)*20% + O52/(20%+30%)*30%,
IF(
AND(M52="",N52&lt;&gt;"",O52&lt;&gt;""),
N52/(50%+30%)*50% + O52/(50%+30%)*30%,
""
)
)
)
)
)
) + V52
)</f>
        <v>#DIV/0!</v>
      </c>
      <c r="K52" s="8" t="e">
        <f t="shared" si="6"/>
        <v>#DIV/0!</v>
      </c>
      <c r="L52" s="8" t="e">
        <f t="shared" si="3"/>
        <v>#DIV/0!</v>
      </c>
      <c r="M52" s="8" t="e">
        <f>表格1_3[[#This Row],[部內平均]]</f>
        <v>#DIV/0!</v>
      </c>
      <c r="N52" s="8" t="e">
        <f>表格1_3[[#This Row],[共評平均]]</f>
        <v>#DIV/0!</v>
      </c>
      <c r="O52" s="8" t="e">
        <f>表格1_3[[#This Row],[複評平均]]</f>
        <v>#DIV/0!</v>
      </c>
      <c r="P52" s="3"/>
      <c r="Q52" s="3"/>
      <c r="R52" s="3"/>
      <c r="S52" s="3"/>
      <c r="T52" s="3"/>
      <c r="U52" s="3"/>
      <c r="V52" s="3"/>
      <c r="W52" s="38">
        <v>75.199999999999989</v>
      </c>
      <c r="X52" s="2">
        <v>50</v>
      </c>
    </row>
    <row r="53" spans="1:24" hidden="1">
      <c r="A53" s="10" t="s">
        <v>387</v>
      </c>
      <c r="B53" s="5" t="s">
        <v>316</v>
      </c>
      <c r="C53" s="9" t="s">
        <v>317</v>
      </c>
      <c r="D53" s="6" t="s">
        <v>269</v>
      </c>
      <c r="E53" s="4" t="s">
        <v>327</v>
      </c>
      <c r="F53" s="4" t="s">
        <v>53</v>
      </c>
      <c r="G53" s="41"/>
      <c r="H53" s="39"/>
      <c r="I53" s="39"/>
      <c r="J53" s="36"/>
      <c r="K53" s="8"/>
      <c r="L53" s="8"/>
      <c r="M53" s="8" t="e">
        <f>表格1_3[[#This Row],[部內平均]]</f>
        <v>#DIV/0!</v>
      </c>
      <c r="N53" s="8" t="e">
        <f>表格1_3[[#This Row],[共評平均]]</f>
        <v>#DIV/0!</v>
      </c>
      <c r="O53" s="8" t="e">
        <f>表格1_3[[#This Row],[複評平均]]</f>
        <v>#DIV/0!</v>
      </c>
      <c r="P53" s="3"/>
      <c r="Q53" s="3"/>
      <c r="R53" s="3"/>
      <c r="S53" s="3"/>
      <c r="T53" s="3"/>
      <c r="U53" s="3"/>
      <c r="V53" s="3"/>
      <c r="W53" s="38">
        <v>75.099999999999994</v>
      </c>
      <c r="X53" s="2">
        <v>51</v>
      </c>
    </row>
    <row r="54" spans="1:24">
      <c r="A54" s="10" t="s">
        <v>339</v>
      </c>
      <c r="B54" s="5" t="s">
        <v>178</v>
      </c>
      <c r="C54" s="4" t="s">
        <v>51</v>
      </c>
      <c r="D54" s="6" t="s">
        <v>269</v>
      </c>
      <c r="E54" s="4" t="s">
        <v>5</v>
      </c>
      <c r="F54" s="4" t="s">
        <v>120</v>
      </c>
      <c r="G54" s="41" t="e">
        <f>表格1_18[[#This Row],[加權後總分]]-表格1_18[[#This Row],[獎懲分數]]</f>
        <v>#DIV/0!</v>
      </c>
      <c r="H5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4" s="39" t="e">
        <f t="shared" si="0"/>
        <v>#DIV/0!</v>
      </c>
      <c r="J54" s="36" t="e">
        <f>IF(
AND(M54&lt;&gt;"",N54&lt;&gt;"",O54&lt;&gt;""),
M54*20% + N54*50% + O54*30%,
IF(
AND(M54&lt;&gt;"",N54="",O54=""),
M54,
IF(
AND(M54="",N54&lt;&gt;"",O54=""),
N54,
IF(
AND(M54="",N54="",O54&lt;&gt;""),
O54,
IF(
AND(M54&lt;&gt;"",N54&lt;&gt;"",O54=""),
M54/(20%+50%)*20% + N54/(20%+50%)*50%,
IF(
AND(M54&lt;&gt;"",N54="",O54&lt;&gt;""),
M54/(20%+30%)*20% + O54/(20%+30%)*30%,
IF(
AND(M54="",N54&lt;&gt;"",O54&lt;&gt;""),
N54/(50%+30%)*50% + O54/(50%+30%)*30%,
""
)
)
)
)
)
) + V54
)</f>
        <v>#DIV/0!</v>
      </c>
      <c r="K54" s="8" t="e">
        <f>IF(J54&gt;=90,"A",
 IF(J54&gt;=77,"B",
 IF(J54&gt;=70,"C",
 IF(J54&gt;=60,"D","E"))))</f>
        <v>#DIV/0!</v>
      </c>
      <c r="L54" s="8" t="e">
        <f t="shared" si="3"/>
        <v>#DIV/0!</v>
      </c>
      <c r="M54" s="8" t="e">
        <f>表格1_3[[#This Row],[部內平均]]</f>
        <v>#DIV/0!</v>
      </c>
      <c r="N54" s="8" t="e">
        <f>表格1_3[[#This Row],[共評平均]]</f>
        <v>#DIV/0!</v>
      </c>
      <c r="O54" s="8"/>
      <c r="P54" s="3"/>
      <c r="Q54" s="3"/>
      <c r="R54" s="3"/>
      <c r="S54" s="3">
        <v>2</v>
      </c>
      <c r="T54" s="3"/>
      <c r="U54" s="3"/>
      <c r="V54" s="3">
        <v>-6</v>
      </c>
      <c r="W54" s="38">
        <v>74.826666666666668</v>
      </c>
      <c r="X54" s="2">
        <v>52</v>
      </c>
    </row>
    <row r="55" spans="1:24" hidden="1">
      <c r="A55" s="10" t="s">
        <v>340</v>
      </c>
      <c r="B55" s="5" t="s">
        <v>182</v>
      </c>
      <c r="C55" s="4" t="s">
        <v>55</v>
      </c>
      <c r="D55" s="6" t="s">
        <v>269</v>
      </c>
      <c r="E55" s="4" t="s">
        <v>5</v>
      </c>
      <c r="F55" s="4" t="s">
        <v>53</v>
      </c>
      <c r="G55" s="41" t="e">
        <f>表格1_18[[#This Row],[加權後總分]]-表格1_18[[#This Row],[獎懲分數]]</f>
        <v>#DIV/0!</v>
      </c>
      <c r="H5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5" s="39" t="e">
        <f t="shared" si="0"/>
        <v>#DIV/0!</v>
      </c>
      <c r="J55" s="36" t="e">
        <f>IF(
AND(M55&lt;&gt;"",N55&lt;&gt;"",O55&lt;&gt;""),
M55*20% + N55*50% + O55*30%,
IF(
AND(M55&lt;&gt;"",N55="",O55=""),
M55,
IF(
AND(M55="",N55&lt;&gt;"",O55=""),
N55,
IF(
AND(M55="",N55="",O55&lt;&gt;""),
O55,
IF(
AND(M55&lt;&gt;"",N55&lt;&gt;"",O55=""),
M55/(20%+50%)*20% + N55/(20%+50%)*50%,
IF(
AND(M55&lt;&gt;"",N55="",O55&lt;&gt;""),
M55/(20%+30%)*20% + O55/(20%+30%)*30%,
IF(
AND(M55="",N55&lt;&gt;"",O55&lt;&gt;""),
N55/(50%+30%)*50% + O55/(50%+30%)*30%,
""
)
)
)
)
)
) + V55
)</f>
        <v>#DIV/0!</v>
      </c>
      <c r="K55" s="8" t="e">
        <f t="shared" ref="K55:K56" si="7">IF(J55&gt;=90,"A",
 IF(J55&gt;=77,"B",
 IF(J55&gt;=70,"C",
 IF(J55&gt;=60,"D","E"))))</f>
        <v>#DIV/0!</v>
      </c>
      <c r="L55" s="8" t="e">
        <f t="shared" si="3"/>
        <v>#DIV/0!</v>
      </c>
      <c r="M55" s="8" t="e">
        <f>表格1_3[[#This Row],[部內平均]]</f>
        <v>#DIV/0!</v>
      </c>
      <c r="N55" s="8" t="e">
        <f>表格1_3[[#This Row],[共評平均]]</f>
        <v>#DIV/0!</v>
      </c>
      <c r="O55" s="8"/>
      <c r="P55" s="3"/>
      <c r="Q55" s="3"/>
      <c r="R55" s="3"/>
      <c r="S55" s="3"/>
      <c r="T55" s="3"/>
      <c r="U55" s="3"/>
      <c r="V55" s="3"/>
      <c r="W55" s="38">
        <v>74.8</v>
      </c>
      <c r="X55" s="2">
        <v>53</v>
      </c>
    </row>
    <row r="56" spans="1:24" hidden="1">
      <c r="A56" s="10" t="s">
        <v>341</v>
      </c>
      <c r="B56" s="5" t="s">
        <v>181</v>
      </c>
      <c r="C56" s="4" t="s">
        <v>54</v>
      </c>
      <c r="D56" s="6" t="s">
        <v>269</v>
      </c>
      <c r="E56" s="4" t="s">
        <v>281</v>
      </c>
      <c r="F56" s="4" t="s">
        <v>53</v>
      </c>
      <c r="G56" s="41" t="e">
        <f>表格1_18[[#This Row],[加權後總分]]-表格1_18[[#This Row],[獎懲分數]]</f>
        <v>#DIV/0!</v>
      </c>
      <c r="H5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6" s="39" t="e">
        <f t="shared" si="0"/>
        <v>#DIV/0!</v>
      </c>
      <c r="J56" s="36" t="e">
        <f>IF(
AND(M56&lt;&gt;"",N56&lt;&gt;"",O56&lt;&gt;""),
M56*20% + N56*50% + O56*30%,
IF(
AND(M56&lt;&gt;"",N56="",O56=""),
M56,
IF(
AND(M56="",N56&lt;&gt;"",O56=""),
N56,
IF(
AND(M56="",N56="",O56&lt;&gt;""),
O56,
IF(
AND(M56&lt;&gt;"",N56&lt;&gt;"",O56=""),
M56/(20%+50%)*20% + N56/(20%+50%)*50%,
IF(
AND(M56&lt;&gt;"",N56="",O56&lt;&gt;""),
M56/(20%+30%)*20% + O56/(20%+30%)*30%,
IF(
AND(M56="",N56&lt;&gt;"",O56&lt;&gt;""),
N56/(50%+30%)*50% + O56/(50%+30%)*30%,
""
)
)
)
)
)
) + V56
)</f>
        <v>#DIV/0!</v>
      </c>
      <c r="K56" s="8" t="e">
        <f t="shared" si="7"/>
        <v>#DIV/0!</v>
      </c>
      <c r="L56" s="8" t="e">
        <f t="shared" si="3"/>
        <v>#DIV/0!</v>
      </c>
      <c r="M56" s="8" t="e">
        <f>表格1_3[[#This Row],[部內平均]]</f>
        <v>#DIV/0!</v>
      </c>
      <c r="N56" s="8" t="e">
        <f>表格1_3[[#This Row],[共評平均]]</f>
        <v>#DIV/0!</v>
      </c>
      <c r="O56" s="8"/>
      <c r="P56" s="3"/>
      <c r="Q56" s="3"/>
      <c r="R56" s="3"/>
      <c r="S56" s="3"/>
      <c r="T56" s="3"/>
      <c r="U56" s="3"/>
      <c r="V56" s="3"/>
      <c r="W56" s="38">
        <v>74.733333333333334</v>
      </c>
      <c r="X56" s="2">
        <v>54</v>
      </c>
    </row>
    <row r="57" spans="1:24" hidden="1">
      <c r="A57" s="10" t="s">
        <v>388</v>
      </c>
      <c r="B57" s="5" t="s">
        <v>179</v>
      </c>
      <c r="C57" s="4" t="s">
        <v>52</v>
      </c>
      <c r="D57" s="6" t="s">
        <v>269</v>
      </c>
      <c r="E57" s="4" t="s">
        <v>285</v>
      </c>
      <c r="F57" s="4" t="s">
        <v>55</v>
      </c>
      <c r="G57" s="41"/>
      <c r="H57" s="39"/>
      <c r="I57" s="39"/>
      <c r="J57" s="36"/>
      <c r="K57" s="8"/>
      <c r="L57" s="8"/>
      <c r="M57" s="8" t="e">
        <f>表格1_3[[#This Row],[部內平均]]</f>
        <v>#DIV/0!</v>
      </c>
      <c r="N57" s="8" t="e">
        <f>表格1_3[[#This Row],[共評平均]]</f>
        <v>#DIV/0!</v>
      </c>
      <c r="O57" s="8"/>
      <c r="P57" s="3"/>
      <c r="Q57" s="3"/>
      <c r="R57" s="3"/>
      <c r="S57" s="3"/>
      <c r="T57" s="3"/>
      <c r="U57" s="3"/>
      <c r="V57" s="3"/>
      <c r="W57" s="38">
        <v>74.7</v>
      </c>
      <c r="X57" s="2">
        <v>55</v>
      </c>
    </row>
    <row r="58" spans="1:24" hidden="1">
      <c r="A58" s="10" t="s">
        <v>342</v>
      </c>
      <c r="B58" s="5" t="s">
        <v>180</v>
      </c>
      <c r="C58" s="4" t="s">
        <v>53</v>
      </c>
      <c r="D58" s="6" t="s">
        <v>269</v>
      </c>
      <c r="E58" s="4" t="s">
        <v>292</v>
      </c>
      <c r="F58" s="4" t="s">
        <v>119</v>
      </c>
      <c r="G58" s="41" t="e">
        <f>表格1_18[[#This Row],[加權後總分]]-表格1_18[[#This Row],[獎懲分數]]</f>
        <v>#DIV/0!</v>
      </c>
      <c r="H5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8" s="39" t="e">
        <f t="shared" si="0"/>
        <v>#DIV/0!</v>
      </c>
      <c r="J58" s="36" t="e">
        <f t="shared" ref="J58:J95" si="8">IF(
AND(M58&lt;&gt;"",N58&lt;&gt;"",O58&lt;&gt;""),
M58*20% + N58*50% + O58*30%,
IF(
AND(M58&lt;&gt;"",N58="",O58=""),
M58,
IF(
AND(M58="",N58&lt;&gt;"",O58=""),
N58,
IF(
AND(M58="",N58="",O58&lt;&gt;""),
O58,
IF(
AND(M58&lt;&gt;"",N58&lt;&gt;"",O58=""),
M58/(20%+50%)*20% + N58/(20%+50%)*50%,
IF(
AND(M58&lt;&gt;"",N58="",O58&lt;&gt;""),
M58/(20%+30%)*20% + O58/(20%+30%)*30%,
IF(
AND(M58="",N58&lt;&gt;"",O58&lt;&gt;""),
N58/(50%+30%)*50% + O58/(50%+30%)*30%,
""
)
)
)
)
)
) + V58
)</f>
        <v>#DIV/0!</v>
      </c>
      <c r="K58" s="8" t="e">
        <f>IF(J58&gt;=90,"A",
 IF(J58&gt;=77,"B",
 IF(J58&gt;=70,"C",
 IF(J58&gt;=60,"D","E"))))</f>
        <v>#DIV/0!</v>
      </c>
      <c r="L58" s="8" t="e">
        <f t="shared" si="3"/>
        <v>#DIV/0!</v>
      </c>
      <c r="M58" s="8" t="e">
        <f>表格1_3[[#This Row],[部內平均]]</f>
        <v>#DIV/0!</v>
      </c>
      <c r="N58" s="8" t="e">
        <f>表格1_3[[#This Row],[共評平均]]</f>
        <v>#DIV/0!</v>
      </c>
      <c r="O58" s="8">
        <v>80</v>
      </c>
      <c r="P58" s="3"/>
      <c r="Q58" s="3"/>
      <c r="R58" s="3"/>
      <c r="S58" s="3"/>
      <c r="T58" s="3"/>
      <c r="U58" s="3"/>
      <c r="V58" s="3"/>
      <c r="W58" s="38">
        <v>74.599999999999994</v>
      </c>
      <c r="X58" s="2">
        <v>56</v>
      </c>
    </row>
    <row r="59" spans="1:24">
      <c r="A59" s="10" t="s">
        <v>383</v>
      </c>
      <c r="B59" s="5" t="s">
        <v>189</v>
      </c>
      <c r="C59" s="13" t="s">
        <v>62</v>
      </c>
      <c r="D59" s="6" t="s">
        <v>269</v>
      </c>
      <c r="E59" s="4" t="s">
        <v>293</v>
      </c>
      <c r="F59" s="4" t="s">
        <v>53</v>
      </c>
      <c r="G59" s="41" t="e">
        <f>表格1_18[[#This Row],[加權後總分]]-表格1_18[[#This Row],[獎懲分數]]</f>
        <v>#DIV/0!</v>
      </c>
      <c r="H5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59" s="39" t="e">
        <f t="shared" si="0"/>
        <v>#DIV/0!</v>
      </c>
      <c r="J59" s="36" t="e">
        <f t="shared" si="8"/>
        <v>#DIV/0!</v>
      </c>
      <c r="K59" s="8" t="e">
        <f t="shared" ref="K59:K74" si="9">IF(J59&gt;=90,"A",
 IF(J59&gt;=77,"B",
 IF(J59&gt;=70,"C",
 IF(J59&gt;=60,"D","E"))))</f>
        <v>#DIV/0!</v>
      </c>
      <c r="L59" s="8" t="e">
        <f t="shared" si="3"/>
        <v>#DIV/0!</v>
      </c>
      <c r="M59" s="8" t="e">
        <f>表格1_3[[#This Row],[部內平均]]</f>
        <v>#DIV/0!</v>
      </c>
      <c r="N59" s="8" t="e">
        <f>表格1_3[[#This Row],[共評平均]]</f>
        <v>#DIV/0!</v>
      </c>
      <c r="O59" s="8" t="e">
        <f>表格1_3[[#This Row],[複評平均]]</f>
        <v>#DIV/0!</v>
      </c>
      <c r="P59" s="3"/>
      <c r="Q59" s="3"/>
      <c r="R59" s="3"/>
      <c r="S59" s="3"/>
      <c r="T59" s="3"/>
      <c r="U59" s="3"/>
      <c r="V59" s="3"/>
      <c r="W59" s="38">
        <v>74.400000000000006</v>
      </c>
      <c r="X59" s="2">
        <v>57</v>
      </c>
    </row>
    <row r="60" spans="1:24" hidden="1">
      <c r="A60" s="10" t="s">
        <v>386</v>
      </c>
      <c r="B60" s="5" t="s">
        <v>187</v>
      </c>
      <c r="C60" s="4" t="s">
        <v>60</v>
      </c>
      <c r="D60" s="6" t="s">
        <v>269</v>
      </c>
      <c r="E60" s="4" t="s">
        <v>283</v>
      </c>
      <c r="F60" s="4" t="s">
        <v>53</v>
      </c>
      <c r="G60" s="41" t="e">
        <f>表格1_18[[#This Row],[加權後總分]]-表格1_18[[#This Row],[獎懲分數]]</f>
        <v>#DIV/0!</v>
      </c>
      <c r="H6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0" s="39" t="e">
        <f t="shared" si="0"/>
        <v>#DIV/0!</v>
      </c>
      <c r="J60" s="36" t="e">
        <f t="shared" si="8"/>
        <v>#DIV/0!</v>
      </c>
      <c r="K60" s="8" t="e">
        <f t="shared" si="9"/>
        <v>#DIV/0!</v>
      </c>
      <c r="L60" s="8" t="e">
        <f t="shared" si="3"/>
        <v>#DIV/0!</v>
      </c>
      <c r="M60" s="8" t="e">
        <f>表格1_3[[#This Row],[部內平均]]</f>
        <v>#DIV/0!</v>
      </c>
      <c r="N60" s="8" t="e">
        <f>表格1_3[[#This Row],[共評平均]]</f>
        <v>#DIV/0!</v>
      </c>
      <c r="O60" s="8" t="e">
        <f>表格1_3[[#This Row],[複評平均]]</f>
        <v>#DIV/0!</v>
      </c>
      <c r="P60" s="3"/>
      <c r="Q60" s="3"/>
      <c r="R60" s="3"/>
      <c r="S60" s="3"/>
      <c r="T60" s="3"/>
      <c r="U60" s="3"/>
      <c r="V60" s="3"/>
      <c r="W60" s="38">
        <v>74.2</v>
      </c>
      <c r="X60" s="2">
        <v>58</v>
      </c>
    </row>
    <row r="61" spans="1:24">
      <c r="A61" s="10" t="s">
        <v>382</v>
      </c>
      <c r="B61" s="5" t="s">
        <v>188</v>
      </c>
      <c r="C61" s="13" t="s">
        <v>61</v>
      </c>
      <c r="D61" s="6" t="s">
        <v>269</v>
      </c>
      <c r="E61" s="4" t="s">
        <v>283</v>
      </c>
      <c r="F61" s="4" t="s">
        <v>53</v>
      </c>
      <c r="G61" s="41" t="e">
        <f>表格1_18[[#This Row],[加權後總分]]-表格1_18[[#This Row],[獎懲分數]]</f>
        <v>#DIV/0!</v>
      </c>
      <c r="H6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1" s="39" t="e">
        <f t="shared" si="0"/>
        <v>#DIV/0!</v>
      </c>
      <c r="J61" s="36" t="e">
        <f t="shared" si="8"/>
        <v>#DIV/0!</v>
      </c>
      <c r="K61" s="8" t="e">
        <f t="shared" si="9"/>
        <v>#DIV/0!</v>
      </c>
      <c r="L61" s="8" t="e">
        <f t="shared" si="3"/>
        <v>#DIV/0!</v>
      </c>
      <c r="M61" s="8" t="e">
        <f>表格1_3[[#This Row],[部內平均]]</f>
        <v>#DIV/0!</v>
      </c>
      <c r="N61" s="8" t="e">
        <f>表格1_3[[#This Row],[共評平均]]</f>
        <v>#DIV/0!</v>
      </c>
      <c r="O61" s="8" t="e">
        <f>表格1_3[[#This Row],[複評平均]]</f>
        <v>#DIV/0!</v>
      </c>
      <c r="P61" s="3"/>
      <c r="Q61" s="3"/>
      <c r="R61" s="3"/>
      <c r="S61" s="3"/>
      <c r="T61" s="3"/>
      <c r="U61" s="3"/>
      <c r="V61" s="3"/>
      <c r="W61" s="38">
        <v>74.199999999999989</v>
      </c>
      <c r="X61" s="2">
        <v>59</v>
      </c>
    </row>
    <row r="62" spans="1:24">
      <c r="A62" s="10" t="s">
        <v>385</v>
      </c>
      <c r="B62" s="5" t="s">
        <v>183</v>
      </c>
      <c r="C62" s="14" t="s">
        <v>56</v>
      </c>
      <c r="D62" s="6" t="s">
        <v>269</v>
      </c>
      <c r="E62" s="4" t="s">
        <v>283</v>
      </c>
      <c r="F62" s="4" t="s">
        <v>53</v>
      </c>
      <c r="G62" s="41" t="e">
        <f>表格1_18[[#This Row],[加權後總分]]-表格1_18[[#This Row],[獎懲分數]]</f>
        <v>#DIV/0!</v>
      </c>
      <c r="H6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2" s="39" t="e">
        <f t="shared" si="0"/>
        <v>#DIV/0!</v>
      </c>
      <c r="J62" s="36" t="e">
        <f t="shared" si="8"/>
        <v>#DIV/0!</v>
      </c>
      <c r="K62" s="8" t="e">
        <f t="shared" si="9"/>
        <v>#DIV/0!</v>
      </c>
      <c r="L62" s="8" t="e">
        <f t="shared" si="3"/>
        <v>#DIV/0!</v>
      </c>
      <c r="M62" s="8" t="e">
        <f>表格1_3[[#This Row],[部內平均]]</f>
        <v>#DIV/0!</v>
      </c>
      <c r="N62" s="8" t="e">
        <f>表格1_3[[#This Row],[共評平均]]</f>
        <v>#DIV/0!</v>
      </c>
      <c r="O62" s="8" t="e">
        <f>表格1_3[[#This Row],[複評平均]]</f>
        <v>#DIV/0!</v>
      </c>
      <c r="P62" s="3"/>
      <c r="Q62" s="3"/>
      <c r="R62" s="3"/>
      <c r="S62" s="3">
        <v>2</v>
      </c>
      <c r="T62" s="3"/>
      <c r="U62" s="3"/>
      <c r="V62" s="3">
        <v>-6</v>
      </c>
      <c r="W62" s="38">
        <v>74</v>
      </c>
      <c r="X62" s="2">
        <v>60</v>
      </c>
    </row>
    <row r="63" spans="1:24">
      <c r="A63" s="10" t="s">
        <v>389</v>
      </c>
      <c r="B63" s="5" t="s">
        <v>184</v>
      </c>
      <c r="C63" s="13" t="s">
        <v>57</v>
      </c>
      <c r="D63" s="6" t="s">
        <v>269</v>
      </c>
      <c r="E63" s="4" t="s">
        <v>283</v>
      </c>
      <c r="F63" s="4" t="s">
        <v>53</v>
      </c>
      <c r="G63" s="41" t="e">
        <f>表格1_18[[#This Row],[加權後總分]]-表格1_18[[#This Row],[獎懲分數]]</f>
        <v>#DIV/0!</v>
      </c>
      <c r="H6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3" s="39" t="e">
        <f t="shared" si="0"/>
        <v>#DIV/0!</v>
      </c>
      <c r="J63" s="36" t="e">
        <f t="shared" si="8"/>
        <v>#DIV/0!</v>
      </c>
      <c r="K63" s="8" t="e">
        <f t="shared" si="9"/>
        <v>#DIV/0!</v>
      </c>
      <c r="L63" s="8" t="e">
        <f t="shared" si="3"/>
        <v>#DIV/0!</v>
      </c>
      <c r="M63" s="8" t="e">
        <f>表格1_3[[#This Row],[部內平均]]</f>
        <v>#DIV/0!</v>
      </c>
      <c r="N63" s="8" t="e">
        <f>表格1_3[[#This Row],[共評平均]]</f>
        <v>#DIV/0!</v>
      </c>
      <c r="O63" s="8" t="e">
        <f>表格1_3[[#This Row],[複評平均]]</f>
        <v>#DIV/0!</v>
      </c>
      <c r="P63" s="3"/>
      <c r="Q63" s="3"/>
      <c r="R63" s="3"/>
      <c r="S63" s="3">
        <v>1</v>
      </c>
      <c r="T63" s="3"/>
      <c r="U63" s="3"/>
      <c r="V63" s="3">
        <v>-3</v>
      </c>
      <c r="W63" s="38">
        <v>73.800000000000011</v>
      </c>
      <c r="X63" s="2">
        <v>61</v>
      </c>
    </row>
    <row r="64" spans="1:24" hidden="1">
      <c r="A64" s="10" t="s">
        <v>340</v>
      </c>
      <c r="B64" s="5" t="s">
        <v>185</v>
      </c>
      <c r="C64" s="4" t="s">
        <v>58</v>
      </c>
      <c r="D64" s="6" t="s">
        <v>269</v>
      </c>
      <c r="E64" s="4" t="s">
        <v>285</v>
      </c>
      <c r="F64" s="4" t="s">
        <v>53</v>
      </c>
      <c r="G64" s="41" t="e">
        <f>表格1_18[[#This Row],[加權後總分]]-表格1_18[[#This Row],[獎懲分數]]</f>
        <v>#DIV/0!</v>
      </c>
      <c r="H6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4" s="39" t="e">
        <f t="shared" si="0"/>
        <v>#DIV/0!</v>
      </c>
      <c r="J64" s="36" t="e">
        <f t="shared" si="8"/>
        <v>#DIV/0!</v>
      </c>
      <c r="K64" s="8" t="e">
        <f t="shared" si="9"/>
        <v>#DIV/0!</v>
      </c>
      <c r="L64" s="8" t="e">
        <f t="shared" si="3"/>
        <v>#DIV/0!</v>
      </c>
      <c r="M64" s="8" t="e">
        <f>表格1_3[[#This Row],[部內平均]]</f>
        <v>#DIV/0!</v>
      </c>
      <c r="N64" s="8" t="e">
        <f>表格1_3[[#This Row],[共評平均]]</f>
        <v>#DIV/0!</v>
      </c>
      <c r="O64" s="8" t="e">
        <f>表格1_3[[#This Row],[複評平均]]</f>
        <v>#DIV/0!</v>
      </c>
      <c r="P64" s="3"/>
      <c r="Q64" s="3"/>
      <c r="R64" s="3"/>
      <c r="S64" s="3"/>
      <c r="T64" s="3"/>
      <c r="U64" s="3"/>
      <c r="V64" s="3"/>
      <c r="W64" s="38">
        <v>73.8</v>
      </c>
      <c r="X64" s="2">
        <v>62</v>
      </c>
    </row>
    <row r="65" spans="1:24" hidden="1">
      <c r="A65" s="10" t="s">
        <v>337</v>
      </c>
      <c r="B65" s="5" t="s">
        <v>186</v>
      </c>
      <c r="C65" s="4" t="s">
        <v>59</v>
      </c>
      <c r="D65" s="6" t="s">
        <v>269</v>
      </c>
      <c r="E65" s="4" t="s">
        <v>293</v>
      </c>
      <c r="F65" s="4" t="s">
        <v>55</v>
      </c>
      <c r="G65" s="41" t="e">
        <f>表格1_18[[#This Row],[加權後總分]]-表格1_18[[#This Row],[獎懲分數]]</f>
        <v>#DIV/0!</v>
      </c>
      <c r="H6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5" s="39" t="e">
        <f t="shared" si="0"/>
        <v>#DIV/0!</v>
      </c>
      <c r="J65" s="36" t="e">
        <f t="shared" si="8"/>
        <v>#DIV/0!</v>
      </c>
      <c r="K65" s="8" t="e">
        <f t="shared" si="9"/>
        <v>#DIV/0!</v>
      </c>
      <c r="L65" s="8" t="e">
        <f t="shared" si="3"/>
        <v>#DIV/0!</v>
      </c>
      <c r="M65" s="8" t="e">
        <f>表格1_3[[#This Row],[部內平均]]</f>
        <v>#DIV/0!</v>
      </c>
      <c r="N65" s="8" t="e">
        <f>表格1_3[[#This Row],[共評平均]]</f>
        <v>#DIV/0!</v>
      </c>
      <c r="O65" s="8" t="e">
        <f>表格1_3[[#This Row],[複評平均]]</f>
        <v>#DIV/0!</v>
      </c>
      <c r="P65" s="3"/>
      <c r="Q65" s="3"/>
      <c r="R65" s="3"/>
      <c r="S65" s="3"/>
      <c r="T65" s="3"/>
      <c r="U65" s="3"/>
      <c r="V65" s="3"/>
      <c r="W65" s="38">
        <v>73.599999999999994</v>
      </c>
      <c r="X65" s="2">
        <v>63</v>
      </c>
    </row>
    <row r="66" spans="1:24" hidden="1">
      <c r="A66" s="10" t="s">
        <v>405</v>
      </c>
      <c r="B66" s="5" t="s">
        <v>196</v>
      </c>
      <c r="C66" s="4" t="s">
        <v>69</v>
      </c>
      <c r="D66" s="6" t="s">
        <v>270</v>
      </c>
      <c r="E66" s="4" t="s">
        <v>5</v>
      </c>
      <c r="F66" s="4" t="s">
        <v>77</v>
      </c>
      <c r="G66" s="41" t="e">
        <f>表格1_18[[#This Row],[加權後總分]]-表格1_18[[#This Row],[獎懲分數]]</f>
        <v>#DIV/0!</v>
      </c>
      <c r="H6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6" s="39" t="e">
        <f t="shared" si="0"/>
        <v>#DIV/0!</v>
      </c>
      <c r="J66" s="36" t="e">
        <f>IF(
AND(M66&lt;&gt;"",N66&lt;&gt;"",O66&lt;&gt;""),
M66*20% + N66*50% + O66*30%,
IF(
AND(M66&lt;&gt;"",N66="",O66=""),
M66,
IF(
AND(M66="",N66&lt;&gt;"",O66=""),
N66,
IF(
AND(M66="",N66="",O66&lt;&gt;""),
O66,
IF(
AND(M66&lt;&gt;"",N66&lt;&gt;"",O66=""),
M66/(20%+50%)*20% + N66/(20%+50%)*50%,
IF(
AND(M66&lt;&gt;"",N66="",O66&lt;&gt;""),
M66/(20%+30%)*20% + O66/(20%+30%)*30%,
IF(
AND(M66="",N66&lt;&gt;"",O66&lt;&gt;""),
N66/(50%+30%)*50% + O66/(50%+30%)*30%,
""
)
)
)
)
)
) + V66
)+2</f>
        <v>#DIV/0!</v>
      </c>
      <c r="K66" s="8" t="e">
        <f t="shared" si="9"/>
        <v>#DIV/0!</v>
      </c>
      <c r="L66" s="8" t="e">
        <f t="shared" si="3"/>
        <v>#DIV/0!</v>
      </c>
      <c r="M66" s="8" t="e">
        <f>表格1_3[[#This Row],[部內平均]]</f>
        <v>#DIV/0!</v>
      </c>
      <c r="N66" s="8" t="e">
        <f>表格1_3[[#This Row],[共評平均]]</f>
        <v>#DIV/0!</v>
      </c>
      <c r="O66" s="8"/>
      <c r="P66" s="3"/>
      <c r="Q66" s="3"/>
      <c r="R66" s="3"/>
      <c r="S66" s="3"/>
      <c r="T66" s="3"/>
      <c r="U66" s="3"/>
      <c r="V66" s="3"/>
      <c r="W66" s="38">
        <v>73.5</v>
      </c>
      <c r="X66" s="2">
        <v>64</v>
      </c>
    </row>
    <row r="67" spans="1:24" hidden="1">
      <c r="A67" s="10" t="s">
        <v>406</v>
      </c>
      <c r="B67" s="5" t="s">
        <v>197</v>
      </c>
      <c r="C67" s="4" t="s">
        <v>70</v>
      </c>
      <c r="D67" s="6" t="s">
        <v>270</v>
      </c>
      <c r="E67" s="4" t="s">
        <v>283</v>
      </c>
      <c r="F67" s="4" t="s">
        <v>77</v>
      </c>
      <c r="G67" s="41" t="e">
        <f>表格1_18[[#This Row],[加權後總分]]-表格1_18[[#This Row],[獎懲分數]]</f>
        <v>#DIV/0!</v>
      </c>
      <c r="H6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7" s="39" t="e">
        <f t="shared" ref="I67:I130" si="10">_xlfn.RANK.EQ(G67,$G$2:$G$146,0)</f>
        <v>#DIV/0!</v>
      </c>
      <c r="J67" s="36" t="e">
        <f t="shared" si="8"/>
        <v>#DIV/0!</v>
      </c>
      <c r="K67" s="8" t="e">
        <f t="shared" si="9"/>
        <v>#DIV/0!</v>
      </c>
      <c r="L67" s="8" t="e">
        <f t="shared" ref="L67:L130" si="11">_xlfn.RANK.EQ(J67,$J$2:$J$146,0)</f>
        <v>#DIV/0!</v>
      </c>
      <c r="M67" s="8" t="e">
        <f>表格1_3[[#This Row],[部內平均]]</f>
        <v>#DIV/0!</v>
      </c>
      <c r="N67" s="8"/>
      <c r="O67" s="8" t="e">
        <f>表格1_3[[#This Row],[複評平均]]</f>
        <v>#DIV/0!</v>
      </c>
      <c r="P67" s="3"/>
      <c r="Q67" s="3"/>
      <c r="R67" s="3"/>
      <c r="S67" s="3"/>
      <c r="T67" s="3"/>
      <c r="U67" s="3"/>
      <c r="V67" s="3"/>
      <c r="W67" s="38">
        <v>73.275000000000006</v>
      </c>
      <c r="X67" s="2">
        <v>65</v>
      </c>
    </row>
    <row r="68" spans="1:24" hidden="1">
      <c r="A68" s="10" t="s">
        <v>335</v>
      </c>
      <c r="B68" s="5" t="s">
        <v>190</v>
      </c>
      <c r="C68" s="4" t="s">
        <v>63</v>
      </c>
      <c r="D68" s="6" t="s">
        <v>270</v>
      </c>
      <c r="E68" s="4" t="s">
        <v>286</v>
      </c>
      <c r="F68" s="4" t="s">
        <v>77</v>
      </c>
      <c r="G68" s="41" t="e">
        <f>表格1_18[[#This Row],[加權後總分]]-表格1_18[[#This Row],[獎懲分數]]</f>
        <v>#DIV/0!</v>
      </c>
      <c r="H6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8" s="39" t="e">
        <f t="shared" si="10"/>
        <v>#DIV/0!</v>
      </c>
      <c r="J68" s="36" t="e">
        <f>IF(
AND(M68&lt;&gt;"",N68&lt;&gt;"",O68&lt;&gt;""),
M68*20% + N68*50% + O68*30%,
IF(
AND(M68&lt;&gt;"",N68="",O68=""),
M68,
IF(
AND(M68="",N68&lt;&gt;"",O68=""),
N68,
IF(
AND(M68="",N68="",O68&lt;&gt;""),
O68,
IF(
AND(M68&lt;&gt;"",N68&lt;&gt;"",O68=""),
M68/(20%+50%)*20% + N68/(20%+50%)*50%,
IF(
AND(M68&lt;&gt;"",N68="",O68&lt;&gt;""),
M68/(20%+30%)*20% + O68/(20%+30%)*30%,
IF(
AND(M68="",N68&lt;&gt;"",O68&lt;&gt;""),
N68/(50%+30%)*50% + O68/(50%+30%)*30%,
""
)
)
)
)
)
) + V68+1
)</f>
        <v>#DIV/0!</v>
      </c>
      <c r="K68" s="8" t="e">
        <f t="shared" si="9"/>
        <v>#DIV/0!</v>
      </c>
      <c r="L68" s="8" t="e">
        <f t="shared" si="11"/>
        <v>#DIV/0!</v>
      </c>
      <c r="M68" s="8" t="e">
        <f>表格1_3[[#This Row],[部內平均]]</f>
        <v>#DIV/0!</v>
      </c>
      <c r="N68" s="8" t="e">
        <f>表格1_3[[#This Row],[共評平均]]</f>
        <v>#DIV/0!</v>
      </c>
      <c r="O68" s="8"/>
      <c r="P68" s="3"/>
      <c r="Q68" s="3"/>
      <c r="R68" s="3"/>
      <c r="S68" s="3"/>
      <c r="T68" s="3"/>
      <c r="U68" s="3"/>
      <c r="V68" s="3"/>
      <c r="W68" s="38">
        <v>73.2</v>
      </c>
      <c r="X68" s="2">
        <v>66</v>
      </c>
    </row>
    <row r="69" spans="1:24">
      <c r="A69" s="10" t="s">
        <v>389</v>
      </c>
      <c r="B69" s="5" t="s">
        <v>191</v>
      </c>
      <c r="C69" s="13" t="s">
        <v>64</v>
      </c>
      <c r="D69" s="6" t="s">
        <v>270</v>
      </c>
      <c r="E69" s="4" t="s">
        <v>283</v>
      </c>
      <c r="F69" s="4" t="s">
        <v>63</v>
      </c>
      <c r="G69" s="41" t="e">
        <f>表格1_18[[#This Row],[加權後總分]]-表格1_18[[#This Row],[獎懲分數]]</f>
        <v>#DIV/0!</v>
      </c>
      <c r="H6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69" s="39" t="e">
        <f t="shared" si="10"/>
        <v>#DIV/0!</v>
      </c>
      <c r="J69" s="36" t="e">
        <f t="shared" si="8"/>
        <v>#DIV/0!</v>
      </c>
      <c r="K69" s="8" t="e">
        <f t="shared" si="9"/>
        <v>#DIV/0!</v>
      </c>
      <c r="L69" s="8" t="e">
        <f t="shared" si="11"/>
        <v>#DIV/0!</v>
      </c>
      <c r="M69" s="8" t="e">
        <f>表格1_3[[#This Row],[部內平均]]</f>
        <v>#DIV/0!</v>
      </c>
      <c r="N69" s="8"/>
      <c r="O69" s="8" t="e">
        <f>表格1_3[[#This Row],[複評平均]]</f>
        <v>#DIV/0!</v>
      </c>
      <c r="P69" s="3"/>
      <c r="Q69" s="3"/>
      <c r="R69" s="3"/>
      <c r="S69" s="3"/>
      <c r="T69" s="3"/>
      <c r="U69" s="3"/>
      <c r="V69" s="3"/>
      <c r="W69" s="38">
        <v>73.199999999999989</v>
      </c>
      <c r="X69" s="2">
        <v>67</v>
      </c>
    </row>
    <row r="70" spans="1:24">
      <c r="A70" s="10" t="s">
        <v>389</v>
      </c>
      <c r="B70" s="5" t="s">
        <v>192</v>
      </c>
      <c r="C70" s="13" t="s">
        <v>65</v>
      </c>
      <c r="D70" s="6" t="s">
        <v>270</v>
      </c>
      <c r="E70" s="4" t="s">
        <v>283</v>
      </c>
      <c r="F70" s="4" t="s">
        <v>77</v>
      </c>
      <c r="G70" s="41" t="e">
        <f>表格1_18[[#This Row],[加權後總分]]-表格1_18[[#This Row],[獎懲分數]]</f>
        <v>#DIV/0!</v>
      </c>
      <c r="H7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70" s="39" t="e">
        <f t="shared" si="10"/>
        <v>#DIV/0!</v>
      </c>
      <c r="J70" s="36" t="e">
        <f t="shared" si="8"/>
        <v>#DIV/0!</v>
      </c>
      <c r="K70" s="8" t="e">
        <f t="shared" si="9"/>
        <v>#DIV/0!</v>
      </c>
      <c r="L70" s="8" t="e">
        <f t="shared" si="11"/>
        <v>#DIV/0!</v>
      </c>
      <c r="M70" s="8" t="e">
        <f>表格1_3[[#This Row],[部內平均]]</f>
        <v>#DIV/0!</v>
      </c>
      <c r="N70" s="8"/>
      <c r="O70" s="8" t="e">
        <f>表格1_3[[#This Row],[複評平均]]</f>
        <v>#DIV/0!</v>
      </c>
      <c r="P70" s="3"/>
      <c r="Q70" s="3"/>
      <c r="R70" s="3"/>
      <c r="S70" s="3"/>
      <c r="T70" s="3"/>
      <c r="U70" s="3"/>
      <c r="V70" s="3"/>
      <c r="W70" s="38">
        <v>73.175000000000011</v>
      </c>
      <c r="X70" s="2">
        <v>68</v>
      </c>
    </row>
    <row r="71" spans="1:24">
      <c r="A71" s="10" t="s">
        <v>389</v>
      </c>
      <c r="B71" s="5" t="s">
        <v>194</v>
      </c>
      <c r="C71" s="13" t="s">
        <v>67</v>
      </c>
      <c r="D71" s="6" t="s">
        <v>270</v>
      </c>
      <c r="E71" s="4" t="s">
        <v>283</v>
      </c>
      <c r="F71" s="4" t="s">
        <v>74</v>
      </c>
      <c r="G71" s="41" t="e">
        <f>表格1_18[[#This Row],[加權後總分]]-表格1_18[[#This Row],[獎懲分數]]</f>
        <v>#DIV/0!</v>
      </c>
      <c r="H7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71" s="39" t="e">
        <f t="shared" si="10"/>
        <v>#DIV/0!</v>
      </c>
      <c r="J71" s="36" t="e">
        <f t="shared" si="8"/>
        <v>#DIV/0!</v>
      </c>
      <c r="K71" s="8" t="e">
        <f t="shared" si="9"/>
        <v>#DIV/0!</v>
      </c>
      <c r="L71" s="8" t="e">
        <f t="shared" si="11"/>
        <v>#DIV/0!</v>
      </c>
      <c r="M71" s="8" t="e">
        <f>表格1_3[[#This Row],[部內平均]]</f>
        <v>#DIV/0!</v>
      </c>
      <c r="N71" s="8"/>
      <c r="O71" s="8" t="e">
        <f>表格1_3[[#This Row],[複評平均]]</f>
        <v>#DIV/0!</v>
      </c>
      <c r="P71" s="3"/>
      <c r="Q71" s="3"/>
      <c r="R71" s="3"/>
      <c r="S71" s="3"/>
      <c r="T71" s="3"/>
      <c r="U71" s="3"/>
      <c r="V71" s="3"/>
      <c r="W71" s="38">
        <v>73</v>
      </c>
      <c r="X71" s="2">
        <v>69</v>
      </c>
    </row>
    <row r="72" spans="1:24">
      <c r="A72" s="10" t="s">
        <v>389</v>
      </c>
      <c r="B72" s="5" t="s">
        <v>195</v>
      </c>
      <c r="C72" s="13" t="s">
        <v>68</v>
      </c>
      <c r="D72" s="6" t="s">
        <v>270</v>
      </c>
      <c r="E72" s="4" t="s">
        <v>283</v>
      </c>
      <c r="F72" s="4" t="s">
        <v>63</v>
      </c>
      <c r="G72" s="41" t="e">
        <f>表格1_18[[#This Row],[加權後總分]]-表格1_18[[#This Row],[獎懲分數]]</f>
        <v>#DIV/0!</v>
      </c>
      <c r="H7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72" s="39" t="e">
        <f t="shared" si="10"/>
        <v>#DIV/0!</v>
      </c>
      <c r="J72" s="36" t="e">
        <f t="shared" si="8"/>
        <v>#DIV/0!</v>
      </c>
      <c r="K72" s="8" t="e">
        <f t="shared" si="9"/>
        <v>#DIV/0!</v>
      </c>
      <c r="L72" s="8" t="e">
        <f t="shared" si="11"/>
        <v>#DIV/0!</v>
      </c>
      <c r="M72" s="8" t="e">
        <f>表格1_3[[#This Row],[部內平均]]</f>
        <v>#DIV/0!</v>
      </c>
      <c r="N72" s="8"/>
      <c r="O72" s="8" t="e">
        <f>表格1_3[[#This Row],[複評平均]]</f>
        <v>#DIV/0!</v>
      </c>
      <c r="P72" s="3"/>
      <c r="Q72" s="3"/>
      <c r="R72" s="3"/>
      <c r="S72" s="3"/>
      <c r="T72" s="3"/>
      <c r="U72" s="3"/>
      <c r="V72" s="3"/>
      <c r="W72" s="38">
        <v>72.8</v>
      </c>
      <c r="X72" s="2">
        <v>70</v>
      </c>
    </row>
    <row r="73" spans="1:24" hidden="1">
      <c r="A73" s="10" t="s">
        <v>389</v>
      </c>
      <c r="B73" s="5" t="s">
        <v>193</v>
      </c>
      <c r="C73" s="4" t="s">
        <v>66</v>
      </c>
      <c r="D73" s="6" t="s">
        <v>270</v>
      </c>
      <c r="E73" s="4" t="s">
        <v>283</v>
      </c>
      <c r="F73" s="4" t="s">
        <v>77</v>
      </c>
      <c r="G73" s="41" t="e">
        <f>表格1_18[[#This Row],[加權後總分]]-表格1_18[[#This Row],[獎懲分數]]</f>
        <v>#DIV/0!</v>
      </c>
      <c r="H7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73" s="39" t="e">
        <f t="shared" si="10"/>
        <v>#DIV/0!</v>
      </c>
      <c r="J73" s="36" t="e">
        <f t="shared" si="8"/>
        <v>#DIV/0!</v>
      </c>
      <c r="K73" s="8" t="e">
        <f t="shared" si="9"/>
        <v>#DIV/0!</v>
      </c>
      <c r="L73" s="8" t="e">
        <f t="shared" si="11"/>
        <v>#DIV/0!</v>
      </c>
      <c r="M73" s="8" t="e">
        <f>表格1_3[[#This Row],[部內平均]]</f>
        <v>#DIV/0!</v>
      </c>
      <c r="N73" s="8"/>
      <c r="O73" s="8" t="e">
        <f>表格1_3[[#This Row],[複評平均]]</f>
        <v>#DIV/0!</v>
      </c>
      <c r="P73" s="3"/>
      <c r="Q73" s="3"/>
      <c r="R73" s="3"/>
      <c r="S73" s="3"/>
      <c r="T73" s="3"/>
      <c r="U73" s="3"/>
      <c r="V73" s="3"/>
      <c r="W73" s="38">
        <v>72.8</v>
      </c>
      <c r="X73" s="2">
        <v>71</v>
      </c>
    </row>
    <row r="74" spans="1:24" hidden="1">
      <c r="A74" s="10" t="s">
        <v>389</v>
      </c>
      <c r="B74" s="5" t="s">
        <v>198</v>
      </c>
      <c r="C74" s="4" t="s">
        <v>71</v>
      </c>
      <c r="D74" s="6" t="s">
        <v>270</v>
      </c>
      <c r="E74" s="4" t="s">
        <v>283</v>
      </c>
      <c r="F74" s="4" t="s">
        <v>77</v>
      </c>
      <c r="G74" s="41" t="e">
        <f>表格1_18[[#This Row],[加權後總分]]-表格1_18[[#This Row],[獎懲分數]]</f>
        <v>#DIV/0!</v>
      </c>
      <c r="H7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74" s="39" t="e">
        <f t="shared" si="10"/>
        <v>#DIV/0!</v>
      </c>
      <c r="J74" s="36" t="e">
        <f t="shared" si="8"/>
        <v>#DIV/0!</v>
      </c>
      <c r="K74" s="8" t="e">
        <f t="shared" si="9"/>
        <v>#DIV/0!</v>
      </c>
      <c r="L74" s="8" t="e">
        <f t="shared" si="11"/>
        <v>#DIV/0!</v>
      </c>
      <c r="M74" s="8" t="e">
        <f>表格1_3[[#This Row],[部內平均]]</f>
        <v>#DIV/0!</v>
      </c>
      <c r="N74" s="8"/>
      <c r="O74" s="8" t="e">
        <f>表格1_3[[#This Row],[複評平均]]</f>
        <v>#DIV/0!</v>
      </c>
      <c r="P74" s="3"/>
      <c r="Q74" s="3"/>
      <c r="R74" s="3"/>
      <c r="S74" s="3"/>
      <c r="T74" s="3"/>
      <c r="U74" s="3"/>
      <c r="V74" s="3"/>
      <c r="W74" s="38">
        <v>72.75</v>
      </c>
      <c r="X74" s="2">
        <v>72</v>
      </c>
    </row>
    <row r="75" spans="1:24" hidden="1">
      <c r="A75" s="10" t="s">
        <v>389</v>
      </c>
      <c r="B75" s="5" t="s">
        <v>318</v>
      </c>
      <c r="C75" s="12" t="s">
        <v>438</v>
      </c>
      <c r="D75" s="6" t="s">
        <v>270</v>
      </c>
      <c r="E75" s="4" t="s">
        <v>283</v>
      </c>
      <c r="F75" s="4" t="s">
        <v>63</v>
      </c>
      <c r="G75" s="41">
        <f>表格1_18[[#This Row],[加權後總分]]-表格1_18[[#This Row],[獎懲分數]]</f>
        <v>0</v>
      </c>
      <c r="H75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75" s="39" t="e">
        <f t="shared" si="10"/>
        <v>#DIV/0!</v>
      </c>
      <c r="J75" s="36"/>
      <c r="K75" s="8"/>
      <c r="L75" s="8" t="e">
        <f t="shared" si="11"/>
        <v>#DIV/0!</v>
      </c>
      <c r="M75" s="8" t="e">
        <f>表格1_3[[#This Row],[部內平均]]</f>
        <v>#DIV/0!</v>
      </c>
      <c r="N75" s="8"/>
      <c r="O75" s="8" t="e">
        <f>表格1_3[[#This Row],[複評平均]]</f>
        <v>#DIV/0!</v>
      </c>
      <c r="P75" s="3"/>
      <c r="Q75" s="3"/>
      <c r="R75" s="3"/>
      <c r="S75" s="3"/>
      <c r="T75" s="3"/>
      <c r="U75" s="3"/>
      <c r="V75" s="3"/>
      <c r="W75" s="38">
        <v>72.599999999999994</v>
      </c>
      <c r="X75" s="2">
        <v>73</v>
      </c>
    </row>
    <row r="76" spans="1:24" ht="26" hidden="1">
      <c r="A76" s="10" t="s">
        <v>389</v>
      </c>
      <c r="B76" s="5" t="s">
        <v>319</v>
      </c>
      <c r="C76" s="12" t="s">
        <v>439</v>
      </c>
      <c r="D76" s="6" t="s">
        <v>270</v>
      </c>
      <c r="E76" s="4" t="s">
        <v>283</v>
      </c>
      <c r="F76" s="4" t="s">
        <v>63</v>
      </c>
      <c r="G76" s="41">
        <f>表格1_18[[#This Row],[加權後總分]]-表格1_18[[#This Row],[獎懲分數]]</f>
        <v>0</v>
      </c>
      <c r="H76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76" s="39" t="e">
        <f t="shared" si="10"/>
        <v>#DIV/0!</v>
      </c>
      <c r="J76" s="36"/>
      <c r="K76" s="8"/>
      <c r="L76" s="8" t="e">
        <f t="shared" si="11"/>
        <v>#DIV/0!</v>
      </c>
      <c r="M76" s="8" t="e">
        <f>表格1_3[[#This Row],[部內平均]]</f>
        <v>#DIV/0!</v>
      </c>
      <c r="N76" s="8"/>
      <c r="O76" s="8" t="e">
        <f>表格1_3[[#This Row],[複評平均]]</f>
        <v>#DIV/0!</v>
      </c>
      <c r="P76" s="3"/>
      <c r="Q76" s="3"/>
      <c r="R76" s="3"/>
      <c r="S76" s="3"/>
      <c r="T76" s="3"/>
      <c r="U76" s="3"/>
      <c r="V76" s="3"/>
      <c r="W76" s="38">
        <v>72.474999999999994</v>
      </c>
      <c r="X76" s="2">
        <v>74</v>
      </c>
    </row>
    <row r="77" spans="1:24" hidden="1">
      <c r="A77" s="10" t="s">
        <v>389</v>
      </c>
      <c r="B77" s="5" t="s">
        <v>199</v>
      </c>
      <c r="C77" s="12" t="s">
        <v>440</v>
      </c>
      <c r="D77" s="6" t="s">
        <v>270</v>
      </c>
      <c r="E77" s="4" t="s">
        <v>283</v>
      </c>
      <c r="F77" s="4" t="s">
        <v>63</v>
      </c>
      <c r="G77" s="41">
        <f>表格1_18[[#This Row],[加權後總分]]-表格1_18[[#This Row],[獎懲分數]]</f>
        <v>0</v>
      </c>
      <c r="H77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77" s="39" t="e">
        <f t="shared" si="10"/>
        <v>#DIV/0!</v>
      </c>
      <c r="J77" s="36"/>
      <c r="K77" s="8"/>
      <c r="L77" s="8" t="e">
        <f t="shared" si="11"/>
        <v>#DIV/0!</v>
      </c>
      <c r="M77" s="8" t="e">
        <f>表格1_3[[#This Row],[部內平均]]</f>
        <v>#DIV/0!</v>
      </c>
      <c r="N77" s="8"/>
      <c r="O77" s="8" t="e">
        <f>表格1_3[[#This Row],[複評平均]]</f>
        <v>#DIV/0!</v>
      </c>
      <c r="P77" s="3"/>
      <c r="Q77" s="3"/>
      <c r="R77" s="3"/>
      <c r="S77" s="3"/>
      <c r="T77" s="3"/>
      <c r="U77" s="3"/>
      <c r="V77" s="3"/>
      <c r="W77" s="38">
        <v>72.433333333333337</v>
      </c>
      <c r="X77" s="2">
        <v>75</v>
      </c>
    </row>
    <row r="78" spans="1:24" hidden="1">
      <c r="A78" s="10" t="s">
        <v>389</v>
      </c>
      <c r="B78" s="5" t="s">
        <v>200</v>
      </c>
      <c r="C78" s="12" t="s">
        <v>441</v>
      </c>
      <c r="D78" s="6" t="s">
        <v>270</v>
      </c>
      <c r="E78" s="4" t="s">
        <v>283</v>
      </c>
      <c r="F78" s="4" t="s">
        <v>63</v>
      </c>
      <c r="G78" s="41">
        <f>表格1_18[[#This Row],[加權後總分]]-表格1_18[[#This Row],[獎懲分數]]</f>
        <v>0</v>
      </c>
      <c r="H78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78" s="39" t="e">
        <f t="shared" si="10"/>
        <v>#DIV/0!</v>
      </c>
      <c r="J78" s="36"/>
      <c r="K78" s="8"/>
      <c r="L78" s="8" t="e">
        <f t="shared" si="11"/>
        <v>#DIV/0!</v>
      </c>
      <c r="M78" s="8" t="e">
        <f>表格1_3[[#This Row],[部內平均]]</f>
        <v>#DIV/0!</v>
      </c>
      <c r="N78" s="8"/>
      <c r="O78" s="8" t="e">
        <f>表格1_3[[#This Row],[複評平均]]</f>
        <v>#DIV/0!</v>
      </c>
      <c r="P78" s="3"/>
      <c r="Q78" s="3"/>
      <c r="R78" s="3"/>
      <c r="S78" s="3"/>
      <c r="T78" s="3"/>
      <c r="U78" s="3"/>
      <c r="V78" s="3"/>
      <c r="W78" s="38">
        <v>72.2</v>
      </c>
      <c r="X78" s="2">
        <v>76</v>
      </c>
    </row>
    <row r="79" spans="1:24" hidden="1">
      <c r="A79" s="10" t="s">
        <v>384</v>
      </c>
      <c r="B79" s="5" t="s">
        <v>203</v>
      </c>
      <c r="C79" s="4" t="s">
        <v>73</v>
      </c>
      <c r="D79" s="6" t="s">
        <v>271</v>
      </c>
      <c r="E79" s="4" t="s">
        <v>294</v>
      </c>
      <c r="F79" s="4" t="s">
        <v>72</v>
      </c>
      <c r="G79" s="41" t="e">
        <f>表格1_18[[#This Row],[加權後總分]]-表格1_18[[#This Row],[獎懲分數]]</f>
        <v>#DIV/0!</v>
      </c>
      <c r="H7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79" s="39" t="e">
        <f t="shared" si="10"/>
        <v>#DIV/0!</v>
      </c>
      <c r="J79" s="36" t="e">
        <f t="shared" si="8"/>
        <v>#DIV/0!</v>
      </c>
      <c r="K79" s="8" t="e">
        <f>IF(J79&gt;=90,"A",
 IF(J79&gt;=77,"B",
 IF(J79&gt;=70,"C",
 IF(J79&gt;=60,"D","E"))))</f>
        <v>#DIV/0!</v>
      </c>
      <c r="L79" s="8" t="e">
        <f t="shared" si="11"/>
        <v>#DIV/0!</v>
      </c>
      <c r="M79" s="8" t="e">
        <f>表格1_3[[#This Row],[部內平均]]</f>
        <v>#DIV/0!</v>
      </c>
      <c r="N79" s="8" t="e">
        <f>表格1_3[[#This Row],[共評平均]]</f>
        <v>#DIV/0!</v>
      </c>
      <c r="O79" s="8" t="e">
        <f>表格1_3[[#This Row],[複評平均]]</f>
        <v>#DIV/0!</v>
      </c>
      <c r="P79" s="3"/>
      <c r="Q79" s="3"/>
      <c r="R79" s="3"/>
      <c r="S79" s="3"/>
      <c r="T79" s="3"/>
      <c r="U79" s="3"/>
      <c r="V79" s="3"/>
      <c r="W79" s="38">
        <v>71.875</v>
      </c>
      <c r="X79" s="2">
        <v>77</v>
      </c>
    </row>
    <row r="80" spans="1:24" hidden="1">
      <c r="A80" s="10" t="s">
        <v>380</v>
      </c>
      <c r="B80" s="5" t="s">
        <v>202</v>
      </c>
      <c r="C80" s="4" t="s">
        <v>72</v>
      </c>
      <c r="D80" s="6" t="s">
        <v>271</v>
      </c>
      <c r="E80" s="4" t="s">
        <v>288</v>
      </c>
      <c r="F80" s="4" t="s">
        <v>120</v>
      </c>
      <c r="G80" s="41" t="e">
        <f>表格1_18[[#This Row],[加權後總分]]-表格1_18[[#This Row],[獎懲分數]]</f>
        <v>#DIV/0!</v>
      </c>
      <c r="H8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0" s="39" t="e">
        <f t="shared" si="10"/>
        <v>#DIV/0!</v>
      </c>
      <c r="J80" s="36" t="e">
        <f>IF(
AND(M80&lt;&gt;"",N80&lt;&gt;"",O80&lt;&gt;""),
M80*20% + N80*50% + O80*30%,
IF(
AND(M80&lt;&gt;"",N80="",O80=""),
M80,
IF(
AND(M80="",N80&lt;&gt;"",O80=""),
N80,
IF(
AND(M80="",N80="",O80&lt;&gt;""),
O80,
IF(
AND(M80&lt;&gt;"",N80&lt;&gt;"",O80=""),
M80/(20%+50%)*20% + N80/(20%+50%)*50%,
IF(
AND(M80&lt;&gt;"",N80="",O80&lt;&gt;""),
M80/(20%+30%)*20% + O80/(20%+30%)*30%,
IF(
AND(M80="",N80&lt;&gt;"",O80&lt;&gt;""),
N80/(50%+30%)*50% + O80/(50%+30%)*30%,
""
)
)
)
)
)
) + V80
)</f>
        <v>#DIV/0!</v>
      </c>
      <c r="K80" s="8" t="e">
        <f t="shared" ref="K80:K95" si="12">IF(J80&gt;=90,"A",
 IF(J80&gt;=77,"B",
 IF(J80&gt;=70,"C",
 IF(J80&gt;=60,"D","E"))))</f>
        <v>#DIV/0!</v>
      </c>
      <c r="L80" s="8" t="e">
        <f t="shared" si="11"/>
        <v>#DIV/0!</v>
      </c>
      <c r="M80" s="8" t="e">
        <f>表格1_3[[#This Row],[部內平均]]</f>
        <v>#DIV/0!</v>
      </c>
      <c r="N80" s="8" t="e">
        <f>表格1_3[[#This Row],[共評平均]]</f>
        <v>#DIV/0!</v>
      </c>
      <c r="O80" s="8"/>
      <c r="P80" s="3"/>
      <c r="Q80" s="3"/>
      <c r="R80" s="3"/>
      <c r="S80" s="3"/>
      <c r="T80" s="3"/>
      <c r="U80" s="3"/>
      <c r="V80" s="3"/>
      <c r="W80" s="38">
        <v>71.599999999999994</v>
      </c>
      <c r="X80" s="2">
        <v>78</v>
      </c>
    </row>
    <row r="81" spans="1:24">
      <c r="A81" s="10" t="s">
        <v>380</v>
      </c>
      <c r="B81" s="5" t="s">
        <v>204</v>
      </c>
      <c r="C81" s="13" t="s">
        <v>74</v>
      </c>
      <c r="D81" s="6" t="s">
        <v>271</v>
      </c>
      <c r="E81" s="4" t="s">
        <v>4</v>
      </c>
      <c r="F81" s="4" t="s">
        <v>72</v>
      </c>
      <c r="G81" s="41" t="e">
        <f>表格1_18[[#This Row],[加權後總分]]-表格1_18[[#This Row],[獎懲分數]]</f>
        <v>#DIV/0!</v>
      </c>
      <c r="H8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1" s="39" t="e">
        <f t="shared" si="10"/>
        <v>#DIV/0!</v>
      </c>
      <c r="J81" s="36" t="e">
        <f t="shared" si="8"/>
        <v>#DIV/0!</v>
      </c>
      <c r="K81" s="8" t="e">
        <f t="shared" si="12"/>
        <v>#DIV/0!</v>
      </c>
      <c r="L81" s="8" t="e">
        <f t="shared" si="11"/>
        <v>#DIV/0!</v>
      </c>
      <c r="M81" s="8" t="e">
        <f>表格1_3[[#This Row],[部內平均]]</f>
        <v>#DIV/0!</v>
      </c>
      <c r="N81" s="8" t="e">
        <f>表格1_3[[#This Row],[共評平均]]</f>
        <v>#DIV/0!</v>
      </c>
      <c r="O81" s="8" t="e">
        <f>表格1_3[[#This Row],[複評平均]]</f>
        <v>#DIV/0!</v>
      </c>
      <c r="P81" s="3"/>
      <c r="Q81" s="3"/>
      <c r="R81" s="3"/>
      <c r="S81" s="3"/>
      <c r="T81" s="3"/>
      <c r="U81" s="3"/>
      <c r="V81" s="3"/>
      <c r="W81" s="38">
        <v>71</v>
      </c>
      <c r="X81" s="2">
        <v>79</v>
      </c>
    </row>
    <row r="82" spans="1:24" hidden="1">
      <c r="A82" s="10" t="s">
        <v>383</v>
      </c>
      <c r="B82" s="5" t="s">
        <v>205</v>
      </c>
      <c r="C82" s="4" t="s">
        <v>75</v>
      </c>
      <c r="D82" s="6" t="s">
        <v>271</v>
      </c>
      <c r="E82" s="4" t="s">
        <v>283</v>
      </c>
      <c r="F82" s="4" t="s">
        <v>330</v>
      </c>
      <c r="G82" s="41" t="e">
        <f>表格1_18[[#This Row],[加權後總分]]-表格1_18[[#This Row],[獎懲分數]]</f>
        <v>#DIV/0!</v>
      </c>
      <c r="H8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2" s="39" t="e">
        <f t="shared" si="10"/>
        <v>#DIV/0!</v>
      </c>
      <c r="J82" s="36" t="e">
        <f t="shared" si="8"/>
        <v>#DIV/0!</v>
      </c>
      <c r="K82" s="8" t="e">
        <f t="shared" si="12"/>
        <v>#DIV/0!</v>
      </c>
      <c r="L82" s="8" t="e">
        <f t="shared" si="11"/>
        <v>#DIV/0!</v>
      </c>
      <c r="M82" s="8" t="e">
        <f>表格1_3[[#This Row],[部內平均]]</f>
        <v>#DIV/0!</v>
      </c>
      <c r="N82" s="8" t="e">
        <f>表格1_3[[#This Row],[共評平均]]</f>
        <v>#DIV/0!</v>
      </c>
      <c r="O82" s="8" t="e">
        <f>表格1_3[[#This Row],[複評平均]]</f>
        <v>#DIV/0!</v>
      </c>
      <c r="P82" s="3"/>
      <c r="Q82" s="3"/>
      <c r="R82" s="3"/>
      <c r="S82" s="3"/>
      <c r="T82" s="3"/>
      <c r="U82" s="3"/>
      <c r="V82" s="3"/>
      <c r="W82" s="38">
        <v>71</v>
      </c>
      <c r="X82" s="2">
        <v>80</v>
      </c>
    </row>
    <row r="83" spans="1:24" hidden="1">
      <c r="A83" s="10" t="s">
        <v>343</v>
      </c>
      <c r="B83" s="5" t="s">
        <v>206</v>
      </c>
      <c r="C83" s="4" t="s">
        <v>76</v>
      </c>
      <c r="D83" s="6" t="s">
        <v>272</v>
      </c>
      <c r="E83" s="4" t="s">
        <v>288</v>
      </c>
      <c r="F83" s="4" t="s">
        <v>120</v>
      </c>
      <c r="G83" s="41" t="e">
        <f>表格1_18[[#This Row],[加權後總分]]-表格1_18[[#This Row],[獎懲分數]]</f>
        <v>#DIV/0!</v>
      </c>
      <c r="H8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3" s="39" t="e">
        <f t="shared" si="10"/>
        <v>#DIV/0!</v>
      </c>
      <c r="J83" s="36" t="e">
        <f t="shared" si="8"/>
        <v>#DIV/0!</v>
      </c>
      <c r="K83" s="8" t="e">
        <f t="shared" si="12"/>
        <v>#DIV/0!</v>
      </c>
      <c r="L83" s="8" t="e">
        <f t="shared" si="11"/>
        <v>#DIV/0!</v>
      </c>
      <c r="M83" s="8"/>
      <c r="N83" s="8" t="e">
        <f>表格1_3[[#This Row],[共評平均]]</f>
        <v>#DIV/0!</v>
      </c>
      <c r="O83" s="8">
        <v>83.8</v>
      </c>
      <c r="P83" s="3">
        <v>1</v>
      </c>
      <c r="Q83" s="3"/>
      <c r="R83" s="3"/>
      <c r="S83" s="3"/>
      <c r="T83" s="3"/>
      <c r="U83" s="3"/>
      <c r="V83" s="3">
        <v>3</v>
      </c>
      <c r="W83" s="38">
        <v>70.8</v>
      </c>
      <c r="X83" s="2">
        <v>81</v>
      </c>
    </row>
    <row r="84" spans="1:24" hidden="1">
      <c r="A84" s="10" t="s">
        <v>340</v>
      </c>
      <c r="B84" s="5" t="s">
        <v>207</v>
      </c>
      <c r="C84" s="4" t="s">
        <v>77</v>
      </c>
      <c r="D84" s="6" t="s">
        <v>272</v>
      </c>
      <c r="E84" s="4" t="s">
        <v>292</v>
      </c>
      <c r="F84" s="4" t="s">
        <v>74</v>
      </c>
      <c r="G84" s="41" t="e">
        <f>表格1_18[[#This Row],[加權後總分]]-表格1_18[[#This Row],[獎懲分數]]</f>
        <v>#DIV/0!</v>
      </c>
      <c r="H8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4" s="39" t="e">
        <f t="shared" si="10"/>
        <v>#DIV/0!</v>
      </c>
      <c r="J84" s="36" t="e">
        <f t="shared" si="8"/>
        <v>#DIV/0!</v>
      </c>
      <c r="K84" s="8" t="e">
        <f t="shared" si="12"/>
        <v>#DIV/0!</v>
      </c>
      <c r="L84" s="8" t="e">
        <f t="shared" si="11"/>
        <v>#DIV/0!</v>
      </c>
      <c r="M84" s="8" t="e">
        <f>表格1_3[[#This Row],[部內平均]]</f>
        <v>#DIV/0!</v>
      </c>
      <c r="N84" s="8" t="e">
        <f>表格1_3[[#This Row],[共評平均]]</f>
        <v>#DIV/0!</v>
      </c>
      <c r="O84" s="8">
        <v>79.599999999999994</v>
      </c>
      <c r="P84" s="3"/>
      <c r="Q84" s="3"/>
      <c r="R84" s="3"/>
      <c r="S84" s="3"/>
      <c r="T84" s="3"/>
      <c r="U84" s="3"/>
      <c r="V84" s="3"/>
      <c r="W84" s="38">
        <v>70.599999999999994</v>
      </c>
      <c r="X84" s="2">
        <v>82</v>
      </c>
    </row>
    <row r="85" spans="1:24" hidden="1">
      <c r="A85" s="10" t="s">
        <v>386</v>
      </c>
      <c r="B85" s="5" t="s">
        <v>208</v>
      </c>
      <c r="C85" s="4" t="s">
        <v>78</v>
      </c>
      <c r="D85" s="6" t="s">
        <v>272</v>
      </c>
      <c r="E85" s="4" t="s">
        <v>293</v>
      </c>
      <c r="F85" s="4" t="s">
        <v>76</v>
      </c>
      <c r="G85" s="41" t="e">
        <f>表格1_18[[#This Row],[加權後總分]]-表格1_18[[#This Row],[獎懲分數]]</f>
        <v>#DIV/0!</v>
      </c>
      <c r="H8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5" s="39" t="e">
        <f t="shared" si="10"/>
        <v>#DIV/0!</v>
      </c>
      <c r="J85" s="36" t="e">
        <f t="shared" si="8"/>
        <v>#DIV/0!</v>
      </c>
      <c r="K85" s="8" t="e">
        <f t="shared" si="12"/>
        <v>#DIV/0!</v>
      </c>
      <c r="L85" s="8" t="e">
        <f t="shared" si="11"/>
        <v>#DIV/0!</v>
      </c>
      <c r="M85" s="8" t="e">
        <f>表格1_3[[#This Row],[部內平均]]</f>
        <v>#DIV/0!</v>
      </c>
      <c r="N85" s="8" t="e">
        <f>表格1_3[[#This Row],[共評平均]]</f>
        <v>#DIV/0!</v>
      </c>
      <c r="O85" s="8" t="e">
        <f>表格1_3[[#This Row],[複評平均]]</f>
        <v>#DIV/0!</v>
      </c>
      <c r="P85" s="3"/>
      <c r="Q85" s="3"/>
      <c r="R85" s="3"/>
      <c r="S85" s="3"/>
      <c r="T85" s="3"/>
      <c r="U85" s="3"/>
      <c r="V85" s="3"/>
      <c r="W85" s="38">
        <v>70.599999999999994</v>
      </c>
      <c r="X85" s="2">
        <v>83</v>
      </c>
    </row>
    <row r="86" spans="1:24" hidden="1">
      <c r="A86" s="10" t="s">
        <v>339</v>
      </c>
      <c r="B86" s="5" t="s">
        <v>209</v>
      </c>
      <c r="C86" s="4" t="s">
        <v>79</v>
      </c>
      <c r="D86" s="6" t="s">
        <v>273</v>
      </c>
      <c r="E86" s="4" t="s">
        <v>295</v>
      </c>
      <c r="F86" s="4" t="s">
        <v>119</v>
      </c>
      <c r="G86" s="41" t="e">
        <f>表格1_18[[#This Row],[加權後總分]]-表格1_18[[#This Row],[獎懲分數]]</f>
        <v>#DIV/0!</v>
      </c>
      <c r="H8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6" s="39" t="e">
        <f t="shared" si="10"/>
        <v>#DIV/0!</v>
      </c>
      <c r="J86" s="36" t="e">
        <f>IF(
AND(M86&lt;&gt;"",N86&lt;&gt;"",O86&lt;&gt;""),
M86*20% + N86*50% + O86*30%,
IF(
AND(M86&lt;&gt;"",N86="",O86=""),
M86,
IF(
AND(M86="",N86&lt;&gt;"",O86=""),
N86,
IF(
AND(M86="",N86="",O86&lt;&gt;""),
O86,
IF(
AND(M86&lt;&gt;"",N86&lt;&gt;"",O86=""),
M86/(20%+50%)*20% + N86/(20%+50%)*50%,
IF(
AND(M86&lt;&gt;"",N86="",O86&lt;&gt;""),
M86/(20%+30%)*20% + O86/(20%+30%)*30%,
IF(
AND(M86="",N86&lt;&gt;"",O86&lt;&gt;""),
N86/(50%+30%)*50% + O86/(50%+30%)*30%,
""
)
)
)
)
)
) + V86
)</f>
        <v>#DIV/0!</v>
      </c>
      <c r="K86" s="8" t="e">
        <f t="shared" si="12"/>
        <v>#DIV/0!</v>
      </c>
      <c r="L86" s="8" t="e">
        <f t="shared" si="11"/>
        <v>#DIV/0!</v>
      </c>
      <c r="M86" s="8"/>
      <c r="N86" s="8" t="e">
        <f>表格1_3[[#This Row],[共評平均]]</f>
        <v>#DIV/0!</v>
      </c>
      <c r="O86" s="8"/>
      <c r="P86" s="3">
        <v>1</v>
      </c>
      <c r="Q86" s="3"/>
      <c r="R86" s="3"/>
      <c r="S86" s="3"/>
      <c r="T86" s="3"/>
      <c r="U86" s="3"/>
      <c r="V86" s="3">
        <v>3</v>
      </c>
      <c r="W86" s="38">
        <v>69.525000000000006</v>
      </c>
      <c r="X86" s="2">
        <v>84</v>
      </c>
    </row>
    <row r="87" spans="1:24" hidden="1">
      <c r="A87" s="10" t="s">
        <v>344</v>
      </c>
      <c r="B87" s="5" t="s">
        <v>210</v>
      </c>
      <c r="C87" s="4" t="s">
        <v>80</v>
      </c>
      <c r="D87" s="6" t="s">
        <v>274</v>
      </c>
      <c r="E87" s="4" t="s">
        <v>296</v>
      </c>
      <c r="F87" s="4" t="s">
        <v>79</v>
      </c>
      <c r="G87" s="41" t="e">
        <f>表格1_18[[#This Row],[加權後總分]]-表格1_18[[#This Row],[獎懲分數]]</f>
        <v>#DIV/0!</v>
      </c>
      <c r="H8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7" s="39" t="e">
        <f t="shared" si="10"/>
        <v>#DIV/0!</v>
      </c>
      <c r="J87" s="36" t="e">
        <f>IF(
AND(M87&lt;&gt;"",N87&lt;&gt;"",O87&lt;&gt;""),
M87*20% + N87*50% + O87*30%,
IF(
AND(M87&lt;&gt;"",N87="",O87=""),
M87,
IF(
AND(M87="",N87&lt;&gt;"",O87=""),
N87,
IF(
AND(M87="",N87="",O87&lt;&gt;""),
O87,
IF(
AND(M87&lt;&gt;"",N87&lt;&gt;"",O87=""),
M87/(20%+50%)*20% + N87/(20%+50%)*50%,
IF(
AND(M87&lt;&gt;"",N87="",O87&lt;&gt;""),
M87/(20%+30%)*20% + O87/(20%+30%)*30%,
IF(
AND(M87="",N87&lt;&gt;"",O87&lt;&gt;""),
N87/(50%+30%)*50% + O87/(50%+30%)*30%,
""
)
)
)
)
)
) + V87
)</f>
        <v>#DIV/0!</v>
      </c>
      <c r="K87" s="8" t="e">
        <f t="shared" si="12"/>
        <v>#DIV/0!</v>
      </c>
      <c r="L87" s="8" t="e">
        <f t="shared" si="11"/>
        <v>#DIV/0!</v>
      </c>
      <c r="M87" s="8" t="e">
        <f>表格1_3[[#This Row],[部內平均]]</f>
        <v>#DIV/0!</v>
      </c>
      <c r="N87" s="8" t="e">
        <f>表格1_3[[#This Row],[共評平均]]</f>
        <v>#DIV/0!</v>
      </c>
      <c r="O87" s="8" t="e">
        <f>表格1_3[[#This Row],[複評平均]]</f>
        <v>#DIV/0!</v>
      </c>
      <c r="P87" s="3"/>
      <c r="Q87" s="3"/>
      <c r="R87" s="3"/>
      <c r="S87" s="3"/>
      <c r="T87" s="3"/>
      <c r="U87" s="3"/>
      <c r="V87" s="3"/>
      <c r="W87" s="38">
        <v>69.2</v>
      </c>
      <c r="X87" s="2">
        <v>85</v>
      </c>
    </row>
    <row r="88" spans="1:24" hidden="1">
      <c r="A88" s="10" t="s">
        <v>345</v>
      </c>
      <c r="B88" s="5" t="s">
        <v>211</v>
      </c>
      <c r="C88" s="4" t="s">
        <v>81</v>
      </c>
      <c r="D88" s="6" t="s">
        <v>274</v>
      </c>
      <c r="E88" s="4" t="s">
        <v>296</v>
      </c>
      <c r="F88" s="4" t="s">
        <v>93</v>
      </c>
      <c r="G88" s="41" t="e">
        <f>表格1_18[[#This Row],[加權後總分]]-表格1_18[[#This Row],[獎懲分數]]</f>
        <v>#DIV/0!</v>
      </c>
      <c r="H8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8" s="39" t="e">
        <f t="shared" si="10"/>
        <v>#DIV/0!</v>
      </c>
      <c r="J88" s="36" t="e">
        <f t="shared" si="8"/>
        <v>#DIV/0!</v>
      </c>
      <c r="K88" s="8" t="e">
        <f t="shared" si="12"/>
        <v>#DIV/0!</v>
      </c>
      <c r="L88" s="8" t="e">
        <f t="shared" si="11"/>
        <v>#DIV/0!</v>
      </c>
      <c r="M88" s="8" t="e">
        <f>表格1_3[[#This Row],[部內平均]]</f>
        <v>#DIV/0!</v>
      </c>
      <c r="N88" s="8" t="e">
        <f>表格1_3[[#This Row],[共評平均]]</f>
        <v>#DIV/0!</v>
      </c>
      <c r="O88" s="8" t="e">
        <f>表格1_3[[#This Row],[複評平均]]</f>
        <v>#DIV/0!</v>
      </c>
      <c r="P88" s="3">
        <v>1</v>
      </c>
      <c r="Q88" s="3"/>
      <c r="R88" s="3"/>
      <c r="S88" s="3"/>
      <c r="T88" s="3"/>
      <c r="U88" s="3"/>
      <c r="V88" s="3">
        <v>3</v>
      </c>
      <c r="W88" s="38">
        <v>69</v>
      </c>
      <c r="X88" s="2">
        <v>86</v>
      </c>
    </row>
    <row r="89" spans="1:24" hidden="1">
      <c r="A89" s="10" t="s">
        <v>335</v>
      </c>
      <c r="B89" s="5" t="s">
        <v>212</v>
      </c>
      <c r="C89" s="4" t="s">
        <v>82</v>
      </c>
      <c r="D89" s="6" t="s">
        <v>275</v>
      </c>
      <c r="E89" s="4" t="s">
        <v>285</v>
      </c>
      <c r="F89" s="4" t="s">
        <v>331</v>
      </c>
      <c r="G89" s="41" t="e">
        <f>表格1_18[[#This Row],[加權後總分]]-表格1_18[[#This Row],[獎懲分數]]</f>
        <v>#DIV/0!</v>
      </c>
      <c r="H8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89" s="39" t="e">
        <f t="shared" si="10"/>
        <v>#DIV/0!</v>
      </c>
      <c r="J89" s="36" t="e">
        <f>IF(
AND(M89&lt;&gt;"",N89&lt;&gt;"",O89&lt;&gt;""),
M89*20% + N89*50% + O89*30%,
IF(
AND(M89&lt;&gt;"",N89="",O89=""),
M89,
IF(
AND(M89="",N89&lt;&gt;"",O89=""),
N89,
IF(
AND(M89="",N89="",O89&lt;&gt;""),
O89,
IF(
AND(M89&lt;&gt;"",N89&lt;&gt;"",O89=""),
M89/(20%+50%)*20% + N89/(20%+50%)*50%,
IF(
AND(M89&lt;&gt;"",N89="",O89&lt;&gt;""),
M89/(20%+30%)*20% + O89/(20%+30%)*30%,
IF(
AND(M89="",N89&lt;&gt;"",O89&lt;&gt;""),
N89/(50%+30%)*50% + O89/(50%+30%)*30%,
""
)
)
)
)
)
) + V89
)</f>
        <v>#DIV/0!</v>
      </c>
      <c r="K89" s="8" t="e">
        <f t="shared" si="12"/>
        <v>#DIV/0!</v>
      </c>
      <c r="L89" s="8" t="e">
        <f t="shared" si="11"/>
        <v>#DIV/0!</v>
      </c>
      <c r="M89" s="8"/>
      <c r="N89" s="8" t="e">
        <f>表格1_3[[#This Row],[共評平均]]</f>
        <v>#DIV/0!</v>
      </c>
      <c r="O89" s="8" t="e">
        <f>表格1_3[[#This Row],[複評平均]]</f>
        <v>#DIV/0!</v>
      </c>
      <c r="P89" s="3"/>
      <c r="Q89" s="3"/>
      <c r="R89" s="3"/>
      <c r="S89" s="3"/>
      <c r="T89" s="3"/>
      <c r="U89" s="3"/>
      <c r="V89" s="3"/>
      <c r="W89" s="38">
        <v>68.8</v>
      </c>
      <c r="X89" s="2">
        <v>87</v>
      </c>
    </row>
    <row r="90" spans="1:24" hidden="1">
      <c r="A90" s="10" t="s">
        <v>399</v>
      </c>
      <c r="B90" s="5" t="s">
        <v>213</v>
      </c>
      <c r="C90" s="4" t="s">
        <v>334</v>
      </c>
      <c r="D90" s="6" t="s">
        <v>275</v>
      </c>
      <c r="E90" s="4" t="s">
        <v>283</v>
      </c>
      <c r="F90" s="4" t="s">
        <v>35</v>
      </c>
      <c r="G90" s="41" t="e">
        <f>表格1_18[[#This Row],[加權後總分]]-表格1_18[[#This Row],[獎懲分數]]</f>
        <v>#DIV/0!</v>
      </c>
      <c r="H9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0" s="39" t="e">
        <f t="shared" si="10"/>
        <v>#DIV/0!</v>
      </c>
      <c r="J90" s="36" t="e">
        <f t="shared" si="8"/>
        <v>#DIV/0!</v>
      </c>
      <c r="K90" s="8" t="e">
        <f t="shared" si="12"/>
        <v>#DIV/0!</v>
      </c>
      <c r="L90" s="8" t="e">
        <f t="shared" si="11"/>
        <v>#DIV/0!</v>
      </c>
      <c r="M90" s="8" t="e">
        <f>表格1_3[[#This Row],[部內平均]]</f>
        <v>#DIV/0!</v>
      </c>
      <c r="N90" s="8"/>
      <c r="O90" s="8" t="e">
        <f>表格1_3[[#This Row],[複評平均]]</f>
        <v>#DIV/0!</v>
      </c>
      <c r="P90" s="3"/>
      <c r="Q90" s="3"/>
      <c r="R90" s="3"/>
      <c r="S90" s="3"/>
      <c r="T90" s="3"/>
      <c r="U90" s="3"/>
      <c r="V90" s="3"/>
      <c r="W90" s="38">
        <v>68.8</v>
      </c>
      <c r="X90" s="2">
        <v>88</v>
      </c>
    </row>
    <row r="91" spans="1:24" hidden="1">
      <c r="A91" s="10" t="s">
        <v>399</v>
      </c>
      <c r="B91" s="5" t="s">
        <v>215</v>
      </c>
      <c r="C91" s="4" t="s">
        <v>84</v>
      </c>
      <c r="D91" s="6" t="s">
        <v>275</v>
      </c>
      <c r="E91" s="4" t="s">
        <v>283</v>
      </c>
      <c r="F91" s="4" t="s">
        <v>35</v>
      </c>
      <c r="G91" s="41" t="e">
        <f>表格1_18[[#This Row],[加權後總分]]-表格1_18[[#This Row],[獎懲分數]]</f>
        <v>#DIV/0!</v>
      </c>
      <c r="H9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1" s="39" t="e">
        <f t="shared" si="10"/>
        <v>#DIV/0!</v>
      </c>
      <c r="J91" s="36" t="e">
        <f t="shared" si="8"/>
        <v>#DIV/0!</v>
      </c>
      <c r="K91" s="8" t="e">
        <f t="shared" si="12"/>
        <v>#DIV/0!</v>
      </c>
      <c r="L91" s="8" t="e">
        <f t="shared" si="11"/>
        <v>#DIV/0!</v>
      </c>
      <c r="M91" s="8" t="e">
        <f>表格1_3[[#This Row],[部內平均]]</f>
        <v>#DIV/0!</v>
      </c>
      <c r="N91" s="8"/>
      <c r="O91" s="8" t="e">
        <f>表格1_3[[#This Row],[複評平均]]</f>
        <v>#DIV/0!</v>
      </c>
      <c r="P91" s="3"/>
      <c r="Q91" s="3"/>
      <c r="R91" s="3"/>
      <c r="S91" s="3"/>
      <c r="T91" s="3"/>
      <c r="U91" s="3"/>
      <c r="V91" s="3"/>
      <c r="W91" s="38">
        <v>68.8</v>
      </c>
      <c r="X91" s="2">
        <v>89</v>
      </c>
    </row>
    <row r="92" spans="1:24" hidden="1">
      <c r="A92" s="10" t="s">
        <v>399</v>
      </c>
      <c r="B92" s="5" t="s">
        <v>219</v>
      </c>
      <c r="C92" s="4" t="s">
        <v>88</v>
      </c>
      <c r="D92" s="6" t="s">
        <v>275</v>
      </c>
      <c r="E92" s="4" t="s">
        <v>283</v>
      </c>
      <c r="F92" s="4" t="s">
        <v>35</v>
      </c>
      <c r="G92" s="41" t="e">
        <f>表格1_18[[#This Row],[加權後總分]]-表格1_18[[#This Row],[獎懲分數]]</f>
        <v>#DIV/0!</v>
      </c>
      <c r="H9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2" s="39" t="e">
        <f t="shared" si="10"/>
        <v>#DIV/0!</v>
      </c>
      <c r="J92" s="36" t="e">
        <f>IF(
AND(M92&lt;&gt;"",N92&lt;&gt;"",O92&lt;&gt;""),
M92*20% + N92*50% + O92*30%,
IF(
AND(M92&lt;&gt;"",N92="",O92=""),
M92,
IF(
AND(M92="",N92&lt;&gt;"",O92=""),
N92,
IF(
AND(M92="",N92="",O92&lt;&gt;""),
O92,
IF(
AND(M92&lt;&gt;"",N92&lt;&gt;"",O92=""),
M92/(20%+50%)*20% + N92/(20%+50%)*50%,
IF(
AND(M92&lt;&gt;"",N92="",O92&lt;&gt;""),
M92/(20%+30%)*20% + O92/(20%+30%)*30%,
IF(
AND(M92="",N92&lt;&gt;"",O92&lt;&gt;""),
N92/(50%+30%)*50% + O92/(50%+30%)*30%,
""
)
)
)
)
)
) + V92
)+2</f>
        <v>#DIV/0!</v>
      </c>
      <c r="K92" s="8" t="e">
        <f t="shared" si="12"/>
        <v>#DIV/0!</v>
      </c>
      <c r="L92" s="8" t="e">
        <f t="shared" si="11"/>
        <v>#DIV/0!</v>
      </c>
      <c r="M92" s="8" t="e">
        <f>表格1_3[[#This Row],[部內平均]]</f>
        <v>#DIV/0!</v>
      </c>
      <c r="N92" s="8"/>
      <c r="O92" s="8" t="e">
        <f>表格1_3[[#This Row],[複評平均]]</f>
        <v>#DIV/0!</v>
      </c>
      <c r="P92" s="3"/>
      <c r="Q92" s="3"/>
      <c r="R92" s="3"/>
      <c r="S92" s="3"/>
      <c r="T92" s="3"/>
      <c r="U92" s="3"/>
      <c r="V92" s="3"/>
      <c r="W92" s="38">
        <v>68.612244897959187</v>
      </c>
      <c r="X92" s="2">
        <v>90</v>
      </c>
    </row>
    <row r="93" spans="1:24" hidden="1">
      <c r="A93" s="10" t="s">
        <v>399</v>
      </c>
      <c r="B93" s="5" t="s">
        <v>216</v>
      </c>
      <c r="C93" s="4" t="s">
        <v>85</v>
      </c>
      <c r="D93" s="6" t="s">
        <v>275</v>
      </c>
      <c r="E93" s="4" t="s">
        <v>283</v>
      </c>
      <c r="F93" s="4" t="s">
        <v>35</v>
      </c>
      <c r="G93" s="41" t="e">
        <f>表格1_18[[#This Row],[加權後總分]]-表格1_18[[#This Row],[獎懲分數]]</f>
        <v>#DIV/0!</v>
      </c>
      <c r="H9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3" s="39" t="e">
        <f t="shared" si="10"/>
        <v>#DIV/0!</v>
      </c>
      <c r="J93" s="36" t="e">
        <f t="shared" si="8"/>
        <v>#DIV/0!</v>
      </c>
      <c r="K93" s="8" t="e">
        <f t="shared" si="12"/>
        <v>#DIV/0!</v>
      </c>
      <c r="L93" s="8" t="e">
        <f t="shared" si="11"/>
        <v>#DIV/0!</v>
      </c>
      <c r="M93" s="8" t="e">
        <f>表格1_3[[#This Row],[部內平均]]</f>
        <v>#DIV/0!</v>
      </c>
      <c r="N93" s="8"/>
      <c r="O93" s="8" t="e">
        <f>表格1_3[[#This Row],[複評平均]]</f>
        <v>#DIV/0!</v>
      </c>
      <c r="P93" s="3"/>
      <c r="Q93" s="3"/>
      <c r="R93" s="3"/>
      <c r="S93" s="3"/>
      <c r="T93" s="3"/>
      <c r="U93" s="3"/>
      <c r="V93" s="3"/>
      <c r="W93" s="38">
        <v>68.566666666666663</v>
      </c>
      <c r="X93" s="2">
        <v>91</v>
      </c>
    </row>
    <row r="94" spans="1:24" hidden="1">
      <c r="A94" s="10" t="s">
        <v>399</v>
      </c>
      <c r="B94" s="5" t="s">
        <v>217</v>
      </c>
      <c r="C94" s="4" t="s">
        <v>86</v>
      </c>
      <c r="D94" s="6" t="s">
        <v>275</v>
      </c>
      <c r="E94" s="4" t="s">
        <v>283</v>
      </c>
      <c r="F94" s="4" t="s">
        <v>35</v>
      </c>
      <c r="G94" s="41" t="e">
        <f>表格1_18[[#This Row],[加權後總分]]-表格1_18[[#This Row],[獎懲分數]]</f>
        <v>#DIV/0!</v>
      </c>
      <c r="H9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4" s="39" t="e">
        <f t="shared" si="10"/>
        <v>#DIV/0!</v>
      </c>
      <c r="J94" s="36" t="e">
        <f t="shared" si="8"/>
        <v>#DIV/0!</v>
      </c>
      <c r="K94" s="8" t="e">
        <f t="shared" si="12"/>
        <v>#DIV/0!</v>
      </c>
      <c r="L94" s="8" t="e">
        <f t="shared" si="11"/>
        <v>#DIV/0!</v>
      </c>
      <c r="M94" s="8" t="e">
        <f>表格1_3[[#This Row],[部內平均]]</f>
        <v>#DIV/0!</v>
      </c>
      <c r="N94" s="8"/>
      <c r="O94" s="8" t="e">
        <f>表格1_3[[#This Row],[複評平均]]</f>
        <v>#DIV/0!</v>
      </c>
      <c r="P94" s="3"/>
      <c r="Q94" s="3"/>
      <c r="R94" s="3"/>
      <c r="S94" s="3"/>
      <c r="T94" s="3"/>
      <c r="U94" s="3"/>
      <c r="V94" s="3"/>
      <c r="W94" s="38">
        <v>68.400000000000006</v>
      </c>
      <c r="X94" s="2">
        <v>92</v>
      </c>
    </row>
    <row r="95" spans="1:24">
      <c r="A95" s="10" t="s">
        <v>399</v>
      </c>
      <c r="B95" s="5" t="s">
        <v>218</v>
      </c>
      <c r="C95" s="13" t="s">
        <v>87</v>
      </c>
      <c r="D95" s="6" t="s">
        <v>275</v>
      </c>
      <c r="E95" s="4" t="s">
        <v>283</v>
      </c>
      <c r="F95" s="4" t="s">
        <v>313</v>
      </c>
      <c r="G95" s="41" t="e">
        <f>表格1_18[[#This Row],[加權後總分]]-表格1_18[[#This Row],[獎懲分數]]</f>
        <v>#DIV/0!</v>
      </c>
      <c r="H9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5" s="39" t="e">
        <f t="shared" si="10"/>
        <v>#DIV/0!</v>
      </c>
      <c r="J95" s="36" t="e">
        <f t="shared" si="8"/>
        <v>#DIV/0!</v>
      </c>
      <c r="K95" s="8" t="e">
        <f t="shared" si="12"/>
        <v>#DIV/0!</v>
      </c>
      <c r="L95" s="8" t="e">
        <f t="shared" si="11"/>
        <v>#DIV/0!</v>
      </c>
      <c r="M95" s="8" t="e">
        <f>表格1_3[[#This Row],[部內平均]]</f>
        <v>#DIV/0!</v>
      </c>
      <c r="N95" s="8"/>
      <c r="O95" s="8" t="e">
        <f>表格1_3[[#This Row],[複評平均]]</f>
        <v>#DIV/0!</v>
      </c>
      <c r="P95" s="3"/>
      <c r="Q95" s="3"/>
      <c r="R95" s="3"/>
      <c r="S95" s="3"/>
      <c r="T95" s="3"/>
      <c r="U95" s="3"/>
      <c r="V95" s="3"/>
      <c r="W95" s="38">
        <v>68.199999999999989</v>
      </c>
      <c r="X95" s="2">
        <v>93</v>
      </c>
    </row>
    <row r="96" spans="1:24" ht="26" hidden="1">
      <c r="A96" s="10" t="s">
        <v>399</v>
      </c>
      <c r="B96" s="5" t="s">
        <v>247</v>
      </c>
      <c r="C96" s="4" t="s">
        <v>442</v>
      </c>
      <c r="D96" s="6" t="s">
        <v>275</v>
      </c>
      <c r="E96" s="4" t="s">
        <v>283</v>
      </c>
      <c r="F96" s="4" t="s">
        <v>93</v>
      </c>
      <c r="G96" s="41"/>
      <c r="H96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96" s="39"/>
      <c r="J96" s="36"/>
      <c r="K96" s="8"/>
      <c r="L96" s="8"/>
      <c r="M96" s="8" t="e">
        <f>表格1_3[[#This Row],[部內平均]]</f>
        <v>#DIV/0!</v>
      </c>
      <c r="N96" s="8"/>
      <c r="O96" s="8" t="e">
        <f>表格1_3[[#This Row],[複評平均]]</f>
        <v>#DIV/0!</v>
      </c>
      <c r="P96" s="3"/>
      <c r="Q96" s="3"/>
      <c r="R96" s="3"/>
      <c r="S96" s="3"/>
      <c r="T96" s="3"/>
      <c r="U96" s="3"/>
      <c r="V96" s="3"/>
      <c r="W96" s="38">
        <v>67.8</v>
      </c>
      <c r="X96" s="2">
        <v>94</v>
      </c>
    </row>
    <row r="97" spans="1:24" hidden="1">
      <c r="A97" s="10" t="s">
        <v>399</v>
      </c>
      <c r="B97" s="5" t="s">
        <v>220</v>
      </c>
      <c r="C97" s="14" t="s">
        <v>89</v>
      </c>
      <c r="D97" s="6" t="s">
        <v>275</v>
      </c>
      <c r="E97" s="4" t="s">
        <v>283</v>
      </c>
      <c r="F97" s="4" t="s">
        <v>332</v>
      </c>
      <c r="G97" s="41" t="e">
        <f>表格1_18[[#This Row],[加權後總分]]-表格1_18[[#This Row],[獎懲分數]]</f>
        <v>#DIV/0!</v>
      </c>
      <c r="H9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7" s="39" t="e">
        <f t="shared" si="10"/>
        <v>#DIV/0!</v>
      </c>
      <c r="J97" s="36" t="e">
        <f>IF(
AND(M97&lt;&gt;"",N97&lt;&gt;"",O97&lt;&gt;""),
M97*20% + N97*50% + O97*30%,
IF(
AND(M97&lt;&gt;"",N97="",O97=""),
M97,
IF(
AND(M97="",N97&lt;&gt;"",O97=""),
N97,
IF(
AND(M97="",N97="",O97&lt;&gt;""),
O97,
IF(
AND(M97&lt;&gt;"",N97&lt;&gt;"",O97=""),
M97/(20%+50%)*20% + N97/(20%+50%)*50%,
IF(
AND(M97&lt;&gt;"",N97="",O97&lt;&gt;""),
M97/(20%+30%)*20% + O97/(20%+30%)*30%,
IF(
AND(M97="",N97&lt;&gt;"",O97&lt;&gt;""),
N97/(50%+30%)*50% + O97/(50%+30%)*30%,
""
)
)
)
)
)
) + V97
)</f>
        <v>#DIV/0!</v>
      </c>
      <c r="K97" s="8" t="e">
        <f>IF(J97&gt;=90,"A",
 IF(J97&gt;=80,"B",
 IF(J97&gt;=70,"C",
 IF(J97&gt;=60,"D","E"))))</f>
        <v>#DIV/0!</v>
      </c>
      <c r="L97" s="8" t="e">
        <f t="shared" si="11"/>
        <v>#DIV/0!</v>
      </c>
      <c r="M97" s="8" t="e">
        <f>表格1_3[[#This Row],[部內平均]]</f>
        <v>#DIV/0!</v>
      </c>
      <c r="N97" s="8"/>
      <c r="O97" s="8" t="e">
        <f>表格1_3[[#This Row],[複評平均]]</f>
        <v>#DIV/0!</v>
      </c>
      <c r="P97" s="3"/>
      <c r="Q97" s="3"/>
      <c r="R97" s="3"/>
      <c r="S97" s="3"/>
      <c r="T97" s="3"/>
      <c r="U97" s="3"/>
      <c r="V97" s="3"/>
      <c r="W97" s="38">
        <v>67.8</v>
      </c>
      <c r="X97" s="2">
        <v>95</v>
      </c>
    </row>
    <row r="98" spans="1:24" hidden="1">
      <c r="A98" s="10" t="s">
        <v>399</v>
      </c>
      <c r="B98" s="5" t="s">
        <v>221</v>
      </c>
      <c r="C98" s="4" t="s">
        <v>90</v>
      </c>
      <c r="D98" s="6" t="s">
        <v>275</v>
      </c>
      <c r="E98" s="4" t="s">
        <v>283</v>
      </c>
      <c r="F98" s="4" t="s">
        <v>35</v>
      </c>
      <c r="G98" s="41" t="e">
        <f>表格1_18[[#This Row],[加權後總分]]-表格1_18[[#This Row],[獎懲分數]]</f>
        <v>#DIV/0!</v>
      </c>
      <c r="H9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8" s="39" t="e">
        <f t="shared" si="10"/>
        <v>#DIV/0!</v>
      </c>
      <c r="J98" s="36" t="e">
        <f>IF(
AND(M98&lt;&gt;"",N98&lt;&gt;"",O98&lt;&gt;""),
M98*20% + N98*50% + O98*30%,
IF(
AND(M98&lt;&gt;"",N98="",O98=""),
M98,
IF(
AND(M98="",N98&lt;&gt;"",O98=""),
N98,
IF(
AND(M98="",N98="",O98&lt;&gt;""),
O98,
IF(
AND(M98&lt;&gt;"",N98&lt;&gt;"",O98=""),
M98/(20%+50%)*20% + N98/(20%+50%)*50%,
IF(
AND(M98&lt;&gt;"",N98="",O98&lt;&gt;""),
M98/(20%+30%)*20% + O98/(20%+30%)*30%,
IF(
AND(M98="",N98&lt;&gt;"",O98&lt;&gt;""),
N98/(50%+30%)*50% + O98/(50%+30%)*30%,
""
)
)
)
)
)
) + V98
)</f>
        <v>#DIV/0!</v>
      </c>
      <c r="K98" s="8" t="e">
        <f>IF(J98&gt;=90,"A",
 IF(J98&gt;=80,"B",
 IF(J98&gt;=70,"C",
 IF(J98&gt;=60,"D","E"))))</f>
        <v>#DIV/0!</v>
      </c>
      <c r="L98" s="8" t="e">
        <f t="shared" si="11"/>
        <v>#DIV/0!</v>
      </c>
      <c r="M98" s="8" t="e">
        <f>表格1_3[[#This Row],[部內平均]]</f>
        <v>#DIV/0!</v>
      </c>
      <c r="N98" s="8"/>
      <c r="O98" s="8" t="e">
        <f>表格1_3[[#This Row],[複評平均]]</f>
        <v>#DIV/0!</v>
      </c>
      <c r="P98" s="3"/>
      <c r="Q98" s="3"/>
      <c r="R98" s="3"/>
      <c r="S98" s="3"/>
      <c r="T98" s="3"/>
      <c r="U98" s="3"/>
      <c r="V98" s="3"/>
      <c r="W98" s="38">
        <v>67.7</v>
      </c>
      <c r="X98" s="2">
        <v>96</v>
      </c>
    </row>
    <row r="99" spans="1:24" hidden="1">
      <c r="A99" s="10" t="s">
        <v>399</v>
      </c>
      <c r="B99" s="5" t="s">
        <v>320</v>
      </c>
      <c r="C99" s="14" t="s">
        <v>321</v>
      </c>
      <c r="D99" s="6" t="s">
        <v>275</v>
      </c>
      <c r="E99" s="4" t="s">
        <v>283</v>
      </c>
      <c r="F99" s="4" t="s">
        <v>93</v>
      </c>
      <c r="G99" s="41" t="e">
        <f>表格1_18[[#This Row],[加權後總分]]-表格1_18[[#This Row],[獎懲分數]]</f>
        <v>#DIV/0!</v>
      </c>
      <c r="H9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99" s="39" t="e">
        <f t="shared" si="10"/>
        <v>#DIV/0!</v>
      </c>
      <c r="J99" s="36" t="e">
        <f>IF(
AND(M99&lt;&gt;"",N99&lt;&gt;"",O99&lt;&gt;""),
M99*20% + N99*50% + O99*30%,
IF(
AND(M99&lt;&gt;"",N99="",O99=""),
M99,
IF(
AND(M99="",N99&lt;&gt;"",O99=""),
N99,
IF(
AND(M99="",N99="",O99&lt;&gt;""),
O99,
IF(
AND(M99&lt;&gt;"",N99&lt;&gt;"",O99=""),
M99/(20%+50%)*20% + N99/(20%+50%)*50%,
IF(
AND(M99&lt;&gt;"",N99="",O99&lt;&gt;""),
M99/(20%+30%)*20% + O99/(20%+30%)*30%,
IF(
AND(M99="",N99&lt;&gt;"",O99&lt;&gt;""),
N99/(50%+30%)*50% + O99/(50%+30%)*30%,
""
)
)
)
)
)
) + V99
)</f>
        <v>#DIV/0!</v>
      </c>
      <c r="K99" s="8" t="e">
        <f>IF(J99&gt;=90,"A",
 IF(J99&gt;=80,"B",
 IF(J99&gt;=70,"C",
 IF(J99&gt;=60,"D","E"))))</f>
        <v>#DIV/0!</v>
      </c>
      <c r="L99" s="8" t="e">
        <f t="shared" si="11"/>
        <v>#DIV/0!</v>
      </c>
      <c r="M99" s="8" t="e">
        <f>表格1_3[[#This Row],[部內平均]]</f>
        <v>#DIV/0!</v>
      </c>
      <c r="N99" s="8"/>
      <c r="O99" s="8" t="e">
        <f>表格1_3[[#This Row],[複評平均]]</f>
        <v>#DIV/0!</v>
      </c>
      <c r="P99" s="3"/>
      <c r="Q99" s="3"/>
      <c r="R99" s="3"/>
      <c r="S99" s="3"/>
      <c r="T99" s="3"/>
      <c r="U99" s="3"/>
      <c r="V99" s="3"/>
      <c r="W99" s="38">
        <v>67</v>
      </c>
      <c r="X99" s="2">
        <v>97</v>
      </c>
    </row>
    <row r="100" spans="1:24" hidden="1">
      <c r="A100" s="10" t="s">
        <v>399</v>
      </c>
      <c r="B100" s="5" t="s">
        <v>322</v>
      </c>
      <c r="C100" s="14" t="s">
        <v>323</v>
      </c>
      <c r="D100" s="6" t="s">
        <v>275</v>
      </c>
      <c r="E100" s="4" t="s">
        <v>283</v>
      </c>
      <c r="F100" s="4" t="s">
        <v>77</v>
      </c>
      <c r="G100" s="41" t="e">
        <f>表格1_18[[#This Row],[加權後總分]]-表格1_18[[#This Row],[獎懲分數]]</f>
        <v>#DIV/0!</v>
      </c>
      <c r="H10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0" s="39" t="e">
        <f t="shared" si="10"/>
        <v>#DIV/0!</v>
      </c>
      <c r="J100" s="36" t="e">
        <f>IF(
AND(M100&lt;&gt;"",N100&lt;&gt;"",O100&lt;&gt;""),
M100*20% + N100*50% + O100*30%,
IF(
AND(M100&lt;&gt;"",N100="",O100=""),
M100,
IF(
AND(M100="",N100&lt;&gt;"",O100=""),
N100,
IF(
AND(M100="",N100="",O100&lt;&gt;""),
O100,
IF(
AND(M100&lt;&gt;"",N100&lt;&gt;"",O100=""),
M100/(20%+50%)*20% + N100/(20%+50%)*50%,
IF(
AND(M100&lt;&gt;"",N100="",O100&lt;&gt;""),
M100/(20%+30%)*20% + O100/(20%+30%)*30%,
IF(
AND(M100="",N100&lt;&gt;"",O100&lt;&gt;""),
N100/(50%+30%)*50% + O100/(50%+30%)*30%,
""
)
)
)
)
)
) + V100
)</f>
        <v>#DIV/0!</v>
      </c>
      <c r="K100" s="8" t="e">
        <f>IF(J100&gt;=90,"A",
 IF(J100&gt;=80,"B",
 IF(J100&gt;=70,"C",
 IF(J100&gt;=60,"D","E"))))</f>
        <v>#DIV/0!</v>
      </c>
      <c r="L100" s="8" t="e">
        <f t="shared" si="11"/>
        <v>#DIV/0!</v>
      </c>
      <c r="M100" s="8" t="e">
        <f>表格1_3[[#This Row],[部內平均]]</f>
        <v>#DIV/0!</v>
      </c>
      <c r="N100" s="8"/>
      <c r="O100" s="8" t="e">
        <f>表格1_3[[#This Row],[複評平均]]</f>
        <v>#DIV/0!</v>
      </c>
      <c r="P100" s="3"/>
      <c r="Q100" s="3"/>
      <c r="R100" s="3"/>
      <c r="S100" s="3"/>
      <c r="T100" s="3"/>
      <c r="U100" s="3"/>
      <c r="V100" s="3"/>
      <c r="W100" s="38">
        <v>67</v>
      </c>
      <c r="X100" s="2">
        <v>98</v>
      </c>
    </row>
    <row r="101" spans="1:24" hidden="1">
      <c r="A101" s="10" t="s">
        <v>380</v>
      </c>
      <c r="B101" s="5" t="s">
        <v>222</v>
      </c>
      <c r="C101" s="4" t="s">
        <v>91</v>
      </c>
      <c r="D101" s="6" t="s">
        <v>276</v>
      </c>
      <c r="E101" s="4" t="s">
        <v>296</v>
      </c>
      <c r="F101" s="4" t="s">
        <v>79</v>
      </c>
      <c r="G101" s="41" t="e">
        <f>表格1_18[[#This Row],[加權後總分]]-表格1_18[[#This Row],[獎懲分數]]</f>
        <v>#DIV/0!</v>
      </c>
      <c r="H10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1" s="39" t="e">
        <f t="shared" si="10"/>
        <v>#DIV/0!</v>
      </c>
      <c r="J101" s="36" t="e">
        <f>IF(
AND(M101&lt;&gt;"",N101&lt;&gt;"",O101&lt;&gt;""),
M101*20% + N101*50% + O101*30%,
IF(
AND(M101&lt;&gt;"",N101="",O101=""),
M101,
IF(
AND(M101="",N101&lt;&gt;"",O101=""),
N101,
IF(
AND(M101="",N101="",O101&lt;&gt;""),
O101,
IF(
AND(M101&lt;&gt;"",N101&lt;&gt;"",O101=""),
M101/(20%+50%)*20% + N101/(20%+50%)*50%,
IF(
AND(M101&lt;&gt;"",N101="",O101&lt;&gt;""),
M101/(20%+30%)*20% + O101/(20%+30%)*30%,
IF(
AND(M101="",N101&lt;&gt;"",O101&lt;&gt;""),
N101/(50%+30%)*50% + O101/(50%+30%)*30%,
""
)
)
)
)
)
) + V101
)</f>
        <v>#DIV/0!</v>
      </c>
      <c r="K101" s="8" t="e">
        <f>IF(J101&gt;=90,"A",
 IF(J101&gt;=80,"B",
 IF(J101&gt;=70,"C",
 IF(J101&gt;=60,"D","E"))))</f>
        <v>#DIV/0!</v>
      </c>
      <c r="L101" s="8" t="e">
        <f t="shared" si="11"/>
        <v>#DIV/0!</v>
      </c>
      <c r="M101" s="8" t="e">
        <f>表格1_3[[#This Row],[部內平均]]</f>
        <v>#DIV/0!</v>
      </c>
      <c r="N101" s="8" t="e">
        <f>表格1_3[[#This Row],[共評平均]]</f>
        <v>#DIV/0!</v>
      </c>
      <c r="O101" s="8" t="e">
        <f>表格1_3[[#This Row],[複評平均]]</f>
        <v>#DIV/0!</v>
      </c>
      <c r="P101" s="3"/>
      <c r="Q101" s="3"/>
      <c r="R101" s="3"/>
      <c r="S101" s="3"/>
      <c r="T101" s="3"/>
      <c r="U101" s="3"/>
      <c r="V101" s="3"/>
      <c r="W101" s="38">
        <v>66.599999999999994</v>
      </c>
      <c r="X101" s="2">
        <v>99</v>
      </c>
    </row>
    <row r="102" spans="1:24" hidden="1">
      <c r="A102" s="10" t="s">
        <v>393</v>
      </c>
      <c r="B102" s="5" t="s">
        <v>223</v>
      </c>
      <c r="C102" s="4" t="s">
        <v>92</v>
      </c>
      <c r="D102" s="6" t="s">
        <v>276</v>
      </c>
      <c r="E102" s="4" t="s">
        <v>296</v>
      </c>
      <c r="F102" s="4" t="s">
        <v>79</v>
      </c>
      <c r="G102" s="41"/>
      <c r="H102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02" s="39" t="e">
        <f t="shared" si="10"/>
        <v>#DIV/0!</v>
      </c>
      <c r="J102" s="36"/>
      <c r="K102" s="8"/>
      <c r="L102" s="8"/>
      <c r="M102" s="8" t="e">
        <f>表格1_3[[#This Row],[部內平均]]</f>
        <v>#DIV/0!</v>
      </c>
      <c r="N102" s="8" t="e">
        <f>表格1_3[[#This Row],[共評平均]]</f>
        <v>#DIV/0!</v>
      </c>
      <c r="O102" s="8" t="e">
        <f>表格1_3[[#This Row],[複評平均]]</f>
        <v>#DIV/0!</v>
      </c>
      <c r="P102" s="3"/>
      <c r="Q102" s="3"/>
      <c r="R102" s="3"/>
      <c r="S102" s="3"/>
      <c r="T102" s="3"/>
      <c r="U102" s="3"/>
      <c r="V102" s="3"/>
      <c r="W102" s="38">
        <v>66.099999999999994</v>
      </c>
      <c r="X102" s="2">
        <v>100</v>
      </c>
    </row>
    <row r="103" spans="1:24" hidden="1">
      <c r="A103" s="10" t="s">
        <v>395</v>
      </c>
      <c r="B103" s="5" t="s">
        <v>225</v>
      </c>
      <c r="C103" s="4" t="s">
        <v>94</v>
      </c>
      <c r="D103" s="6" t="s">
        <v>276</v>
      </c>
      <c r="E103" s="4" t="s">
        <v>293</v>
      </c>
      <c r="F103" s="4" t="s">
        <v>79</v>
      </c>
      <c r="G103" s="41" t="e">
        <f>表格1_18[[#This Row],[加權後總分]]-表格1_18[[#This Row],[獎懲分數]]</f>
        <v>#DIV/0!</v>
      </c>
      <c r="H10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3" s="39" t="e">
        <f t="shared" si="10"/>
        <v>#DIV/0!</v>
      </c>
      <c r="J103" s="36" t="e">
        <f>IF(
AND(M103&lt;&gt;"",N103&lt;&gt;"",O103&lt;&gt;""),
M103*20% + N103*50% + O103*30%,
IF(
AND(M103&lt;&gt;"",N103="",O103=""),
M103,
IF(
AND(M103="",N103&lt;&gt;"",O103=""),
N103,
IF(
AND(M103="",N103="",O103&lt;&gt;""),
O103,
IF(
AND(M103&lt;&gt;"",N103&lt;&gt;"",O103=""),
M103/(20%+50%)*20% + N103/(20%+50%)*50%,
IF(
AND(M103&lt;&gt;"",N103="",O103&lt;&gt;""),
M103/(20%+30%)*20% + O103/(20%+30%)*30%,
IF(
AND(M103="",N103&lt;&gt;"",O103&lt;&gt;""),
N103/(50%+30%)*50% + O103/(50%+30%)*30%,
""
)
)
)
)
)
) + V103
)</f>
        <v>#DIV/0!</v>
      </c>
      <c r="K103" s="8" t="e">
        <f>IF(J103&gt;=90,"A",
 IF(J103&gt;=77,"B",
 IF(J103&gt;=70,"C",
 IF(J103&gt;=60,"D","E"))))</f>
        <v>#DIV/0!</v>
      </c>
      <c r="L103" s="8" t="e">
        <f t="shared" si="11"/>
        <v>#DIV/0!</v>
      </c>
      <c r="M103" s="8" t="e">
        <f>表格1_3[[#This Row],[部內平均]]</f>
        <v>#DIV/0!</v>
      </c>
      <c r="N103" s="8" t="e">
        <f>表格1_3[[#This Row],[共評平均]]</f>
        <v>#DIV/0!</v>
      </c>
      <c r="O103" s="8" t="e">
        <f>表格1_3[[#This Row],[複評平均]]</f>
        <v>#DIV/0!</v>
      </c>
      <c r="P103" s="3"/>
      <c r="Q103" s="3"/>
      <c r="R103" s="3"/>
      <c r="S103" s="3"/>
      <c r="T103" s="3"/>
      <c r="U103" s="3"/>
      <c r="V103" s="3"/>
      <c r="W103" s="38">
        <v>66</v>
      </c>
      <c r="X103" s="2">
        <v>101</v>
      </c>
    </row>
    <row r="104" spans="1:24" hidden="1">
      <c r="A104" s="10" t="s">
        <v>381</v>
      </c>
      <c r="B104" s="5" t="s">
        <v>224</v>
      </c>
      <c r="C104" s="4" t="s">
        <v>93</v>
      </c>
      <c r="D104" s="6" t="s">
        <v>276</v>
      </c>
      <c r="E104" s="4" t="s">
        <v>288</v>
      </c>
      <c r="F104" s="4" t="s">
        <v>119</v>
      </c>
      <c r="G104" s="41" t="e">
        <f>表格1_18[[#This Row],[加權後總分]]-表格1_18[[#This Row],[獎懲分數]]</f>
        <v>#DIV/0!</v>
      </c>
      <c r="H10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4" s="39" t="e">
        <f t="shared" si="10"/>
        <v>#DIV/0!</v>
      </c>
      <c r="J104" s="36" t="e">
        <f>IF(
AND(M104&lt;&gt;"",N104&lt;&gt;"",O104&lt;&gt;""),
M104*20% + N104*50% + O104*30%,
IF(
AND(M104&lt;&gt;"",N104="",O104=""),
M104,
IF(
AND(M104="",N104&lt;&gt;"",O104=""),
N104,
IF(
AND(M104="",N104="",O104&lt;&gt;""),
O104,
IF(
AND(M104&lt;&gt;"",N104&lt;&gt;"",O104=""),
M104/(20%+50%)*20% + N104/(20%+50%)*50%,
IF(
AND(M104&lt;&gt;"",N104="",O104&lt;&gt;""),
M104/(20%+30%)*20% + O104/(20%+30%)*30%,
IF(
AND(M104="",N104&lt;&gt;"",O104&lt;&gt;""),
N104/(50%+30%)*50% + O104/(50%+30%)*30%,
""
)
)
)
)
)
) + V104
)</f>
        <v>#DIV/0!</v>
      </c>
      <c r="K104" s="8" t="e">
        <f t="shared" ref="K104:K125" si="13">IF(J104&gt;=90,"A",
 IF(J104&gt;=77,"B",
 IF(J104&gt;=70,"C",
 IF(J104&gt;=60,"D","E"))))</f>
        <v>#DIV/0!</v>
      </c>
      <c r="L104" s="8" t="e">
        <f t="shared" si="11"/>
        <v>#DIV/0!</v>
      </c>
      <c r="M104" s="8" t="e">
        <f>表格1_3[[#This Row],[部內平均]]</f>
        <v>#DIV/0!</v>
      </c>
      <c r="N104" s="8" t="e">
        <f>表格1_3[[#This Row],[共評平均]]</f>
        <v>#DIV/0!</v>
      </c>
      <c r="O104" s="8">
        <v>76</v>
      </c>
      <c r="P104" s="3"/>
      <c r="Q104" s="3"/>
      <c r="R104" s="3"/>
      <c r="S104" s="3"/>
      <c r="T104" s="3"/>
      <c r="U104" s="3"/>
      <c r="V104" s="3"/>
      <c r="W104" s="38">
        <v>66</v>
      </c>
      <c r="X104" s="2">
        <v>102</v>
      </c>
    </row>
    <row r="105" spans="1:24" hidden="1">
      <c r="A105" s="10" t="s">
        <v>394</v>
      </c>
      <c r="B105" s="5" t="s">
        <v>226</v>
      </c>
      <c r="C105" s="4" t="s">
        <v>95</v>
      </c>
      <c r="D105" s="6" t="s">
        <v>276</v>
      </c>
      <c r="E105" s="4" t="s">
        <v>283</v>
      </c>
      <c r="F105" s="4" t="s">
        <v>79</v>
      </c>
      <c r="G105" s="41" t="e">
        <f>表格1_18[[#This Row],[加權後總分]]-表格1_18[[#This Row],[獎懲分數]]</f>
        <v>#DIV/0!</v>
      </c>
      <c r="H10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5" s="39" t="e">
        <f t="shared" si="10"/>
        <v>#DIV/0!</v>
      </c>
      <c r="J105" s="36" t="e">
        <f t="shared" ref="J105:J135" si="14">IF(
AND(M105&lt;&gt;"",N105&lt;&gt;"",O105&lt;&gt;""),
M105*20% + N105*50% + O105*30%,
IF(
AND(M105&lt;&gt;"",N105="",O105=""),
M105,
IF(
AND(M105="",N105&lt;&gt;"",O105=""),
N105,
IF(
AND(M105="",N105="",O105&lt;&gt;""),
O105,
IF(
AND(M105&lt;&gt;"",N105&lt;&gt;"",O105=""),
M105/(20%+50%)*20% + N105/(20%+50%)*50%,
IF(
AND(M105&lt;&gt;"",N105="",O105&lt;&gt;""),
M105/(20%+30%)*20% + O105/(20%+30%)*30%,
IF(
AND(M105="",N105&lt;&gt;"",O105&lt;&gt;""),
N105/(50%+30%)*50% + O105/(50%+30%)*30%,
""
)
)
)
)
)
) + V105
)</f>
        <v>#DIV/0!</v>
      </c>
      <c r="K105" s="8" t="e">
        <f t="shared" si="13"/>
        <v>#DIV/0!</v>
      </c>
      <c r="L105" s="8" t="e">
        <f t="shared" si="11"/>
        <v>#DIV/0!</v>
      </c>
      <c r="M105" s="8" t="e">
        <f>表格1_3[[#This Row],[部內平均]]</f>
        <v>#DIV/0!</v>
      </c>
      <c r="N105" s="8" t="e">
        <f>表格1_3[[#This Row],[共評平均]]</f>
        <v>#DIV/0!</v>
      </c>
      <c r="O105" s="8" t="e">
        <f>表格1_3[[#This Row],[複評平均]]</f>
        <v>#DIV/0!</v>
      </c>
      <c r="P105" s="3"/>
      <c r="Q105" s="3"/>
      <c r="R105" s="3"/>
      <c r="S105" s="3"/>
      <c r="T105" s="3"/>
      <c r="U105" s="3"/>
      <c r="V105" s="3"/>
      <c r="W105" s="38">
        <v>65.599999999999994</v>
      </c>
      <c r="X105" s="2">
        <v>103</v>
      </c>
    </row>
    <row r="106" spans="1:24" hidden="1">
      <c r="A106" s="10" t="s">
        <v>407</v>
      </c>
      <c r="B106" s="5" t="s">
        <v>227</v>
      </c>
      <c r="C106" s="4" t="s">
        <v>96</v>
      </c>
      <c r="D106" s="6" t="s">
        <v>277</v>
      </c>
      <c r="E106" s="4" t="s">
        <v>283</v>
      </c>
      <c r="F106" s="4" t="s">
        <v>74</v>
      </c>
      <c r="G106" s="41" t="e">
        <f>表格1_18[[#This Row],[加權後總分]]-表格1_18[[#This Row],[獎懲分數]]</f>
        <v>#DIV/0!</v>
      </c>
      <c r="H10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6" s="39" t="e">
        <f t="shared" si="10"/>
        <v>#DIV/0!</v>
      </c>
      <c r="J106" s="36" t="e">
        <f t="shared" si="14"/>
        <v>#DIV/0!</v>
      </c>
      <c r="K106" s="8" t="e">
        <f t="shared" si="13"/>
        <v>#DIV/0!</v>
      </c>
      <c r="L106" s="8" t="e">
        <f t="shared" si="11"/>
        <v>#DIV/0!</v>
      </c>
      <c r="M106" s="8" t="e">
        <f>表格1_3[[#This Row],[部內平均]]</f>
        <v>#DIV/0!</v>
      </c>
      <c r="N106" s="8"/>
      <c r="O106" s="8" t="e">
        <f>表格1_3[[#This Row],[複評平均]]</f>
        <v>#DIV/0!</v>
      </c>
      <c r="P106" s="3"/>
      <c r="Q106" s="3"/>
      <c r="R106" s="3"/>
      <c r="S106" s="3"/>
      <c r="T106" s="3"/>
      <c r="U106" s="3"/>
      <c r="V106" s="3"/>
      <c r="W106" s="38">
        <v>65.599999999999994</v>
      </c>
      <c r="X106" s="2">
        <v>104</v>
      </c>
    </row>
    <row r="107" spans="1:24">
      <c r="A107" s="10" t="s">
        <v>407</v>
      </c>
      <c r="B107" s="5" t="s">
        <v>236</v>
      </c>
      <c r="C107" s="13" t="s">
        <v>105</v>
      </c>
      <c r="D107" s="6" t="s">
        <v>277</v>
      </c>
      <c r="E107" s="4" t="s">
        <v>283</v>
      </c>
      <c r="F107" s="4" t="s">
        <v>74</v>
      </c>
      <c r="G107" s="41" t="e">
        <f>表格1_18[[#This Row],[加權後總分]]-表格1_18[[#This Row],[獎懲分數]]</f>
        <v>#DIV/0!</v>
      </c>
      <c r="H10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7" s="39" t="e">
        <f t="shared" si="10"/>
        <v>#DIV/0!</v>
      </c>
      <c r="J107" s="36" t="e">
        <f t="shared" si="14"/>
        <v>#DIV/0!</v>
      </c>
      <c r="K107" s="8" t="e">
        <f t="shared" si="13"/>
        <v>#DIV/0!</v>
      </c>
      <c r="L107" s="8" t="e">
        <f t="shared" si="11"/>
        <v>#DIV/0!</v>
      </c>
      <c r="M107" s="8" t="e">
        <f>表格1_3[[#This Row],[部內平均]]</f>
        <v>#DIV/0!</v>
      </c>
      <c r="N107" s="8"/>
      <c r="O107" s="8" t="e">
        <f>表格1_3[[#This Row],[複評平均]]</f>
        <v>#DIV/0!</v>
      </c>
      <c r="P107" s="3"/>
      <c r="Q107" s="3"/>
      <c r="R107" s="3"/>
      <c r="S107" s="3"/>
      <c r="T107" s="3"/>
      <c r="U107" s="3"/>
      <c r="V107" s="3"/>
      <c r="W107" s="38">
        <v>64.849999999999994</v>
      </c>
      <c r="X107" s="2">
        <v>105</v>
      </c>
    </row>
    <row r="108" spans="1:24">
      <c r="A108" s="10" t="s">
        <v>407</v>
      </c>
      <c r="B108" s="5" t="s">
        <v>237</v>
      </c>
      <c r="C108" s="13" t="s">
        <v>106</v>
      </c>
      <c r="D108" s="6" t="s">
        <v>277</v>
      </c>
      <c r="E108" s="4" t="s">
        <v>283</v>
      </c>
      <c r="F108" s="4" t="s">
        <v>74</v>
      </c>
      <c r="G108" s="41" t="e">
        <f>表格1_18[[#This Row],[加權後總分]]-表格1_18[[#This Row],[獎懲分數]]</f>
        <v>#DIV/0!</v>
      </c>
      <c r="H10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8" s="39" t="e">
        <f t="shared" si="10"/>
        <v>#DIV/0!</v>
      </c>
      <c r="J108" s="36" t="e">
        <f t="shared" si="14"/>
        <v>#DIV/0!</v>
      </c>
      <c r="K108" s="8" t="e">
        <f t="shared" si="13"/>
        <v>#DIV/0!</v>
      </c>
      <c r="L108" s="8" t="e">
        <f t="shared" si="11"/>
        <v>#DIV/0!</v>
      </c>
      <c r="M108" s="8" t="e">
        <f>表格1_3[[#This Row],[部內平均]]</f>
        <v>#DIV/0!</v>
      </c>
      <c r="N108" s="8"/>
      <c r="O108" s="8" t="e">
        <f>表格1_3[[#This Row],[複評平均]]</f>
        <v>#DIV/0!</v>
      </c>
      <c r="P108" s="3"/>
      <c r="Q108" s="3"/>
      <c r="R108" s="3"/>
      <c r="S108" s="3"/>
      <c r="T108" s="3"/>
      <c r="U108" s="3"/>
      <c r="V108" s="3"/>
      <c r="W108" s="38">
        <v>64.599999999999994</v>
      </c>
      <c r="X108" s="2">
        <v>106</v>
      </c>
    </row>
    <row r="109" spans="1:24" hidden="1">
      <c r="A109" s="10" t="s">
        <v>407</v>
      </c>
      <c r="B109" s="5" t="s">
        <v>230</v>
      </c>
      <c r="C109" s="4" t="s">
        <v>99</v>
      </c>
      <c r="D109" s="6" t="s">
        <v>277</v>
      </c>
      <c r="E109" s="4" t="s">
        <v>285</v>
      </c>
      <c r="F109" s="4" t="s">
        <v>93</v>
      </c>
      <c r="G109" s="41" t="e">
        <f>表格1_18[[#This Row],[加權後總分]]-表格1_18[[#This Row],[獎懲分數]]</f>
        <v>#DIV/0!</v>
      </c>
      <c r="H10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09" s="39" t="e">
        <f>_xlfn.RANK.EQ(G109,$G$2:$G$146,0)</f>
        <v>#DIV/0!</v>
      </c>
      <c r="J109" s="36" t="e">
        <f t="shared" si="14"/>
        <v>#DIV/0!</v>
      </c>
      <c r="K109" s="8" t="e">
        <f t="shared" si="13"/>
        <v>#DIV/0!</v>
      </c>
      <c r="L109" s="8" t="e">
        <f t="shared" si="11"/>
        <v>#DIV/0!</v>
      </c>
      <c r="M109" s="8" t="e">
        <f>表格1_3[[#This Row],[部內平均]]</f>
        <v>#DIV/0!</v>
      </c>
      <c r="N109" s="8"/>
      <c r="O109" s="8" t="e">
        <f>表格1_3[[#This Row],[複評平均]]</f>
        <v>#DIV/0!</v>
      </c>
      <c r="P109" s="3"/>
      <c r="Q109" s="3"/>
      <c r="R109" s="3"/>
      <c r="S109" s="3"/>
      <c r="T109" s="3"/>
      <c r="U109" s="3"/>
      <c r="V109" s="3"/>
      <c r="W109" s="38">
        <v>63.716666666666654</v>
      </c>
      <c r="X109" s="2">
        <v>107</v>
      </c>
    </row>
    <row r="110" spans="1:24">
      <c r="A110" s="10" t="s">
        <v>407</v>
      </c>
      <c r="B110" s="5" t="s">
        <v>228</v>
      </c>
      <c r="C110" s="13" t="s">
        <v>97</v>
      </c>
      <c r="D110" s="6" t="s">
        <v>277</v>
      </c>
      <c r="E110" s="4" t="s">
        <v>283</v>
      </c>
      <c r="F110" s="4" t="s">
        <v>74</v>
      </c>
      <c r="G110" s="41" t="e">
        <f>表格1_18[[#This Row],[加權後總分]]-表格1_18[[#This Row],[獎懲分數]]</f>
        <v>#DIV/0!</v>
      </c>
      <c r="H11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0" s="39" t="e">
        <f t="shared" si="10"/>
        <v>#DIV/0!</v>
      </c>
      <c r="J110" s="36" t="e">
        <f t="shared" si="14"/>
        <v>#DIV/0!</v>
      </c>
      <c r="K110" s="8" t="e">
        <f t="shared" si="13"/>
        <v>#DIV/0!</v>
      </c>
      <c r="L110" s="8" t="e">
        <f t="shared" si="11"/>
        <v>#DIV/0!</v>
      </c>
      <c r="M110" s="8" t="e">
        <f>表格1_3[[#This Row],[部內平均]]</f>
        <v>#DIV/0!</v>
      </c>
      <c r="N110" s="8"/>
      <c r="O110" s="8" t="e">
        <f>表格1_3[[#This Row],[複評平均]]</f>
        <v>#DIV/0!</v>
      </c>
      <c r="P110" s="3"/>
      <c r="Q110" s="3"/>
      <c r="R110" s="3"/>
      <c r="S110" s="3"/>
      <c r="T110" s="3"/>
      <c r="U110" s="3"/>
      <c r="V110" s="3"/>
      <c r="W110" s="38">
        <v>63.677777777777777</v>
      </c>
      <c r="X110" s="2">
        <v>108</v>
      </c>
    </row>
    <row r="111" spans="1:24" hidden="1">
      <c r="A111" s="10" t="s">
        <v>407</v>
      </c>
      <c r="B111" s="5" t="s">
        <v>229</v>
      </c>
      <c r="C111" s="4" t="s">
        <v>98</v>
      </c>
      <c r="D111" s="6" t="s">
        <v>277</v>
      </c>
      <c r="E111" s="4" t="s">
        <v>283</v>
      </c>
      <c r="F111" s="4" t="s">
        <v>74</v>
      </c>
      <c r="G111" s="41" t="e">
        <f>表格1_18[[#This Row],[加權後總分]]-表格1_18[[#This Row],[獎懲分數]]</f>
        <v>#DIV/0!</v>
      </c>
      <c r="H11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1" s="39" t="e">
        <f t="shared" si="10"/>
        <v>#DIV/0!</v>
      </c>
      <c r="J111" s="36" t="e">
        <f t="shared" si="14"/>
        <v>#DIV/0!</v>
      </c>
      <c r="K111" s="8" t="e">
        <f t="shared" si="13"/>
        <v>#DIV/0!</v>
      </c>
      <c r="L111" s="8" t="e">
        <f t="shared" si="11"/>
        <v>#DIV/0!</v>
      </c>
      <c r="M111" s="8" t="e">
        <f>表格1_3[[#This Row],[部內平均]]</f>
        <v>#DIV/0!</v>
      </c>
      <c r="N111" s="8"/>
      <c r="O111" s="8" t="e">
        <f>表格1_3[[#This Row],[複評平均]]</f>
        <v>#DIV/0!</v>
      </c>
      <c r="P111" s="3"/>
      <c r="Q111" s="3"/>
      <c r="R111" s="3"/>
      <c r="S111" s="3"/>
      <c r="T111" s="3"/>
      <c r="U111" s="3"/>
      <c r="V111" s="3"/>
      <c r="W111" s="38">
        <v>63.599999999999994</v>
      </c>
      <c r="X111" s="2">
        <v>109</v>
      </c>
    </row>
    <row r="112" spans="1:24" hidden="1">
      <c r="A112" s="10" t="s">
        <v>407</v>
      </c>
      <c r="B112" s="5" t="s">
        <v>235</v>
      </c>
      <c r="C112" s="4" t="s">
        <v>104</v>
      </c>
      <c r="D112" s="6" t="s">
        <v>277</v>
      </c>
      <c r="E112" s="4" t="s">
        <v>283</v>
      </c>
      <c r="F112" s="4" t="s">
        <v>74</v>
      </c>
      <c r="G112" s="41" t="e">
        <f>表格1_18[[#This Row],[加權後總分]]-表格1_18[[#This Row],[獎懲分數]]</f>
        <v>#DIV/0!</v>
      </c>
      <c r="H11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2" s="39" t="e">
        <f t="shared" si="10"/>
        <v>#DIV/0!</v>
      </c>
      <c r="J112" s="36" t="e">
        <f t="shared" si="14"/>
        <v>#DIV/0!</v>
      </c>
      <c r="K112" s="8" t="e">
        <f t="shared" si="13"/>
        <v>#DIV/0!</v>
      </c>
      <c r="L112" s="8" t="e">
        <f t="shared" si="11"/>
        <v>#DIV/0!</v>
      </c>
      <c r="M112" s="8" t="e">
        <f>表格1_3[[#This Row],[部內平均]]</f>
        <v>#DIV/0!</v>
      </c>
      <c r="N112" s="8"/>
      <c r="O112" s="8" t="e">
        <f>表格1_3[[#This Row],[複評平均]]</f>
        <v>#DIV/0!</v>
      </c>
      <c r="P112" s="3"/>
      <c r="Q112" s="3"/>
      <c r="R112" s="3"/>
      <c r="S112" s="3"/>
      <c r="T112" s="3"/>
      <c r="U112" s="3"/>
      <c r="V112" s="3"/>
      <c r="W112" s="38">
        <v>63.4</v>
      </c>
      <c r="X112" s="2">
        <v>110</v>
      </c>
    </row>
    <row r="113" spans="1:24" hidden="1">
      <c r="A113" s="10" t="s">
        <v>407</v>
      </c>
      <c r="B113" s="5" t="s">
        <v>240</v>
      </c>
      <c r="C113" s="4" t="s">
        <v>109</v>
      </c>
      <c r="D113" s="6" t="s">
        <v>277</v>
      </c>
      <c r="E113" s="4" t="s">
        <v>283</v>
      </c>
      <c r="F113" s="4" t="s">
        <v>74</v>
      </c>
      <c r="G113" s="41" t="e">
        <f>表格1_18[[#This Row],[加權後總分]]-表格1_18[[#This Row],[獎懲分數]]</f>
        <v>#DIV/0!</v>
      </c>
      <c r="H11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3" s="39" t="e">
        <f t="shared" si="10"/>
        <v>#DIV/0!</v>
      </c>
      <c r="J113" s="36" t="e">
        <f t="shared" si="14"/>
        <v>#DIV/0!</v>
      </c>
      <c r="K113" s="8" t="e">
        <f t="shared" si="13"/>
        <v>#DIV/0!</v>
      </c>
      <c r="L113" s="8" t="e">
        <f t="shared" si="11"/>
        <v>#DIV/0!</v>
      </c>
      <c r="M113" s="8" t="e">
        <f>表格1_3[[#This Row],[部內平均]]</f>
        <v>#DIV/0!</v>
      </c>
      <c r="N113" s="8"/>
      <c r="O113" s="8" t="e">
        <f>表格1_3[[#This Row],[複評平均]]</f>
        <v>#DIV/0!</v>
      </c>
      <c r="P113" s="3"/>
      <c r="Q113" s="3"/>
      <c r="R113" s="3"/>
      <c r="S113" s="3"/>
      <c r="T113" s="3"/>
      <c r="U113" s="3"/>
      <c r="V113" s="3"/>
      <c r="W113" s="38">
        <v>63.2</v>
      </c>
      <c r="X113" s="2">
        <v>111</v>
      </c>
    </row>
    <row r="114" spans="1:24" hidden="1">
      <c r="A114" s="10" t="s">
        <v>407</v>
      </c>
      <c r="B114" s="5" t="s">
        <v>238</v>
      </c>
      <c r="C114" s="4" t="s">
        <v>107</v>
      </c>
      <c r="D114" s="6" t="s">
        <v>277</v>
      </c>
      <c r="E114" s="4" t="s">
        <v>283</v>
      </c>
      <c r="F114" s="4" t="s">
        <v>74</v>
      </c>
      <c r="G114" s="41" t="e">
        <f>表格1_18[[#This Row],[加權後總分]]-表格1_18[[#This Row],[獎懲分數]]</f>
        <v>#DIV/0!</v>
      </c>
      <c r="H11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4" s="39" t="e">
        <f t="shared" si="10"/>
        <v>#DIV/0!</v>
      </c>
      <c r="J114" s="36" t="e">
        <f t="shared" si="14"/>
        <v>#DIV/0!</v>
      </c>
      <c r="K114" s="8" t="e">
        <f t="shared" si="13"/>
        <v>#DIV/0!</v>
      </c>
      <c r="L114" s="8" t="e">
        <f t="shared" si="11"/>
        <v>#DIV/0!</v>
      </c>
      <c r="M114" s="8" t="e">
        <f>表格1_3[[#This Row],[部內平均]]</f>
        <v>#DIV/0!</v>
      </c>
      <c r="N114" s="8"/>
      <c r="O114" s="8" t="e">
        <f>表格1_3[[#This Row],[複評平均]]</f>
        <v>#DIV/0!</v>
      </c>
      <c r="P114" s="3"/>
      <c r="Q114" s="3"/>
      <c r="R114" s="3"/>
      <c r="S114" s="3"/>
      <c r="T114" s="3"/>
      <c r="U114" s="3"/>
      <c r="V114" s="3"/>
      <c r="W114" s="38">
        <v>62.8</v>
      </c>
      <c r="X114" s="2">
        <v>112</v>
      </c>
    </row>
    <row r="115" spans="1:24" hidden="1">
      <c r="A115" s="10" t="s">
        <v>407</v>
      </c>
      <c r="B115" s="5" t="s">
        <v>239</v>
      </c>
      <c r="C115" s="4" t="s">
        <v>108</v>
      </c>
      <c r="D115" s="6" t="s">
        <v>277</v>
      </c>
      <c r="E115" s="4" t="s">
        <v>283</v>
      </c>
      <c r="F115" s="4" t="s">
        <v>74</v>
      </c>
      <c r="G115" s="41" t="e">
        <f>表格1_18[[#This Row],[加權後總分]]-表格1_18[[#This Row],[獎懲分數]]</f>
        <v>#DIV/0!</v>
      </c>
      <c r="H11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5" s="39" t="e">
        <f t="shared" si="10"/>
        <v>#DIV/0!</v>
      </c>
      <c r="J115" s="36" t="e">
        <f t="shared" si="14"/>
        <v>#DIV/0!</v>
      </c>
      <c r="K115" s="8" t="e">
        <f t="shared" si="13"/>
        <v>#DIV/0!</v>
      </c>
      <c r="L115" s="8" t="e">
        <f t="shared" si="11"/>
        <v>#DIV/0!</v>
      </c>
      <c r="M115" s="8" t="e">
        <f>表格1_3[[#This Row],[部內平均]]</f>
        <v>#DIV/0!</v>
      </c>
      <c r="N115" s="8"/>
      <c r="O115" s="8" t="e">
        <f>表格1_3[[#This Row],[複評平均]]</f>
        <v>#DIV/0!</v>
      </c>
      <c r="P115" s="3"/>
      <c r="Q115" s="3"/>
      <c r="R115" s="3"/>
      <c r="S115" s="3"/>
      <c r="T115" s="3"/>
      <c r="U115" s="3"/>
      <c r="V115" s="3"/>
      <c r="W115" s="38">
        <v>62.400000000000006</v>
      </c>
      <c r="X115" s="2">
        <v>113</v>
      </c>
    </row>
    <row r="116" spans="1:24" ht="26" hidden="1">
      <c r="A116" s="10" t="s">
        <v>407</v>
      </c>
      <c r="B116" s="5" t="s">
        <v>201</v>
      </c>
      <c r="C116" s="12" t="s">
        <v>420</v>
      </c>
      <c r="D116" s="6" t="s">
        <v>277</v>
      </c>
      <c r="E116" s="4" t="s">
        <v>283</v>
      </c>
      <c r="F116" s="4" t="s">
        <v>63</v>
      </c>
      <c r="G116" s="41" t="e">
        <f>表格1_18[[#This Row],[加權後總分]]-表格1_18[[#This Row],[獎懲分數]]</f>
        <v>#DIV/0!</v>
      </c>
      <c r="H11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6" s="39" t="e">
        <f t="shared" si="10"/>
        <v>#DIV/0!</v>
      </c>
      <c r="J116" s="36" t="e">
        <f t="shared" si="14"/>
        <v>#DIV/0!</v>
      </c>
      <c r="K116" s="8" t="e">
        <f t="shared" si="13"/>
        <v>#DIV/0!</v>
      </c>
      <c r="L116" s="8" t="e">
        <f t="shared" si="11"/>
        <v>#DIV/0!</v>
      </c>
      <c r="M116" s="8" t="e">
        <f>表格1_3[[#This Row],[部內平均]]</f>
        <v>#DIV/0!</v>
      </c>
      <c r="N116" s="8"/>
      <c r="O116" s="8" t="e">
        <f>表格1_3[[#This Row],[複評平均]]</f>
        <v>#DIV/0!</v>
      </c>
      <c r="P116" s="3"/>
      <c r="Q116" s="3"/>
      <c r="R116" s="3"/>
      <c r="S116" s="3"/>
      <c r="T116" s="3"/>
      <c r="U116" s="3"/>
      <c r="V116" s="3"/>
      <c r="W116" s="38">
        <v>61.8</v>
      </c>
      <c r="X116" s="2">
        <v>114</v>
      </c>
    </row>
    <row r="117" spans="1:24" hidden="1">
      <c r="A117" s="10" t="s">
        <v>407</v>
      </c>
      <c r="B117" s="5" t="s">
        <v>232</v>
      </c>
      <c r="C117" s="4" t="s">
        <v>101</v>
      </c>
      <c r="D117" s="6" t="s">
        <v>277</v>
      </c>
      <c r="E117" s="4" t="s">
        <v>283</v>
      </c>
      <c r="F117" s="4" t="s">
        <v>74</v>
      </c>
      <c r="G117" s="41" t="e">
        <f>表格1_18[[#This Row],[加權後總分]]-表格1_18[[#This Row],[獎懲分數]]</f>
        <v>#DIV/0!</v>
      </c>
      <c r="H11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7" s="39" t="e">
        <f t="shared" si="10"/>
        <v>#DIV/0!</v>
      </c>
      <c r="J117" s="36" t="e">
        <f t="shared" si="14"/>
        <v>#DIV/0!</v>
      </c>
      <c r="K117" s="8" t="e">
        <f t="shared" si="13"/>
        <v>#DIV/0!</v>
      </c>
      <c r="L117" s="8" t="e">
        <f t="shared" si="11"/>
        <v>#DIV/0!</v>
      </c>
      <c r="M117" s="8" t="e">
        <f>表格1_3[[#This Row],[部內平均]]</f>
        <v>#DIV/0!</v>
      </c>
      <c r="N117" s="8"/>
      <c r="O117" s="8" t="e">
        <f>表格1_3[[#This Row],[複評平均]]</f>
        <v>#DIV/0!</v>
      </c>
      <c r="P117" s="3"/>
      <c r="Q117" s="3"/>
      <c r="R117" s="3"/>
      <c r="S117" s="3"/>
      <c r="T117" s="3"/>
      <c r="U117" s="3"/>
      <c r="V117" s="3"/>
      <c r="W117" s="38">
        <v>61.2</v>
      </c>
      <c r="X117" s="2">
        <v>115</v>
      </c>
    </row>
    <row r="118" spans="1:24" hidden="1">
      <c r="A118" s="10" t="s">
        <v>407</v>
      </c>
      <c r="B118" s="5" t="s">
        <v>234</v>
      </c>
      <c r="C118" s="4" t="s">
        <v>103</v>
      </c>
      <c r="D118" s="6" t="s">
        <v>277</v>
      </c>
      <c r="E118" s="4" t="s">
        <v>283</v>
      </c>
      <c r="F118" s="4" t="s">
        <v>74</v>
      </c>
      <c r="G118" s="41" t="e">
        <f>表格1_18[[#This Row],[加權後總分]]-表格1_18[[#This Row],[獎懲分數]]</f>
        <v>#DIV/0!</v>
      </c>
      <c r="H118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8" s="39" t="e">
        <f t="shared" si="10"/>
        <v>#DIV/0!</v>
      </c>
      <c r="J118" s="36" t="e">
        <f t="shared" si="14"/>
        <v>#DIV/0!</v>
      </c>
      <c r="K118" s="8" t="e">
        <f t="shared" si="13"/>
        <v>#DIV/0!</v>
      </c>
      <c r="L118" s="8" t="e">
        <f t="shared" si="11"/>
        <v>#DIV/0!</v>
      </c>
      <c r="M118" s="8" t="e">
        <f>表格1_3[[#This Row],[部內平均]]</f>
        <v>#DIV/0!</v>
      </c>
      <c r="N118" s="8"/>
      <c r="O118" s="8" t="e">
        <f>表格1_3[[#This Row],[複評平均]]</f>
        <v>#DIV/0!</v>
      </c>
      <c r="P118" s="3"/>
      <c r="Q118" s="3"/>
      <c r="R118" s="3"/>
      <c r="S118" s="3"/>
      <c r="T118" s="3"/>
      <c r="U118" s="3"/>
      <c r="V118" s="3"/>
      <c r="W118" s="38">
        <v>60.833333333333329</v>
      </c>
      <c r="X118" s="2">
        <v>116</v>
      </c>
    </row>
    <row r="119" spans="1:24" hidden="1">
      <c r="A119" s="10" t="s">
        <v>407</v>
      </c>
      <c r="B119" s="5" t="s">
        <v>233</v>
      </c>
      <c r="C119" s="4" t="s">
        <v>102</v>
      </c>
      <c r="D119" s="6" t="s">
        <v>277</v>
      </c>
      <c r="E119" s="4" t="s">
        <v>297</v>
      </c>
      <c r="F119" s="4" t="s">
        <v>74</v>
      </c>
      <c r="G119" s="41" t="e">
        <f>表格1_18[[#This Row],[加權後總分]]-表格1_18[[#This Row],[獎懲分數]]</f>
        <v>#DIV/0!</v>
      </c>
      <c r="H119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19" s="39" t="e">
        <f t="shared" si="10"/>
        <v>#DIV/0!</v>
      </c>
      <c r="J119" s="36" t="e">
        <f t="shared" si="14"/>
        <v>#DIV/0!</v>
      </c>
      <c r="K119" s="8" t="e">
        <f t="shared" si="13"/>
        <v>#DIV/0!</v>
      </c>
      <c r="L119" s="8" t="e">
        <f t="shared" si="11"/>
        <v>#DIV/0!</v>
      </c>
      <c r="M119" s="8" t="e">
        <f>表格1_3[[#This Row],[部內平均]]</f>
        <v>#DIV/0!</v>
      </c>
      <c r="N119" s="8"/>
      <c r="O119" s="8" t="e">
        <f>表格1_3[[#This Row],[複評平均]]</f>
        <v>#DIV/0!</v>
      </c>
      <c r="P119" s="3"/>
      <c r="Q119" s="3"/>
      <c r="R119" s="3"/>
      <c r="S119" s="3"/>
      <c r="T119" s="3"/>
      <c r="U119" s="3"/>
      <c r="V119" s="3"/>
      <c r="W119" s="38">
        <v>60.6</v>
      </c>
      <c r="X119" s="2">
        <v>117</v>
      </c>
    </row>
    <row r="120" spans="1:24" ht="26" hidden="1">
      <c r="A120" s="10" t="s">
        <v>407</v>
      </c>
      <c r="B120" s="5" t="s">
        <v>214</v>
      </c>
      <c r="C120" s="12" t="s">
        <v>421</v>
      </c>
      <c r="D120" s="6" t="s">
        <v>277</v>
      </c>
      <c r="E120" s="4" t="s">
        <v>283</v>
      </c>
      <c r="F120" s="4" t="s">
        <v>331</v>
      </c>
      <c r="G120" s="41" t="e">
        <f>表格1_18[[#This Row],[加權後總分]]-表格1_18[[#This Row],[獎懲分數]]</f>
        <v>#DIV/0!</v>
      </c>
      <c r="H12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0" s="39" t="e">
        <f t="shared" si="10"/>
        <v>#DIV/0!</v>
      </c>
      <c r="J120" s="36" t="e">
        <f t="shared" si="14"/>
        <v>#DIV/0!</v>
      </c>
      <c r="K120" s="8" t="e">
        <f t="shared" si="13"/>
        <v>#DIV/0!</v>
      </c>
      <c r="L120" s="8" t="e">
        <f t="shared" si="11"/>
        <v>#DIV/0!</v>
      </c>
      <c r="M120" s="8" t="e">
        <f>表格1_3[[#This Row],[部內平均]]</f>
        <v>#DIV/0!</v>
      </c>
      <c r="N120" s="8"/>
      <c r="O120" s="8" t="e">
        <f>表格1_3[[#This Row],[複評平均]]</f>
        <v>#DIV/0!</v>
      </c>
      <c r="P120" s="3"/>
      <c r="Q120" s="3"/>
      <c r="R120" s="3"/>
      <c r="S120" s="3"/>
      <c r="T120" s="3"/>
      <c r="U120" s="3"/>
      <c r="V120" s="3"/>
      <c r="W120" s="38">
        <v>59.8</v>
      </c>
      <c r="X120" s="2">
        <v>118</v>
      </c>
    </row>
    <row r="121" spans="1:24" hidden="1">
      <c r="A121" s="10" t="s">
        <v>407</v>
      </c>
      <c r="B121" s="5" t="s">
        <v>231</v>
      </c>
      <c r="C121" s="4" t="s">
        <v>100</v>
      </c>
      <c r="D121" s="6" t="s">
        <v>277</v>
      </c>
      <c r="E121" s="4" t="s">
        <v>283</v>
      </c>
      <c r="F121" s="4" t="s">
        <v>74</v>
      </c>
      <c r="G121" s="41" t="e">
        <f>表格1_18[[#This Row],[加權後總分]]-表格1_18[[#This Row],[獎懲分數]]</f>
        <v>#DIV/0!</v>
      </c>
      <c r="H12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1" s="39" t="e">
        <f t="shared" si="10"/>
        <v>#DIV/0!</v>
      </c>
      <c r="J121" s="36" t="e">
        <f t="shared" si="14"/>
        <v>#DIV/0!</v>
      </c>
      <c r="K121" s="8" t="e">
        <f t="shared" si="13"/>
        <v>#DIV/0!</v>
      </c>
      <c r="L121" s="8" t="e">
        <f t="shared" si="11"/>
        <v>#DIV/0!</v>
      </c>
      <c r="M121" s="8" t="e">
        <f>表格1_3[[#This Row],[部內平均]]</f>
        <v>#DIV/0!</v>
      </c>
      <c r="N121" s="8"/>
      <c r="O121" s="8" t="e">
        <f>表格1_3[[#This Row],[複評平均]]</f>
        <v>#DIV/0!</v>
      </c>
      <c r="P121" s="3"/>
      <c r="Q121" s="3"/>
      <c r="R121" s="3"/>
      <c r="S121" s="3"/>
      <c r="T121" s="3"/>
      <c r="U121" s="3"/>
      <c r="V121" s="3"/>
      <c r="W121" s="38">
        <v>56.6</v>
      </c>
      <c r="X121" s="2">
        <v>119</v>
      </c>
    </row>
    <row r="122" spans="1:24">
      <c r="A122" s="10" t="s">
        <v>407</v>
      </c>
      <c r="B122" s="5" t="s">
        <v>244</v>
      </c>
      <c r="C122" s="13" t="s">
        <v>113</v>
      </c>
      <c r="D122" s="6" t="s">
        <v>277</v>
      </c>
      <c r="E122" s="4" t="s">
        <v>283</v>
      </c>
      <c r="F122" s="4" t="s">
        <v>63</v>
      </c>
      <c r="G122" s="41" t="e">
        <f>表格1_18[[#This Row],[加權後總分]]-表格1_18[[#This Row],[獎懲分數]]</f>
        <v>#DIV/0!</v>
      </c>
      <c r="H122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2" s="39" t="e">
        <f t="shared" si="10"/>
        <v>#DIV/0!</v>
      </c>
      <c r="J122" s="36" t="e">
        <f t="shared" si="14"/>
        <v>#DIV/0!</v>
      </c>
      <c r="K122" s="8" t="e">
        <f t="shared" si="13"/>
        <v>#DIV/0!</v>
      </c>
      <c r="L122" s="8" t="e">
        <f t="shared" si="11"/>
        <v>#DIV/0!</v>
      </c>
      <c r="M122" s="8" t="e">
        <f>表格1_3[[#This Row],[部內平均]]</f>
        <v>#DIV/0!</v>
      </c>
      <c r="N122" s="8"/>
      <c r="O122" s="8" t="e">
        <f>表格1_3[[#This Row],[複評平均]]</f>
        <v>#DIV/0!</v>
      </c>
      <c r="P122" s="3"/>
      <c r="Q122" s="3"/>
      <c r="R122" s="3"/>
      <c r="S122" s="3"/>
      <c r="T122" s="3"/>
      <c r="U122" s="3"/>
      <c r="V122" s="3"/>
      <c r="W122" s="38">
        <v>55.8</v>
      </c>
      <c r="X122" s="2">
        <v>120</v>
      </c>
    </row>
    <row r="123" spans="1:24">
      <c r="A123" s="10" t="s">
        <v>407</v>
      </c>
      <c r="B123" s="5" t="s">
        <v>242</v>
      </c>
      <c r="C123" s="13" t="s">
        <v>111</v>
      </c>
      <c r="D123" s="6" t="s">
        <v>277</v>
      </c>
      <c r="E123" s="4" t="s">
        <v>283</v>
      </c>
      <c r="F123" s="4" t="s">
        <v>76</v>
      </c>
      <c r="G123" s="41" t="e">
        <f>表格1_18[[#This Row],[加權後總分]]-表格1_18[[#This Row],[獎懲分數]]</f>
        <v>#DIV/0!</v>
      </c>
      <c r="H12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3" s="39" t="e">
        <f t="shared" si="10"/>
        <v>#DIV/0!</v>
      </c>
      <c r="J123" s="36" t="e">
        <f t="shared" si="14"/>
        <v>#DIV/0!</v>
      </c>
      <c r="K123" s="8" t="e">
        <f t="shared" si="13"/>
        <v>#DIV/0!</v>
      </c>
      <c r="L123" s="8" t="e">
        <f t="shared" si="11"/>
        <v>#DIV/0!</v>
      </c>
      <c r="M123" s="8" t="e">
        <f>表格1_3[[#This Row],[部內平均]]</f>
        <v>#DIV/0!</v>
      </c>
      <c r="N123" s="8"/>
      <c r="O123" s="8" t="e">
        <f>表格1_3[[#This Row],[複評平均]]</f>
        <v>#DIV/0!</v>
      </c>
      <c r="P123" s="3"/>
      <c r="Q123" s="3"/>
      <c r="R123" s="3"/>
      <c r="S123" s="3"/>
      <c r="T123" s="3"/>
      <c r="U123" s="3"/>
      <c r="V123" s="3"/>
      <c r="W123" s="38">
        <v>55</v>
      </c>
      <c r="X123" s="2">
        <v>121</v>
      </c>
    </row>
    <row r="124" spans="1:24">
      <c r="A124" s="10" t="s">
        <v>407</v>
      </c>
      <c r="B124" s="5" t="s">
        <v>243</v>
      </c>
      <c r="C124" s="13" t="s">
        <v>112</v>
      </c>
      <c r="D124" s="6" t="s">
        <v>277</v>
      </c>
      <c r="E124" s="4" t="s">
        <v>283</v>
      </c>
      <c r="F124" s="4" t="s">
        <v>76</v>
      </c>
      <c r="G124" s="41" t="e">
        <f>表格1_18[[#This Row],[加權後總分]]-表格1_18[[#This Row],[獎懲分數]]</f>
        <v>#DIV/0!</v>
      </c>
      <c r="H12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4" s="39" t="e">
        <f t="shared" si="10"/>
        <v>#DIV/0!</v>
      </c>
      <c r="J124" s="36" t="e">
        <f t="shared" si="14"/>
        <v>#DIV/0!</v>
      </c>
      <c r="K124" s="8" t="e">
        <f t="shared" si="13"/>
        <v>#DIV/0!</v>
      </c>
      <c r="L124" s="8" t="e">
        <f t="shared" si="11"/>
        <v>#DIV/0!</v>
      </c>
      <c r="M124" s="8" t="e">
        <f>表格1_3[[#This Row],[部內平均]]</f>
        <v>#DIV/0!</v>
      </c>
      <c r="N124" s="8"/>
      <c r="O124" s="8" t="e">
        <f>表格1_3[[#This Row],[複評平均]]</f>
        <v>#DIV/0!</v>
      </c>
      <c r="P124" s="3"/>
      <c r="Q124" s="3"/>
      <c r="R124" s="3"/>
      <c r="S124" s="3"/>
      <c r="T124" s="3"/>
      <c r="U124" s="3"/>
      <c r="V124" s="3"/>
      <c r="W124" s="38">
        <v>54.8</v>
      </c>
      <c r="X124" s="2">
        <v>122</v>
      </c>
    </row>
    <row r="125" spans="1:24" hidden="1">
      <c r="A125" s="10" t="s">
        <v>407</v>
      </c>
      <c r="B125" s="5" t="s">
        <v>241</v>
      </c>
      <c r="C125" s="4" t="s">
        <v>110</v>
      </c>
      <c r="D125" s="6" t="s">
        <v>277</v>
      </c>
      <c r="E125" s="4" t="s">
        <v>283</v>
      </c>
      <c r="F125" s="4" t="s">
        <v>93</v>
      </c>
      <c r="G125" s="41" t="e">
        <f>表格1_18[[#This Row],[加權後總分]]-表格1_18[[#This Row],[獎懲分數]]</f>
        <v>#DIV/0!</v>
      </c>
      <c r="H12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5" s="39" t="e">
        <f t="shared" si="10"/>
        <v>#DIV/0!</v>
      </c>
      <c r="J125" s="36" t="e">
        <f t="shared" si="14"/>
        <v>#DIV/0!</v>
      </c>
      <c r="K125" s="8" t="e">
        <f t="shared" si="13"/>
        <v>#DIV/0!</v>
      </c>
      <c r="L125" s="8" t="e">
        <f t="shared" si="11"/>
        <v>#DIV/0!</v>
      </c>
      <c r="M125" s="8" t="e">
        <f>表格1_3[[#This Row],[部內平均]]</f>
        <v>#DIV/0!</v>
      </c>
      <c r="N125" s="8"/>
      <c r="O125" s="8" t="e">
        <f>表格1_3[[#This Row],[複評平均]]</f>
        <v>#DIV/0!</v>
      </c>
      <c r="P125" s="3"/>
      <c r="Q125" s="3"/>
      <c r="R125" s="3"/>
      <c r="S125" s="3"/>
      <c r="T125" s="3"/>
      <c r="U125" s="3"/>
      <c r="V125" s="3"/>
      <c r="W125" s="38">
        <v>52.2</v>
      </c>
      <c r="X125" s="2">
        <v>123</v>
      </c>
    </row>
    <row r="126" spans="1:24" hidden="1">
      <c r="A126" s="10" t="s">
        <v>407</v>
      </c>
      <c r="B126" s="5" t="s">
        <v>245</v>
      </c>
      <c r="C126" s="12" t="s">
        <v>415</v>
      </c>
      <c r="D126" s="6" t="s">
        <v>277</v>
      </c>
      <c r="E126" s="4" t="s">
        <v>283</v>
      </c>
      <c r="F126" s="4" t="s">
        <v>332</v>
      </c>
      <c r="G126" s="41">
        <f>表格1_18[[#This Row],[加權後總分]]-表格1_18[[#This Row],[獎懲分數]]</f>
        <v>0</v>
      </c>
      <c r="H126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26" s="39" t="e">
        <f t="shared" si="10"/>
        <v>#DIV/0!</v>
      </c>
      <c r="J126" s="36"/>
      <c r="K126" s="8"/>
      <c r="L126" s="8" t="e">
        <f t="shared" si="11"/>
        <v>#DIV/0!</v>
      </c>
      <c r="M126" s="8" t="e">
        <f>表格1_3[[#This Row],[部內平均]]</f>
        <v>#DIV/0!</v>
      </c>
      <c r="N126" s="8"/>
      <c r="O126" s="8" t="e">
        <f>表格1_3[[#This Row],[複評平均]]</f>
        <v>#DIV/0!</v>
      </c>
      <c r="P126" s="3"/>
      <c r="Q126" s="3"/>
      <c r="R126" s="3"/>
      <c r="S126" s="3"/>
      <c r="T126" s="3"/>
      <c r="U126" s="3"/>
      <c r="V126" s="3"/>
      <c r="W126" s="38">
        <v>51.2</v>
      </c>
      <c r="X126" s="2">
        <v>124</v>
      </c>
    </row>
    <row r="127" spans="1:24">
      <c r="A127" s="10" t="s">
        <v>407</v>
      </c>
      <c r="B127" s="5" t="s">
        <v>246</v>
      </c>
      <c r="C127" s="13" t="s">
        <v>114</v>
      </c>
      <c r="D127" s="6" t="s">
        <v>277</v>
      </c>
      <c r="E127" s="4" t="s">
        <v>283</v>
      </c>
      <c r="F127" s="4" t="s">
        <v>93</v>
      </c>
      <c r="G127" s="41" t="e">
        <f>表格1_18[[#This Row],[加權後總分]]-表格1_18[[#This Row],[獎懲分數]]</f>
        <v>#DIV/0!</v>
      </c>
      <c r="H127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27" s="39" t="e">
        <f t="shared" si="10"/>
        <v>#DIV/0!</v>
      </c>
      <c r="J127" s="36" t="e">
        <f t="shared" si="14"/>
        <v>#DIV/0!</v>
      </c>
      <c r="K127" s="8" t="e">
        <f t="shared" ref="K127:K135" si="15">IF(J127&gt;=90,"A",
 IF(J127&gt;=80,"B",
 IF(J127&gt;=70,"C",
 IF(J127&gt;=60,"D","E"))))</f>
        <v>#DIV/0!</v>
      </c>
      <c r="L127" s="8" t="e">
        <f t="shared" si="11"/>
        <v>#DIV/0!</v>
      </c>
      <c r="M127" s="8" t="e">
        <f>表格1_3[[#This Row],[部內平均]]</f>
        <v>#DIV/0!</v>
      </c>
      <c r="N127" s="8"/>
      <c r="O127" s="8" t="e">
        <f>表格1_3[[#This Row],[複評平均]]</f>
        <v>#DIV/0!</v>
      </c>
      <c r="P127" s="3"/>
      <c r="Q127" s="3"/>
      <c r="R127" s="3"/>
      <c r="S127" s="3"/>
      <c r="T127" s="3"/>
      <c r="U127" s="3"/>
      <c r="V127" s="3"/>
      <c r="W127" s="38">
        <v>51</v>
      </c>
      <c r="X127" s="2">
        <v>125</v>
      </c>
    </row>
    <row r="128" spans="1:24" ht="26" hidden="1">
      <c r="A128" s="10" t="s">
        <v>407</v>
      </c>
      <c r="B128" s="5" t="s">
        <v>250</v>
      </c>
      <c r="C128" s="12" t="s">
        <v>416</v>
      </c>
      <c r="D128" s="6" t="s">
        <v>277</v>
      </c>
      <c r="E128" s="4" t="s">
        <v>283</v>
      </c>
      <c r="F128" s="4" t="s">
        <v>93</v>
      </c>
      <c r="G128" s="41">
        <f>表格1_18[[#This Row],[加權後總分]]-表格1_18[[#This Row],[獎懲分數]]</f>
        <v>0</v>
      </c>
      <c r="H128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28" s="39" t="e">
        <f t="shared" si="10"/>
        <v>#DIV/0!</v>
      </c>
      <c r="J128" s="36"/>
      <c r="K128" s="8"/>
      <c r="L128" s="8" t="e">
        <f t="shared" si="11"/>
        <v>#DIV/0!</v>
      </c>
      <c r="M128" s="8" t="e">
        <f>表格1_3[[#This Row],[部內平均]]</f>
        <v>#DIV/0!</v>
      </c>
      <c r="N128" s="8"/>
      <c r="O128" s="8" t="e">
        <f>表格1_3[[#This Row],[複評平均]]</f>
        <v>#DIV/0!</v>
      </c>
      <c r="P128" s="3"/>
      <c r="Q128" s="3"/>
      <c r="R128" s="3"/>
      <c r="S128" s="3"/>
      <c r="T128" s="3"/>
      <c r="U128" s="3"/>
      <c r="V128" s="3"/>
      <c r="W128" s="38">
        <v>50</v>
      </c>
      <c r="X128" s="2">
        <v>126</v>
      </c>
    </row>
    <row r="129" spans="1:24" hidden="1">
      <c r="A129" s="10" t="s">
        <v>407</v>
      </c>
      <c r="B129" s="5" t="s">
        <v>251</v>
      </c>
      <c r="C129" s="12" t="s">
        <v>433</v>
      </c>
      <c r="D129" s="6" t="s">
        <v>277</v>
      </c>
      <c r="E129" s="4" t="s">
        <v>283</v>
      </c>
      <c r="F129" s="4" t="s">
        <v>93</v>
      </c>
      <c r="G129" s="41">
        <f>表格1_18[[#This Row],[加權後總分]]-表格1_18[[#This Row],[獎懲分數]]</f>
        <v>0</v>
      </c>
      <c r="H129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29" s="39" t="e">
        <f t="shared" si="10"/>
        <v>#DIV/0!</v>
      </c>
      <c r="J129" s="36"/>
      <c r="K129" s="8"/>
      <c r="L129" s="8" t="e">
        <f t="shared" si="11"/>
        <v>#DIV/0!</v>
      </c>
      <c r="M129" s="8" t="e">
        <f>表格1_3[[#This Row],[部內平均]]</f>
        <v>#DIV/0!</v>
      </c>
      <c r="N129" s="8"/>
      <c r="O129" s="8" t="e">
        <f>表格1_3[[#This Row],[複評平均]]</f>
        <v>#DIV/0!</v>
      </c>
      <c r="P129" s="3"/>
      <c r="Q129" s="3"/>
      <c r="R129" s="3"/>
      <c r="S129" s="3"/>
      <c r="T129" s="3"/>
      <c r="U129" s="3"/>
      <c r="V129" s="3"/>
      <c r="W129" s="38">
        <v>50</v>
      </c>
      <c r="X129" s="2">
        <v>127</v>
      </c>
    </row>
    <row r="130" spans="1:24" hidden="1">
      <c r="A130" s="10" t="s">
        <v>407</v>
      </c>
      <c r="B130" s="5" t="s">
        <v>249</v>
      </c>
      <c r="C130" s="4" t="s">
        <v>116</v>
      </c>
      <c r="D130" s="6" t="s">
        <v>277</v>
      </c>
      <c r="E130" s="4" t="s">
        <v>283</v>
      </c>
      <c r="F130" s="4" t="s">
        <v>74</v>
      </c>
      <c r="G130" s="41" t="e">
        <f>表格1_18[[#This Row],[加權後總分]]-表格1_18[[#This Row],[獎懲分數]]</f>
        <v>#DIV/0!</v>
      </c>
      <c r="H13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30" s="39" t="e">
        <f t="shared" si="10"/>
        <v>#DIV/0!</v>
      </c>
      <c r="J130" s="36" t="e">
        <f t="shared" si="14"/>
        <v>#DIV/0!</v>
      </c>
      <c r="K130" s="8" t="e">
        <f t="shared" si="15"/>
        <v>#DIV/0!</v>
      </c>
      <c r="L130" s="8" t="e">
        <f t="shared" si="11"/>
        <v>#DIV/0!</v>
      </c>
      <c r="M130" s="8" t="e">
        <f>表格1_3[[#This Row],[部內平均]]</f>
        <v>#DIV/0!</v>
      </c>
      <c r="N130" s="8"/>
      <c r="O130" s="8" t="e">
        <f>表格1_3[[#This Row],[複評平均]]</f>
        <v>#DIV/0!</v>
      </c>
      <c r="P130" s="3"/>
      <c r="Q130" s="3"/>
      <c r="R130" s="3"/>
      <c r="S130" s="3"/>
      <c r="T130" s="3"/>
      <c r="U130" s="3"/>
      <c r="V130" s="3"/>
      <c r="W130" s="38">
        <v>49.4</v>
      </c>
      <c r="X130" s="2">
        <v>128</v>
      </c>
    </row>
    <row r="131" spans="1:24" hidden="1">
      <c r="A131" s="10" t="s">
        <v>407</v>
      </c>
      <c r="B131" s="5" t="s">
        <v>324</v>
      </c>
      <c r="C131" s="12" t="s">
        <v>432</v>
      </c>
      <c r="D131" s="6" t="s">
        <v>277</v>
      </c>
      <c r="E131" s="4" t="s">
        <v>283</v>
      </c>
      <c r="F131" s="4" t="s">
        <v>93</v>
      </c>
      <c r="G131" s="41">
        <f>表格1_18[[#This Row],[加權後總分]]-表格1_18[[#This Row],[獎懲分數]]</f>
        <v>0</v>
      </c>
      <c r="H131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31" s="39" t="e">
        <f t="shared" ref="I131:I146" si="16">_xlfn.RANK.EQ(G131,$G$2:$G$146,0)</f>
        <v>#DIV/0!</v>
      </c>
      <c r="J131" s="36"/>
      <c r="K131" s="8"/>
      <c r="L131" s="8" t="e">
        <f t="shared" ref="L131:L146" si="17">_xlfn.RANK.EQ(J131,$J$2:$J$146,0)</f>
        <v>#DIV/0!</v>
      </c>
      <c r="M131" s="8" t="e">
        <f>表格1_3[[#This Row],[部內平均]]</f>
        <v>#DIV/0!</v>
      </c>
      <c r="N131" s="8"/>
      <c r="O131" s="8" t="e">
        <f>表格1_3[[#This Row],[複評平均]]</f>
        <v>#DIV/0!</v>
      </c>
      <c r="P131" s="3"/>
      <c r="Q131" s="3"/>
      <c r="R131" s="3"/>
      <c r="S131" s="3"/>
      <c r="T131" s="3"/>
      <c r="U131" s="3"/>
      <c r="V131" s="3"/>
      <c r="W131" s="38">
        <v>49</v>
      </c>
      <c r="X131" s="2">
        <v>129</v>
      </c>
    </row>
    <row r="132" spans="1:24" hidden="1">
      <c r="A132" s="10" t="s">
        <v>407</v>
      </c>
      <c r="B132" s="5" t="s">
        <v>325</v>
      </c>
      <c r="C132" s="12" t="s">
        <v>419</v>
      </c>
      <c r="D132" s="6" t="s">
        <v>277</v>
      </c>
      <c r="E132" s="4" t="s">
        <v>283</v>
      </c>
      <c r="F132" s="4" t="s">
        <v>93</v>
      </c>
      <c r="G132" s="41">
        <f>表格1_18[[#This Row],[加權後總分]]-表格1_18[[#This Row],[獎懲分數]]</f>
        <v>0</v>
      </c>
      <c r="H132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32" s="39" t="e">
        <f t="shared" si="16"/>
        <v>#DIV/0!</v>
      </c>
      <c r="J132" s="36"/>
      <c r="K132" s="8"/>
      <c r="L132" s="8" t="e">
        <f t="shared" si="17"/>
        <v>#DIV/0!</v>
      </c>
      <c r="M132" s="8" t="e">
        <f>表格1_3[[#This Row],[部內平均]]</f>
        <v>#DIV/0!</v>
      </c>
      <c r="N132" s="8"/>
      <c r="O132" s="8" t="e">
        <f>表格1_3[[#This Row],[複評平均]]</f>
        <v>#DIV/0!</v>
      </c>
      <c r="P132" s="3"/>
      <c r="Q132" s="3"/>
      <c r="R132" s="3"/>
      <c r="S132" s="3"/>
      <c r="T132" s="3"/>
      <c r="U132" s="3"/>
      <c r="V132" s="3"/>
      <c r="W132" s="38">
        <v>48.400000000000006</v>
      </c>
      <c r="X132" s="2">
        <v>130</v>
      </c>
    </row>
    <row r="133" spans="1:24" ht="26" hidden="1">
      <c r="A133" s="10" t="s">
        <v>407</v>
      </c>
      <c r="B133" s="5" t="s">
        <v>326</v>
      </c>
      <c r="C133" s="12" t="s">
        <v>431</v>
      </c>
      <c r="D133" s="6" t="s">
        <v>277</v>
      </c>
      <c r="E133" s="4" t="s">
        <v>283</v>
      </c>
      <c r="F133" s="4" t="s">
        <v>93</v>
      </c>
      <c r="G133" s="41">
        <f>表格1_18[[#This Row],[加權後總分]]-表格1_18[[#This Row],[獎懲分數]]</f>
        <v>0</v>
      </c>
      <c r="H133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33" s="39" t="e">
        <f t="shared" si="16"/>
        <v>#DIV/0!</v>
      </c>
      <c r="J133" s="36"/>
      <c r="K133" s="8"/>
      <c r="L133" s="8" t="e">
        <f t="shared" si="17"/>
        <v>#DIV/0!</v>
      </c>
      <c r="M133" s="8" t="e">
        <f>表格1_3[[#This Row],[部內平均]]</f>
        <v>#DIV/0!</v>
      </c>
      <c r="N133" s="8"/>
      <c r="O133" s="8" t="e">
        <f>表格1_3[[#This Row],[複評平均]]</f>
        <v>#DIV/0!</v>
      </c>
      <c r="P133" s="3"/>
      <c r="Q133" s="3"/>
      <c r="R133" s="3"/>
      <c r="S133" s="3"/>
      <c r="T133" s="3"/>
      <c r="U133" s="3"/>
      <c r="V133" s="3"/>
      <c r="W133" s="38">
        <v>48</v>
      </c>
      <c r="X133" s="2">
        <v>131</v>
      </c>
    </row>
    <row r="134" spans="1:24" hidden="1">
      <c r="A134" s="10" t="s">
        <v>407</v>
      </c>
      <c r="B134" s="5" t="s">
        <v>248</v>
      </c>
      <c r="C134" s="4" t="s">
        <v>115</v>
      </c>
      <c r="D134" s="6" t="s">
        <v>277</v>
      </c>
      <c r="E134" s="4" t="s">
        <v>283</v>
      </c>
      <c r="F134" s="4" t="s">
        <v>74</v>
      </c>
      <c r="G134" s="41" t="e">
        <f>表格1_18[[#This Row],[加權後總分]]-表格1_18[[#This Row],[獎懲分數]]</f>
        <v>#DIV/0!</v>
      </c>
      <c r="H13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34" s="39" t="e">
        <f t="shared" si="16"/>
        <v>#DIV/0!</v>
      </c>
      <c r="J134" s="36" t="e">
        <f t="shared" si="14"/>
        <v>#DIV/0!</v>
      </c>
      <c r="K134" s="8" t="e">
        <f t="shared" si="15"/>
        <v>#DIV/0!</v>
      </c>
      <c r="L134" s="8" t="e">
        <f t="shared" si="17"/>
        <v>#DIV/0!</v>
      </c>
      <c r="M134" s="8" t="e">
        <f>表格1_3[[#This Row],[部內平均]]</f>
        <v>#DIV/0!</v>
      </c>
      <c r="N134" s="8"/>
      <c r="O134" s="8" t="e">
        <f>表格1_3[[#This Row],[複評平均]]</f>
        <v>#DIV/0!</v>
      </c>
      <c r="P134" s="3"/>
      <c r="Q134" s="3"/>
      <c r="R134" s="3"/>
      <c r="S134" s="3"/>
      <c r="T134" s="3"/>
      <c r="U134" s="3"/>
      <c r="V134" s="3"/>
      <c r="W134" s="38">
        <v>47.400000000000006</v>
      </c>
      <c r="X134" s="2">
        <v>132</v>
      </c>
    </row>
    <row r="135" spans="1:24" hidden="1">
      <c r="A135" s="10" t="s">
        <v>407</v>
      </c>
      <c r="B135" s="5" t="s">
        <v>252</v>
      </c>
      <c r="C135" s="4" t="s">
        <v>117</v>
      </c>
      <c r="D135" s="6" t="s">
        <v>277</v>
      </c>
      <c r="E135" s="4" t="s">
        <v>283</v>
      </c>
      <c r="F135" s="4" t="s">
        <v>74</v>
      </c>
      <c r="G135" s="41" t="e">
        <f>表格1_18[[#This Row],[加權後總分]]-表格1_18[[#This Row],[獎懲分數]]</f>
        <v>#DIV/0!</v>
      </c>
      <c r="H13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35" s="39" t="e">
        <f t="shared" si="16"/>
        <v>#DIV/0!</v>
      </c>
      <c r="J135" s="36" t="e">
        <f t="shared" si="14"/>
        <v>#DIV/0!</v>
      </c>
      <c r="K135" s="8" t="e">
        <f t="shared" si="15"/>
        <v>#DIV/0!</v>
      </c>
      <c r="L135" s="8" t="e">
        <f t="shared" si="17"/>
        <v>#DIV/0!</v>
      </c>
      <c r="M135" s="8" t="e">
        <f>表格1_3[[#This Row],[部內平均]]</f>
        <v>#DIV/0!</v>
      </c>
      <c r="N135" s="8"/>
      <c r="O135" s="8" t="e">
        <f>表格1_3[[#This Row],[複評平均]]</f>
        <v>#DIV/0!</v>
      </c>
      <c r="P135" s="3"/>
      <c r="Q135" s="3"/>
      <c r="R135" s="3"/>
      <c r="S135" s="3"/>
      <c r="T135" s="3"/>
      <c r="U135" s="3"/>
      <c r="V135" s="3"/>
      <c r="W135" s="38">
        <v>46</v>
      </c>
      <c r="X135" s="2">
        <v>133</v>
      </c>
    </row>
    <row r="136" spans="1:24" hidden="1">
      <c r="A136" s="10" t="s">
        <v>408</v>
      </c>
      <c r="B136" s="5" t="s">
        <v>253</v>
      </c>
      <c r="C136" s="4" t="s">
        <v>118</v>
      </c>
      <c r="D136" s="6" t="s">
        <v>278</v>
      </c>
      <c r="E136" s="4" t="s">
        <v>298</v>
      </c>
      <c r="F136" s="4" t="s">
        <v>118</v>
      </c>
      <c r="G136" s="41"/>
      <c r="H136" s="39"/>
      <c r="I136" s="39"/>
      <c r="J136" s="36"/>
      <c r="K136" s="8"/>
      <c r="L136" s="8"/>
      <c r="M136" s="8" t="e">
        <f>表格1_3[[#This Row],[部內平均]]</f>
        <v>#DIV/0!</v>
      </c>
      <c r="N136" s="8" t="e">
        <f>表格1_3[[#This Row],[共評平均]]</f>
        <v>#DIV/0!</v>
      </c>
      <c r="O136" s="8" t="e">
        <f>表格1_3[[#This Row],[複評平均]]</f>
        <v>#DIV/0!</v>
      </c>
      <c r="P136" s="3"/>
      <c r="Q136" s="3"/>
      <c r="R136" s="3"/>
      <c r="S136" s="3"/>
      <c r="T136" s="3"/>
      <c r="U136" s="3"/>
      <c r="V136" s="3"/>
      <c r="W136" s="38">
        <v>45.8</v>
      </c>
      <c r="X136" s="2">
        <v>134</v>
      </c>
    </row>
    <row r="137" spans="1:24" hidden="1">
      <c r="A137" s="10" t="s">
        <v>384</v>
      </c>
      <c r="B137" s="5" t="s">
        <v>255</v>
      </c>
      <c r="C137" s="4" t="s">
        <v>120</v>
      </c>
      <c r="D137" s="6" t="s">
        <v>279</v>
      </c>
      <c r="E137" s="4" t="s">
        <v>300</v>
      </c>
      <c r="F137" s="4" t="s">
        <v>118</v>
      </c>
      <c r="G137" s="41"/>
      <c r="H137" s="39"/>
      <c r="I137" s="39"/>
      <c r="J137" s="36"/>
      <c r="K137" s="8"/>
      <c r="L137" s="8"/>
      <c r="M137" s="8" t="e">
        <f>表格1_3[[#This Row],[部內平均]]</f>
        <v>#DIV/0!</v>
      </c>
      <c r="N137" s="8" t="e">
        <f>表格1_3[[#This Row],[共評平均]]</f>
        <v>#DIV/0!</v>
      </c>
      <c r="O137" s="8" t="e">
        <f>表格1_3[[#This Row],[複評平均]]</f>
        <v>#DIV/0!</v>
      </c>
      <c r="P137" s="3"/>
      <c r="Q137" s="3"/>
      <c r="R137" s="3"/>
      <c r="S137" s="3"/>
      <c r="T137" s="3"/>
      <c r="U137" s="3"/>
      <c r="V137" s="3"/>
      <c r="W137" s="38">
        <v>45.8</v>
      </c>
      <c r="X137" s="2">
        <v>135</v>
      </c>
    </row>
    <row r="138" spans="1:24" hidden="1">
      <c r="A138" s="10" t="s">
        <v>383</v>
      </c>
      <c r="B138" s="5" t="s">
        <v>254</v>
      </c>
      <c r="C138" s="4" t="s">
        <v>119</v>
      </c>
      <c r="D138" s="6" t="s">
        <v>279</v>
      </c>
      <c r="E138" s="4" t="s">
        <v>299</v>
      </c>
      <c r="F138" s="7"/>
      <c r="G138" s="41"/>
      <c r="H138" s="39"/>
      <c r="I138" s="39"/>
      <c r="J138" s="36"/>
      <c r="K138" s="23"/>
      <c r="L138" s="8"/>
      <c r="M138" s="8" t="e">
        <f>表格1_3[[#This Row],[部內平均]]</f>
        <v>#DIV/0!</v>
      </c>
      <c r="N138" s="8" t="e">
        <f>表格1_3[[#This Row],[共評平均]]</f>
        <v>#DIV/0!</v>
      </c>
      <c r="O138" s="8" t="e">
        <f>表格1_3[[#This Row],[複評平均]]</f>
        <v>#DIV/0!</v>
      </c>
      <c r="P138" s="3"/>
      <c r="Q138" s="3"/>
      <c r="R138" s="3"/>
      <c r="S138" s="3"/>
      <c r="T138" s="3"/>
      <c r="U138" s="3"/>
      <c r="V138" s="3"/>
    </row>
    <row r="139" spans="1:24" hidden="1">
      <c r="A139" s="10" t="s">
        <v>391</v>
      </c>
      <c r="B139" s="5" t="s">
        <v>256</v>
      </c>
      <c r="C139" s="4" t="s">
        <v>121</v>
      </c>
      <c r="D139" s="6" t="s">
        <v>279</v>
      </c>
      <c r="E139" s="4" t="s">
        <v>301</v>
      </c>
      <c r="F139" s="4" t="s">
        <v>120</v>
      </c>
      <c r="G139" s="41"/>
      <c r="H139" s="39"/>
      <c r="I139" s="39"/>
      <c r="J139" s="36"/>
      <c r="K139" s="23"/>
      <c r="L139" s="8"/>
      <c r="M139" s="8" t="e">
        <f>表格1_3[[#This Row],[部內平均]]</f>
        <v>#DIV/0!</v>
      </c>
      <c r="N139" s="8" t="e">
        <f>表格1_3[[#This Row],[共評平均]]</f>
        <v>#DIV/0!</v>
      </c>
      <c r="O139" s="8" t="e">
        <f>表格1_3[[#This Row],[複評平均]]</f>
        <v>#DIV/0!</v>
      </c>
      <c r="P139" s="3"/>
      <c r="Q139" s="3"/>
      <c r="R139" s="3"/>
      <c r="S139" s="3"/>
      <c r="T139" s="3"/>
      <c r="U139" s="3"/>
      <c r="V139" s="3"/>
    </row>
    <row r="140" spans="1:24" hidden="1">
      <c r="A140" s="10" t="s">
        <v>383</v>
      </c>
      <c r="B140" s="5" t="s">
        <v>257</v>
      </c>
      <c r="C140" s="4" t="s">
        <v>122</v>
      </c>
      <c r="D140" s="6" t="s">
        <v>279</v>
      </c>
      <c r="E140" s="4" t="s">
        <v>301</v>
      </c>
      <c r="F140" s="4" t="s">
        <v>120</v>
      </c>
      <c r="G140" s="41" t="e">
        <f>表格1_18[[#This Row],[加權後總分]]-表格1_18[[#This Row],[獎懲分數]]</f>
        <v>#DIV/0!</v>
      </c>
      <c r="H140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40" s="39" t="e">
        <f t="shared" si="16"/>
        <v>#DIV/0!</v>
      </c>
      <c r="J140" s="36" t="e">
        <f>IF(
AND(M140&lt;&gt;"",N140&lt;&gt;"",O140&lt;&gt;""),
M140*20% + N140*50% + O140*30%,
IF(
AND(M140&lt;&gt;"",N140="",O140=""),
M140,
IF(
AND(M140="",N140&lt;&gt;"",O140=""),
N140,
IF(
AND(M140="",N140="",O140&lt;&gt;""),
O140,
IF(
AND(M140&lt;&gt;"",N140&lt;&gt;"",O140=""),
M140/(20%+50%)*20% + N140/(20%+50%)*50%,
IF(
AND(M140&lt;&gt;"",N140="",O140&lt;&gt;""),
M140/(20%+30%)*20% + O140/(20%+30%)*30%,
IF(
AND(M140="",N140&lt;&gt;"",O140&lt;&gt;""),
N140/(50%+30%)*50% + O140/(50%+30%)*30%,
""
)
)
)
)
)
) + V140
)</f>
        <v>#DIV/0!</v>
      </c>
      <c r="K140" s="23" t="e">
        <f>IF(J140&gt;=90,"A",
 IF(J140&gt;=80,"B",
 IF(J140&gt;=70,"C",
 IF(J140&gt;=60,"D","E"))))</f>
        <v>#DIV/0!</v>
      </c>
      <c r="L140" s="8" t="e">
        <f t="shared" si="17"/>
        <v>#DIV/0!</v>
      </c>
      <c r="M140" s="8" t="e">
        <f>表格1_3[[#This Row],[部內平均]]</f>
        <v>#DIV/0!</v>
      </c>
      <c r="N140" s="8" t="e">
        <f>表格1_3[[#This Row],[共評平均]]</f>
        <v>#DIV/0!</v>
      </c>
      <c r="O140" s="8"/>
      <c r="P140" s="3"/>
      <c r="Q140" s="3"/>
      <c r="R140" s="3">
        <v>1</v>
      </c>
      <c r="S140" s="3"/>
      <c r="T140" s="3"/>
      <c r="U140" s="3"/>
      <c r="V140" s="3">
        <v>27</v>
      </c>
    </row>
    <row r="141" spans="1:24">
      <c r="A141" s="10" t="s">
        <v>383</v>
      </c>
      <c r="B141" s="5" t="s">
        <v>259</v>
      </c>
      <c r="C141" s="13" t="s">
        <v>124</v>
      </c>
      <c r="D141" s="6" t="s">
        <v>280</v>
      </c>
      <c r="E141" s="4" t="s">
        <v>281</v>
      </c>
      <c r="F141" s="4" t="s">
        <v>126</v>
      </c>
      <c r="G141" s="41" t="e">
        <f>表格1_18[[#This Row],[加權後總分]]-表格1_18[[#This Row],[獎懲分數]]</f>
        <v>#DIV/0!</v>
      </c>
      <c r="H141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41" s="39" t="e">
        <f t="shared" si="16"/>
        <v>#DIV/0!</v>
      </c>
      <c r="J141" s="36" t="e">
        <f>IF(
AND(M141&lt;&gt;"",N141&lt;&gt;"",O141&lt;&gt;""),
M141*20% + N141*50% + O141*30%,
IF(
AND(M141&lt;&gt;"",N141="",O141=""),
M141,
IF(
AND(M141="",N141&lt;&gt;"",O141=""),
N141,
IF(
AND(M141="",N141="",O141&lt;&gt;""),
O141,
IF(
AND(M141&lt;&gt;"",N141&lt;&gt;"",O141=""),
M141/(20%+50%)*20% + N141/(20%+50%)*50%,
IF(
AND(M141&lt;&gt;"",N141="",O141&lt;&gt;""),
M141/(20%+30%)*20% + O141/(20%+30%)*30%,
IF(
AND(M141="",N141&lt;&gt;"",O141&lt;&gt;""),
N141/(50%+30%)*50% + O141/(50%+30%)*30%,
""
)
)
)
)
)
) + V141
)</f>
        <v>#DIV/0!</v>
      </c>
      <c r="K141" s="23" t="e">
        <f>IF(J141&gt;=90,"A",
 IF(J141&gt;=80,"B",
 IF(J141&gt;=70,"C",
 IF(J141&gt;=60,"D","E"))))</f>
        <v>#DIV/0!</v>
      </c>
      <c r="L141" s="8" t="e">
        <f t="shared" si="17"/>
        <v>#DIV/0!</v>
      </c>
      <c r="M141" s="8" t="e">
        <f>表格1_3[[#This Row],[部內平均]]</f>
        <v>#DIV/0!</v>
      </c>
      <c r="N141" s="8" t="e">
        <f>表格1_3[[#This Row],[共評平均]]</f>
        <v>#DIV/0!</v>
      </c>
      <c r="O141" s="8" t="e">
        <f>表格1_3[[#This Row],[複評平均]]</f>
        <v>#DIV/0!</v>
      </c>
      <c r="P141" s="3"/>
      <c r="Q141" s="3"/>
      <c r="R141" s="3"/>
      <c r="S141" s="3"/>
      <c r="T141" s="3"/>
      <c r="U141" s="3"/>
      <c r="V141" s="3"/>
    </row>
    <row r="142" spans="1:24" hidden="1">
      <c r="A142" s="10" t="s">
        <v>336</v>
      </c>
      <c r="B142" s="5" t="s">
        <v>260</v>
      </c>
      <c r="C142" s="4" t="s">
        <v>125</v>
      </c>
      <c r="D142" s="6" t="s">
        <v>280</v>
      </c>
      <c r="E142" s="4" t="s">
        <v>288</v>
      </c>
      <c r="F142" s="4" t="s">
        <v>120</v>
      </c>
      <c r="G142" s="41"/>
      <c r="H142" s="39" t="str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E</v>
      </c>
      <c r="I142" s="39" t="e">
        <f t="shared" si="16"/>
        <v>#DIV/0!</v>
      </c>
      <c r="J142" s="36"/>
      <c r="K142" s="23"/>
      <c r="L142" s="8"/>
      <c r="M142" s="8" t="e">
        <f>表格1_3[[#This Row],[部內平均]]</f>
        <v>#DIV/0!</v>
      </c>
      <c r="N142" s="8" t="e">
        <f>表格1_3[[#This Row],[共評平均]]</f>
        <v>#DIV/0!</v>
      </c>
      <c r="O142" s="8" t="e">
        <f>表格1_3[[#This Row],[複評平均]]</f>
        <v>#DIV/0!</v>
      </c>
      <c r="P142" s="3"/>
      <c r="Q142" s="3"/>
      <c r="R142" s="3"/>
      <c r="S142" s="3"/>
      <c r="T142" s="3"/>
      <c r="U142" s="3"/>
      <c r="V142" s="3"/>
    </row>
    <row r="143" spans="1:24" hidden="1">
      <c r="B143" s="5" t="s">
        <v>258</v>
      </c>
      <c r="C143" s="4" t="s">
        <v>123</v>
      </c>
      <c r="D143" s="6" t="s">
        <v>280</v>
      </c>
      <c r="E143" s="4" t="s">
        <v>302</v>
      </c>
      <c r="F143" s="4" t="s">
        <v>332</v>
      </c>
      <c r="G143" s="41" t="e">
        <f>表格1_18[[#This Row],[加權後總分]]-表格1_18[[#This Row],[獎懲分數]]</f>
        <v>#DIV/0!</v>
      </c>
      <c r="H143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43" s="39" t="e">
        <f t="shared" si="16"/>
        <v>#DIV/0!</v>
      </c>
      <c r="J143" s="36" t="e">
        <f>IF(
AND(M143&lt;&gt;"",N143&lt;&gt;"",O143&lt;&gt;""),
M143*20% + N143*50% + O143*30%,
IF(
AND(M143&lt;&gt;"",N143="",O143=""),
M143,
IF(
AND(M143="",N143&lt;&gt;"",O143=""),
N143,
IF(
AND(M143="",N143="",O143&lt;&gt;""),
O143,
IF(
AND(M143&lt;&gt;"",N143&lt;&gt;"",O143=""),
M143/(20%+50%)*20% + N143/(20%+50%)*50%,
IF(
AND(M143&lt;&gt;"",N143="",O143&lt;&gt;""),
M143/(20%+30%)*20% + O143/(20%+30%)*30%,
IF(
AND(M143="",N143&lt;&gt;"",O143&lt;&gt;""),
N143/(50%+30%)*50% + O143/(50%+30%)*30%,
""
)
)
)
)
)
) + V143
)</f>
        <v>#DIV/0!</v>
      </c>
      <c r="K143" s="23" t="e">
        <f>IF(J143&gt;=90,"A",
 IF(J143&gt;=80,"B",
 IF(J143&gt;=70,"C",
 IF(J143&gt;=60,"D","E"))))</f>
        <v>#DIV/0!</v>
      </c>
      <c r="L143" s="8" t="e">
        <f t="shared" si="17"/>
        <v>#DIV/0!</v>
      </c>
      <c r="M143" s="8" t="e">
        <f>表格1_3[[#This Row],[部內平均]]</f>
        <v>#DIV/0!</v>
      </c>
      <c r="N143" s="8"/>
      <c r="O143" s="8"/>
      <c r="P143" s="3"/>
      <c r="Q143" s="3"/>
      <c r="R143" s="3"/>
      <c r="S143" s="3"/>
      <c r="T143" s="3"/>
      <c r="U143" s="3"/>
      <c r="V143" s="3"/>
    </row>
    <row r="144" spans="1:24" hidden="1">
      <c r="A144" s="10" t="s">
        <v>383</v>
      </c>
      <c r="B144" s="5" t="s">
        <v>261</v>
      </c>
      <c r="C144" s="4" t="s">
        <v>126</v>
      </c>
      <c r="D144" s="6" t="s">
        <v>280</v>
      </c>
      <c r="E144" s="4" t="s">
        <v>281</v>
      </c>
      <c r="F144" s="4" t="s">
        <v>51</v>
      </c>
      <c r="G144" s="41" t="e">
        <f>表格1_18[[#This Row],[加權後總分]]-表格1_18[[#This Row],[獎懲分數]]</f>
        <v>#DIV/0!</v>
      </c>
      <c r="H144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44" s="39" t="e">
        <f t="shared" si="16"/>
        <v>#DIV/0!</v>
      </c>
      <c r="J144" s="36" t="e">
        <f>IF(
AND(M144&lt;&gt;"",N144&lt;&gt;"",O144&lt;&gt;""),
M144*20% + N144*50% + O144*30%,
IF(
AND(M144&lt;&gt;"",N144="",O144=""),
M144,
IF(
AND(M144="",N144&lt;&gt;"",O144=""),
N144,
IF(
AND(M144="",N144="",O144&lt;&gt;""),
O144,
IF(
AND(M144&lt;&gt;"",N144&lt;&gt;"",O144=""),
M144/(20%+50%)*20% + N144/(20%+50%)*50%,
IF(
AND(M144&lt;&gt;"",N144="",O144&lt;&gt;""),
M144/(20%+30%)*20% + O144/(20%+30%)*30%,
IF(
AND(M144="",N144&lt;&gt;"",O144&lt;&gt;""),
N144/(50%+30%)*50% + O144/(50%+30%)*30%,
""
)
)
)
)
)
) + V144
)</f>
        <v>#DIV/0!</v>
      </c>
      <c r="K144" s="23" t="e">
        <f>IF(J144&gt;=90,"A",
 IF(J144&gt;=80,"B",
 IF(J144&gt;=70,"C",
 IF(J144&gt;=60,"D","E"))))</f>
        <v>#DIV/0!</v>
      </c>
      <c r="L144" s="8" t="e">
        <f t="shared" si="17"/>
        <v>#DIV/0!</v>
      </c>
      <c r="M144" s="8" t="e">
        <f>表格1_3[[#This Row],[部內平均]]</f>
        <v>#DIV/0!</v>
      </c>
      <c r="N144" s="8" t="e">
        <f>表格1_3[[#This Row],[共評平均]]</f>
        <v>#DIV/0!</v>
      </c>
      <c r="O144" s="8"/>
      <c r="P144" s="3"/>
      <c r="Q144" s="3"/>
      <c r="R144" s="3"/>
      <c r="S144" s="3"/>
      <c r="T144" s="3"/>
      <c r="U144" s="3"/>
      <c r="V144" s="3"/>
    </row>
    <row r="145" spans="1:22">
      <c r="A145" s="10" t="s">
        <v>383</v>
      </c>
      <c r="B145" s="5" t="s">
        <v>262</v>
      </c>
      <c r="C145" s="13" t="s">
        <v>127</v>
      </c>
      <c r="D145" s="6" t="s">
        <v>280</v>
      </c>
      <c r="E145" s="4" t="s">
        <v>293</v>
      </c>
      <c r="F145" s="4" t="s">
        <v>119</v>
      </c>
      <c r="G145" s="41" t="e">
        <f>表格1_18[[#This Row],[加權後總分]]-表格1_18[[#This Row],[獎懲分數]]</f>
        <v>#DIV/0!</v>
      </c>
      <c r="H145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45" s="39" t="e">
        <f t="shared" si="16"/>
        <v>#DIV/0!</v>
      </c>
      <c r="J145" s="36" t="e">
        <f>IF(
AND(M145&lt;&gt;"",N145&lt;&gt;"",O145&lt;&gt;""),
M145*20% + N145*50% + O145*30%,
IF(
AND(M145&lt;&gt;"",N145="",O145=""),
M145,
IF(
AND(M145="",N145&lt;&gt;"",O145=""),
N145,
IF(
AND(M145="",N145="",O145&lt;&gt;""),
O145,
IF(
AND(M145&lt;&gt;"",N145&lt;&gt;"",O145=""),
M145/(20%+50%)*20% + N145/(20%+50%)*50%,
IF(
AND(M145&lt;&gt;"",N145="",O145&lt;&gt;""),
M145/(20%+30%)*20% + O145/(20%+30%)*30%,
IF(
AND(M145="",N145&lt;&gt;"",O145&lt;&gt;""),
N145/(50%+30%)*50% + O145/(50%+30%)*30%,
""
)
)
)
)
)
) + V145
)</f>
        <v>#DIV/0!</v>
      </c>
      <c r="K145" s="23" t="e">
        <f>IF(J145&gt;=90,"A",
 IF(J145&gt;=80,"B",
 IF(J145&gt;=70,"C",
 IF(J145&gt;=60,"D","E"))))</f>
        <v>#DIV/0!</v>
      </c>
      <c r="L145" s="8" t="e">
        <f t="shared" si="17"/>
        <v>#DIV/0!</v>
      </c>
      <c r="M145" s="8" t="e">
        <f>表格1_3[[#This Row],[部內平均]]</f>
        <v>#DIV/0!</v>
      </c>
      <c r="N145" s="8" t="e">
        <f>表格1_3[[#This Row],[共評平均]]</f>
        <v>#DIV/0!</v>
      </c>
      <c r="O145" s="8" t="e">
        <f>表格1_3[[#This Row],[複評平均]]</f>
        <v>#DIV/0!</v>
      </c>
      <c r="P145" s="3"/>
      <c r="Q145" s="3"/>
      <c r="R145" s="3"/>
      <c r="S145" s="3"/>
      <c r="T145" s="3"/>
      <c r="U145" s="3"/>
      <c r="V145" s="3"/>
    </row>
    <row r="146" spans="1:22" ht="26">
      <c r="A146" s="10" t="s">
        <v>380</v>
      </c>
      <c r="B146" s="5" t="s">
        <v>263</v>
      </c>
      <c r="C146" s="4" t="s">
        <v>128</v>
      </c>
      <c r="D146" s="6" t="s">
        <v>280</v>
      </c>
      <c r="E146" s="4" t="s">
        <v>303</v>
      </c>
      <c r="F146" s="4" t="s">
        <v>93</v>
      </c>
      <c r="G146" s="41" t="e">
        <f>表格1_18[[#This Row],[加權後總分]]-表格1_18[[#This Row],[獎懲分數]]</f>
        <v>#DIV/0!</v>
      </c>
      <c r="H146" s="39" t="e">
        <f>IF(表格1_18[[#This Row],[不包含獎懲總分]]&gt;=90,"A",
 IF(表格1_18[[#This Row],[不包含獎懲總分]]&gt;=80,"B",
 IF(表格1_18[[#This Row],[不包含獎懲總分]]&gt;=70,"C",
 IF(表格1_18[[#This Row],[不包含獎懲總分]]&gt;=60,"D","E"))))</f>
        <v>#DIV/0!</v>
      </c>
      <c r="I146" s="39" t="e">
        <f t="shared" si="16"/>
        <v>#DIV/0!</v>
      </c>
      <c r="J146" s="36" t="e">
        <f>IF(
AND(M146&lt;&gt;"",N146&lt;&gt;"",O146&lt;&gt;""),
M146*20% + N146*50% + O146*30%,
IF(
AND(M146&lt;&gt;"",N146="",O146=""),
M146,
IF(
AND(M146="",N146&lt;&gt;"",O146=""),
N146,
IF(
AND(M146="",N146="",O146&lt;&gt;""),
O146,
IF(
AND(M146&lt;&gt;"",N146&lt;&gt;"",O146=""),
M146/(20%+50%)*20% + N146/(20%+50%)*50%,
IF(
AND(M146&lt;&gt;"",N146="",O146&lt;&gt;""),
M146/(20%+30%)*20% + O146/(20%+30%)*30%,
IF(
AND(M146="",N146&lt;&gt;"",O146&lt;&gt;""),
N146/(50%+30%)*50% + O146/(50%+30%)*30%,
""
)
)
)
)
)
) + V146
)</f>
        <v>#DIV/0!</v>
      </c>
      <c r="K146" s="23" t="e">
        <f>IF(J146&gt;=90,"A",
 IF(J146&gt;=80,"B",
 IF(J146&gt;=70,"C",
 IF(J146&gt;=60,"D","E"))))</f>
        <v>#DIV/0!</v>
      </c>
      <c r="L146" s="8" t="e">
        <f t="shared" si="17"/>
        <v>#DIV/0!</v>
      </c>
      <c r="M146" s="8" t="e">
        <f>表格1_3[[#This Row],[部內平均]]</f>
        <v>#DIV/0!</v>
      </c>
      <c r="N146" s="8" t="e">
        <f>表格1_3[[#This Row],[共評平均]]</f>
        <v>#DIV/0!</v>
      </c>
      <c r="O146" s="8">
        <v>67.8</v>
      </c>
      <c r="P146" s="3">
        <v>1</v>
      </c>
      <c r="Q146" s="3"/>
      <c r="R146" s="3"/>
      <c r="S146" s="3"/>
      <c r="T146" s="3"/>
      <c r="U146" s="3"/>
      <c r="V146" s="3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等級分配表</vt:lpstr>
      <vt:lpstr>名次排序</vt:lpstr>
      <vt:lpstr>包含獎懲等級分配</vt:lpstr>
      <vt:lpstr>員工資料</vt:lpstr>
      <vt:lpstr>計算成績</vt:lpstr>
      <vt:lpstr>員工資料 (2)</vt:lpstr>
      <vt:lpstr>面談名單</vt:lpstr>
      <vt:lpstr>工作表1</vt:lpstr>
      <vt:lpstr>員工資料 (3)</vt:lpstr>
      <vt:lpstr>員工資料 (4)</vt:lpstr>
      <vt:lpstr>員工資料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2025-11-17T00:59:23Z</cp:lastPrinted>
  <dcterms:created xsi:type="dcterms:W3CDTF">2025-11-17T00:30:14Z</dcterms:created>
  <dcterms:modified xsi:type="dcterms:W3CDTF">2026-05-20T03:29:31Z</dcterms:modified>
</cp:coreProperties>
</file>