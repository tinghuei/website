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行政部內共評" sheetId="1" state="visible" r:id="rId1"/>
    <sheet name="跨部門共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軟正黑體"/>
      <charset val="136"/>
      <family val="2"/>
      <b val="1"/>
      <sz val="12"/>
    </font>
    <font>
      <name val="微軟正黑體"/>
      <charset val="136"/>
      <family val="2"/>
      <sz val="12"/>
    </font>
    <font>
      <name val="新細明體"/>
      <charset val="136"/>
      <family val="2"/>
      <color theme="1"/>
      <sz val="12"/>
      <scheme val="minor"/>
    </font>
    <font>
      <name val="微軟正黑體"/>
      <charset val="136"/>
      <family val="2"/>
      <sz val="8"/>
    </font>
    <font>
      <name val="微軟正黑體"/>
      <charset val="136"/>
      <family val="2"/>
      <b val="1"/>
      <sz val="18"/>
    </font>
    <font>
      <name val="微軟正黑體"/>
      <charset val="136"/>
      <family val="2"/>
      <color rgb="FFFF0000"/>
      <sz val="12"/>
    </font>
  </fonts>
  <fills count="10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/>
    </xf>
    <xf numFmtId="0" fontId="2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4" fillId="2" borderId="0" applyAlignment="1" pivotButton="0" quotePrefix="0" xfId="0">
      <alignment vertical="center" wrapText="1"/>
    </xf>
    <xf numFmtId="0" fontId="4" fillId="2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4" fillId="2" borderId="0" applyAlignment="1" applyProtection="1" pivotButton="0" quotePrefix="0" xfId="0">
      <alignment vertical="center" wrapText="1"/>
      <protection locked="0" hidden="0"/>
    </xf>
    <xf numFmtId="0" fontId="4" fillId="5" borderId="0" applyAlignment="1" pivotButton="0" quotePrefix="0" xfId="0">
      <alignment horizontal="left" vertical="center" wrapText="1"/>
    </xf>
    <xf numFmtId="0" fontId="4" fillId="5" borderId="0" applyAlignment="1" applyProtection="1" pivotButton="0" quotePrefix="0" xfId="0">
      <alignment vertical="center" wrapText="1"/>
      <protection locked="0" hidden="0"/>
    </xf>
    <xf numFmtId="0" fontId="4" fillId="2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 wrapText="1"/>
    </xf>
    <xf numFmtId="0" fontId="4" fillId="0" borderId="0" applyAlignment="1" applyProtection="1" pivotButton="0" quotePrefix="0" xfId="0">
      <alignment vertical="center" wrapText="1"/>
      <protection locked="0" hidden="0"/>
    </xf>
    <xf numFmtId="0" fontId="4" fillId="2" borderId="0" applyAlignment="1" pivotButton="0" quotePrefix="0" xfId="0">
      <alignment horizontal="center" vertical="center" wrapText="1"/>
    </xf>
    <xf numFmtId="0" fontId="2" fillId="0" borderId="6" applyAlignment="1" applyProtection="1" pivotButton="0" quotePrefix="0" xfId="0">
      <alignment vertical="center"/>
      <protection locked="0" hidden="0"/>
    </xf>
    <xf numFmtId="0" fontId="2" fillId="6" borderId="0" applyAlignment="1" pivotButton="0" quotePrefix="0" xfId="0">
      <alignment vertical="center" wrapText="1"/>
    </xf>
    <xf numFmtId="0" fontId="5" fillId="6" borderId="0" applyAlignment="1" pivotButton="0" quotePrefix="0" xfId="0">
      <alignment horizontal="center" vertical="center"/>
    </xf>
    <xf numFmtId="0" fontId="2" fillId="6" borderId="0" applyAlignment="1" applyProtection="1" pivotButton="0" quotePrefix="0" xfId="0">
      <alignment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4" fillId="7" borderId="0" applyAlignment="1" pivotButton="0" quotePrefix="0" xfId="0">
      <alignment vertical="center"/>
    </xf>
    <xf numFmtId="0" fontId="4" fillId="7" borderId="0" applyAlignment="1" pivotButton="0" quotePrefix="0" xfId="0">
      <alignment vertical="center" wrapText="1"/>
    </xf>
    <xf numFmtId="0" fontId="2" fillId="9" borderId="8" applyAlignment="1" pivotButton="0" quotePrefix="0" xfId="0">
      <alignment horizontal="center" vertical="center"/>
    </xf>
    <xf numFmtId="0" fontId="4" fillId="7" borderId="8" applyAlignment="1" pivotButton="0" quotePrefix="0" xfId="0">
      <alignment horizontal="left" vertical="center" wrapText="1"/>
    </xf>
    <xf numFmtId="0" fontId="0" fillId="0" borderId="8" pivotButton="0" quotePrefix="0" xfId="0"/>
    <xf numFmtId="0" fontId="4" fillId="7" borderId="8" applyAlignment="1" applyProtection="1" pivotButton="0" quotePrefix="0" xfId="0">
      <alignment vertical="center" wrapText="1"/>
      <protection locked="0" hidden="0"/>
    </xf>
    <xf numFmtId="0" fontId="4" fillId="7" borderId="7" applyAlignment="1" pivotButton="0" quotePrefix="0" xfId="0">
      <alignment vertical="center" wrapText="1"/>
    </xf>
    <xf numFmtId="0" fontId="4" fillId="7" borderId="7" applyAlignment="1" pivotButton="0" quotePrefix="0" xfId="0">
      <alignment horizontal="left" vertical="center" wrapText="1"/>
    </xf>
    <xf numFmtId="0" fontId="2" fillId="9" borderId="0" applyAlignment="1" pivotButton="0" quotePrefix="0" xfId="0">
      <alignment horizontal="center" vertical="center" wrapText="1"/>
    </xf>
    <xf numFmtId="0" fontId="4" fillId="7" borderId="0" applyAlignment="1" applyProtection="1" pivotButton="0" quotePrefix="0" xfId="0">
      <alignment vertical="center" wrapText="1"/>
      <protection locked="0" hidden="0"/>
    </xf>
    <xf numFmtId="0" fontId="2" fillId="6" borderId="0" applyAlignment="1" pivotButton="0" quotePrefix="0" xfId="0">
      <alignment vertical="center"/>
    </xf>
    <xf numFmtId="0" fontId="6" fillId="6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22" customWidth="1" min="1" max="1"/>
    <col width="57.36328125" customWidth="1" min="2" max="2"/>
    <col width="32.36328125" customWidth="1" min="3" max="3"/>
    <col width="23.36328125" customWidth="1" min="4" max="4"/>
    <col width="8.7265625" customWidth="1" min="5" max="5"/>
  </cols>
  <sheetData>
    <row r="1" ht="16" customHeight="1">
      <c r="A1" s="1" t="inlineStr">
        <is>
          <t>樂聯工業股份有限公司</t>
        </is>
      </c>
    </row>
    <row r="2" ht="16" customHeight="1">
      <c r="A2" s="2" t="inlineStr">
        <is>
          <t>2025年度 年終 績效考核部內共同評分表(非主管職)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57.5" customHeight="1">
      <c r="A5" t="inlineStr">
        <is>
          <t>財務部</t>
        </is>
      </c>
      <c r="B5" t="inlineStr">
        <is>
          <t>王美婷</t>
        </is>
      </c>
      <c r="C5" s="3">
        <f>COUNTIF(D6:P6,"&lt;&gt;")</f>
        <v/>
      </c>
    </row>
    <row r="6" ht="32" customHeight="1">
      <c r="A6" s="4" t="inlineStr">
        <is>
          <t>受評者姓名</t>
        </is>
      </c>
      <c r="B6" s="5" t="n"/>
      <c r="C6" s="5" t="n"/>
      <c r="D6" s="6" t="inlineStr">
        <is>
          <t>孫素琴</t>
        </is>
      </c>
      <c r="E6" s="7" t="inlineStr">
        <is>
          <t>陳燕華</t>
        </is>
      </c>
      <c r="F6" s="7" t="n"/>
      <c r="G6" s="7" t="n"/>
      <c r="H6" s="7" t="n"/>
      <c r="I6" s="7" t="n"/>
    </row>
    <row r="7" ht="36.5" customHeight="1">
      <c r="A7" s="8" t="inlineStr">
        <is>
          <t>占比</t>
        </is>
      </c>
      <c r="B7" s="8" t="inlineStr">
        <is>
          <t>題目</t>
        </is>
      </c>
      <c r="C7" s="9" t="inlineStr">
        <is>
          <t>評分方式</t>
        </is>
      </c>
      <c r="D7" s="10" t="n"/>
    </row>
    <row r="8" ht="46" customHeight="1">
      <c r="A8" s="11" t="inlineStr">
        <is>
          <t>工作知識20%</t>
        </is>
      </c>
      <c r="B8" s="12" t="inlineStr">
        <is>
          <t xml:space="preserve">對受評者在該單位的專業知識給分 </t>
        </is>
      </c>
      <c r="C8" s="12" t="inlineStr">
        <is>
          <t>0-10</t>
        </is>
      </c>
      <c r="D8" s="13" t="n"/>
      <c r="E8" s="14" t="n"/>
      <c r="F8" s="14" t="n"/>
      <c r="G8" s="14" t="n"/>
    </row>
    <row r="9" ht="39.5" customHeight="1">
      <c r="B9" s="15" t="inlineStr">
        <is>
          <t>【行政】工作項目是否能在工時內完成?</t>
        </is>
      </c>
      <c r="C9" s="16" t="inlineStr">
        <is>
          <t xml:space="preserve">✓準時上下班工作均能完成 (9-10)
✓偶爾加班也能完成工作 (7-8)
✓經常加班來完成工作 (5-6)
✓準時上下班但工作延遲完成 (3-4)
✓雖偶爾加班但工作延遲完成 (1-2)
✓雖經常加班但工作還是延遲完成 (0)
</t>
        </is>
      </c>
      <c r="D9" s="13" t="n"/>
      <c r="E9" s="14" t="n"/>
      <c r="F9" s="14" t="n"/>
      <c r="G9" s="14" t="n"/>
    </row>
    <row r="10" ht="42.5" customHeight="1">
      <c r="B10" s="15" t="inlineStr">
        <is>
          <t>*低於等於2分或高於等於8分，請說明原因：_________________________</t>
        </is>
      </c>
      <c r="C10" s="17" t="n"/>
      <c r="D10" s="13" t="n"/>
      <c r="E10" s="14" t="n"/>
      <c r="F10" s="14" t="n"/>
      <c r="G10" s="14" t="n"/>
    </row>
    <row r="11" ht="113.5" customHeight="1">
      <c r="A11" s="11" t="inlineStr">
        <is>
          <t>團隊溝通協調能力20%</t>
        </is>
      </c>
      <c r="B11" s="18" t="inlineStr">
        <is>
          <t>受評者的溝通協調與配合度</t>
        </is>
      </c>
      <c r="C11" s="19" t="inlineStr">
        <is>
          <t>✓非常願意溝通協調且配合度極高 (16-20)
✓願意溝通協調且配合度高 (12-15)
✓願意溝通協程度尚可且配合度尚可(8-11)
✓經常不願意溝通協調且配合度低 (4-7)
✓非常不願意溝通協調且配合度極低 (0-3)</t>
        </is>
      </c>
      <c r="D11" s="20" t="n"/>
      <c r="E11" s="14" t="n"/>
      <c r="F11" s="14" t="n"/>
      <c r="G11" s="14" t="n"/>
    </row>
    <row r="12" ht="56" customHeight="1">
      <c r="A12" s="11" t="n"/>
      <c r="B12" s="15" t="inlineStr">
        <is>
          <t xml:space="preserve">你對於受評者在會議追蹤事項之執行、回覆與結案管理上，是否能依規定期限完成並有效追蹤事項進度之表現評價為何？
</t>
        </is>
      </c>
      <c r="C12" s="15" t="inlineStr">
        <is>
          <t>10分：會議追蹤事項皆能準時完成並主動追蹤，結案完整無需提醒
7~9分：大多能準時完成，偶有延遲但能主動回覆並完成結案
5~6分：需他人提醒或追蹤後才能完成事項結案
4分以下：經常延遲、未追蹤或未完成結案，影響會議執行成效或跨部門作業效率</t>
        </is>
      </c>
      <c r="D12" s="13" t="n"/>
      <c r="E12" s="14" t="n"/>
      <c r="F12" s="14" t="n"/>
      <c r="G12" s="14" t="n"/>
    </row>
    <row r="13" ht="49.5" customHeight="1">
      <c r="A13" s="11" t="inlineStr">
        <is>
          <t>工作表現30%</t>
        </is>
      </c>
      <c r="B13" s="21" t="inlineStr">
        <is>
          <t>*低於等於4分或高於等於9分，請說明原因：____________________</t>
        </is>
      </c>
      <c r="D13" s="13" t="n"/>
      <c r="E13" s="14" t="n"/>
      <c r="F13" s="14" t="n"/>
      <c r="G13" s="14" t="n"/>
    </row>
    <row r="14" ht="49.5" customHeight="1">
      <c r="B14" s="19" t="inlineStr">
        <is>
          <t>你對於受評者完成工作之品質與完整性評價為何？</t>
        </is>
      </c>
      <c r="C14" s="22" t="inlineStr">
        <is>
          <t>10分：工作完整且品質穩定，可直接使用
7~9分：大致完整，少量修正即可
5~6分：偶有遺漏，需要補充
4分以下：經常缺漏或品質不佳</t>
        </is>
      </c>
      <c r="D14" s="13" t="n"/>
      <c r="E14" s="14" t="n"/>
      <c r="F14" s="14" t="n"/>
      <c r="G14" s="14" t="n"/>
    </row>
    <row r="15" ht="60" customHeight="1">
      <c r="B15" s="23" t="inlineStr">
        <is>
          <t>*低於等於4分或高於等於9分，請說明原因：____________________</t>
        </is>
      </c>
      <c r="D15" s="13" t="n"/>
      <c r="E15" s="14" t="n"/>
      <c r="F15" s="14" t="n"/>
      <c r="G15" s="14" t="n"/>
    </row>
    <row r="16" ht="60" customHeight="1">
      <c r="B16" s="15" t="inlineStr">
        <is>
          <t>你對於受評者在工作目標、交辦事項及時程管理上的達成能力評價為何？</t>
        </is>
      </c>
      <c r="C16" s="24" t="inlineStr">
        <is>
          <t>10分：能有效規劃並穩定達成目標
7~9分：大多能如期完成
5~6分：偶有延誤
4分以下：經常未完成或需他人協助追蹤</t>
        </is>
      </c>
      <c r="D16" s="13" t="n"/>
      <c r="E16" s="14" t="n"/>
      <c r="F16" s="14" t="n"/>
      <c r="G16" s="14" t="n"/>
    </row>
    <row r="17" ht="55" customHeight="1">
      <c r="B17" s="21" t="inlineStr">
        <is>
          <t>*低於等於4分或高於等於9分，請說明原因：____________________</t>
        </is>
      </c>
      <c r="D17" s="13" t="n"/>
      <c r="E17" s="14" t="n"/>
      <c r="F17" s="14" t="n"/>
      <c r="G17" s="14" t="n"/>
    </row>
    <row r="18" ht="55" customHeight="1">
      <c r="A18" s="11" t="n"/>
      <c r="B18" s="25" t="inlineStr">
        <is>
          <t>對於主管交辦事項，受評者是否能正確理解需求、依規範執行並有效完成？</t>
        </is>
      </c>
      <c r="C18" s="26" t="inlineStr">
        <is>
          <t>10分：能主動確認需求並高品質完成
7~9分：大多能獨立完成
5~6分：偶需提醒與修正
4分以下：執行品質不穩定或常需重工</t>
        </is>
      </c>
      <c r="D18" s="13" t="n"/>
      <c r="E18" s="14" t="n"/>
      <c r="F18" s="14" t="n"/>
      <c r="G18" s="14" t="n"/>
    </row>
    <row r="19" ht="49" customHeight="1">
      <c r="A19" s="27" t="inlineStr">
        <is>
          <t>工作態度30%</t>
        </is>
      </c>
      <c r="B19" s="28" t="inlineStr">
        <is>
          <t>*低於等於2分或高於等於9分，請說明原因： _________________________</t>
        </is>
      </c>
      <c r="D19" s="13" t="n"/>
      <c r="E19" s="14" t="n"/>
      <c r="F19" s="14" t="n"/>
      <c r="G19" s="14" t="n"/>
    </row>
    <row r="20" ht="32.5" customHeight="1">
      <c r="B20" s="15" t="inlineStr">
        <is>
          <t>是否願意和受評者一起工作?</t>
        </is>
      </c>
      <c r="C20" s="29" t="inlineStr">
        <is>
          <t>我很願意跟受評者一起工作(15~20)
我還算願意跟受評者一起工作(8~14)
我盡可能不跟受評者一起工作(2~7)
我不願意跟受評者一起工作(0-1)</t>
        </is>
      </c>
      <c r="D20" s="13" t="n"/>
      <c r="E20" s="14" t="n"/>
      <c r="F20" s="14" t="n"/>
      <c r="G20" s="14" t="n"/>
    </row>
    <row r="21" ht="28.5" customHeight="1">
      <c r="B21" s="21" t="inlineStr">
        <is>
          <t>*低於等於3分或最高分，請敘述狀況：_________________________</t>
        </is>
      </c>
      <c r="D21" s="30" t="n"/>
      <c r="E21" s="14" t="n"/>
      <c r="F21" s="14" t="n"/>
      <c r="G21" s="14" t="n"/>
    </row>
    <row r="22" ht="50.5" customHeight="1">
      <c r="B22" s="31" t="n"/>
      <c r="C22" s="32" t="inlineStr">
        <is>
          <t>總分</t>
        </is>
      </c>
      <c r="D22" s="33">
        <f>SUM(D8:D21)</f>
        <v/>
      </c>
      <c r="E22" s="33">
        <f>SUM(E8:E21)</f>
        <v/>
      </c>
      <c r="F22" s="33">
        <f>SUM(F8:F21)</f>
        <v/>
      </c>
      <c r="G22" s="33">
        <f>SUM(G8:G21)</f>
        <v/>
      </c>
    </row>
    <row r="23">
      <c r="D23" s="7">
        <f>IF(OR(
  AND(D22&gt;=90, COUNTIF($D$22:$Z$22, "&gt;=90")/COUNTA($D$22:$Z$22)&gt;0.05),
  AND(D22&gt;=80,D22&lt;=89, (COUNTIF($D$22:$Z$22, "&gt;=80")-COUNTIF($D$22:$Z$22, "&gt;=90"))/COUNTA($D$22:$Z$22)&gt;0.2),
  AND(D22&gt;=70,D22&lt;=79, (COUNTIF($D$22:$Z$22, "&gt;=70")-COUNTIF($D$22:$Z$22, "&gt;=80"))/COUNTA($D$22:$Z$22)&gt;0.4),
  AND(D22&gt;=60,D22&lt;=69, (COUNTIF($D$22:$Z$22, "&gt;=60")-COUNTIF($D$22:$Z$22, "&gt;=70"))/COUNTA($D$22:$Z$22)&gt;0.3),
  AND(D22&lt;=59, COUNTIF($D$22:$Z$22, "&lt;=59")/COUNTA($D$22:$Z$22)&gt;0.05)
), "⚠ 超標！", "")</f>
        <v/>
      </c>
      <c r="E23" s="7">
        <f>IF(OR(
  AND(E22&gt;=90, COUNTIF($D$22:$Z$22, "&gt;=90")/COUNTA($D$22:$Z$22)&gt;0.05),
  AND(E22&gt;=80,E22&lt;=89, (COUNTIF($D$22:$Z$22, "&gt;=80")-COUNTIF($D$22:$Z$22, "&gt;=90"))/COUNTA($D$22:$Z$22)&gt;0.2),
  AND(E22&gt;=70,E22&lt;=79, (COUNTIF($D$22:$Z$22, "&gt;=70")-COUNTIF($D$22:$Z$22, "&gt;=80"))/COUNTA($D$22:$Z$22)&gt;0.4),
  AND(E22&gt;=60,E22&lt;=69, (COUNTIF($D$22:$Z$22, "&gt;=60")-COUNTIF($D$22:$Z$22, "&gt;=70"))/COUNTA($D$22:$Z$22)&gt;0.3),
  AND(E22&lt;=59, COUNTIF($D$22:$Z$22, "&lt;=59")/COUNTA($D$22:$Z$22)&gt;0.05)
), "⚠ 超標！", "")</f>
        <v/>
      </c>
      <c r="F23" s="7">
        <f>IF(OR(
  AND(F22&gt;=90, COUNTIF($D$22:$Z$22, "&gt;=90")/COUNTA($D$22:$Z$22)&gt;0.05),
  AND(F22&gt;=80,F22&lt;=89, (COUNTIF($D$22:$Z$22, "&gt;=80")-COUNTIF($D$22:$Z$22, "&gt;=90"))/COUNTA($D$22:$Z$22)&gt;0.2),
  AND(F22&gt;=70,F22&lt;=79, (COUNTIF($D$22:$Z$22, "&gt;=70")-COUNTIF($D$22:$Z$22, "&gt;=80"))/COUNTA($D$22:$Z$22)&gt;0.4),
  AND(F22&gt;=60,F22&lt;=69, (COUNTIF($D$22:$Z$22, "&gt;=60")-COUNTIF($D$22:$Z$22, "&gt;=70"))/COUNTA($D$22:$Z$22)&gt;0.3),
  AND(F22&lt;=59, COUNTIF($D$22:$Z$22, "&lt;=59")/COUNTA($D$22:$Z$22)&gt;0.05)
), "⚠ 超標！", "")</f>
        <v/>
      </c>
      <c r="G23" s="7">
        <f>IF(OR(
  AND(G22&gt;=90, COUNTIF($D$22:$Z$22, "&gt;=90")/COUNTA($D$22:$Z$22)&gt;0.05),
  AND(G22&gt;=80,G22&lt;=89, (COUNTIF($D$22:$Z$22, "&gt;=80")-COUNTIF($D$22:$Z$22, "&gt;=90"))/COUNTA($D$22:$Z$22)&gt;0.2),
  AND(G22&gt;=70,G22&lt;=79, (COUNTIF($D$22:$Z$22, "&gt;=70")-COUNTIF($D$22:$Z$22, "&gt;=80"))/COUNTA($D$22:$Z$22)&gt;0.4),
  AND(G22&gt;=60,G22&lt;=69, (COUNTIF($D$22:$Z$22, "&gt;=60")-COUNTIF($D$22:$Z$22, "&gt;=70"))/COUNTA($D$22:$Z$22)&gt;0.3),
  AND(G22&lt;=59, COUNTIF($D$22:$Z$22, "&lt;=59")/COUNTA($D$22:$Z$22)&gt;0.05)
), "⚠ 超標！", "")</f>
        <v/>
      </c>
    </row>
  </sheetData>
  <mergeCells count="12">
    <mergeCell ref="C9:C10"/>
    <mergeCell ref="A2:I2"/>
    <mergeCell ref="A8:A10"/>
    <mergeCell ref="C20:C21"/>
    <mergeCell ref="C12:C13"/>
    <mergeCell ref="A6:C6"/>
    <mergeCell ref="A1:I1"/>
    <mergeCell ref="A19:A21"/>
    <mergeCell ref="A13:A17"/>
    <mergeCell ref="C16:C17"/>
    <mergeCell ref="C18:C19"/>
    <mergeCell ref="C14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9"/>
  <sheetViews>
    <sheetView workbookViewId="0">
      <selection activeCell="A1" sqref="A1"/>
    </sheetView>
  </sheetViews>
  <sheetFormatPr baseColWidth="8" defaultRowHeight="15"/>
  <cols>
    <col width="23.54296875" customWidth="1" min="1" max="1"/>
    <col width="57.36328125" customWidth="1" min="2" max="2"/>
    <col width="42.7265625" customWidth="1" min="3" max="3"/>
    <col width="11.08984375" customWidth="1" min="4" max="4"/>
    <col width="8.7265625" customWidth="1" min="5" max="5"/>
  </cols>
  <sheetData>
    <row r="1" ht="16" customHeight="1">
      <c r="A1" s="34" t="inlineStr">
        <is>
          <t>樂聯工業股份有限公司</t>
        </is>
      </c>
    </row>
    <row r="2" ht="16" customHeight="1">
      <c r="A2" s="35" t="inlineStr">
        <is>
          <t>2025年度 年終 績效考核跨部門共同評分表(非主管職)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49" customHeight="1">
      <c r="A5" t="inlineStr">
        <is>
          <t>財務部</t>
        </is>
      </c>
      <c r="B5" t="inlineStr">
        <is>
          <t>王美婷</t>
        </is>
      </c>
      <c r="C5" s="3">
        <f>COUNTIF(D6:P6,"&lt;&gt;")</f>
        <v/>
      </c>
    </row>
    <row r="6" ht="30.5" customHeight="1">
      <c r="A6" s="4" t="inlineStr">
        <is>
          <t>受評者姓名</t>
        </is>
      </c>
      <c r="B6" s="5" t="n"/>
      <c r="C6" s="5" t="n"/>
      <c r="D6" s="7" t="inlineStr">
        <is>
          <t>伍珈彣</t>
        </is>
      </c>
      <c r="E6" s="7" t="inlineStr">
        <is>
          <t>鄭淑鐘</t>
        </is>
      </c>
      <c r="F6" s="7" t="inlineStr">
        <is>
          <t>陳玉慧</t>
        </is>
      </c>
      <c r="G6" s="7" t="inlineStr">
        <is>
          <t>張欽發</t>
        </is>
      </c>
      <c r="H6" s="7" t="inlineStr">
        <is>
          <t>陳福郎</t>
        </is>
      </c>
      <c r="I6" s="7" t="inlineStr">
        <is>
          <t>吳桂梅</t>
        </is>
      </c>
      <c r="J6" t="inlineStr">
        <is>
          <t>蔡欣芸</t>
        </is>
      </c>
      <c r="K6" t="inlineStr">
        <is>
          <t>黃士咸</t>
        </is>
      </c>
      <c r="L6" t="inlineStr">
        <is>
          <t>尹詩婷</t>
        </is>
      </c>
      <c r="M6" t="inlineStr">
        <is>
          <t>李庭慧</t>
        </is>
      </c>
    </row>
    <row r="7">
      <c r="A7" s="36" t="inlineStr">
        <is>
          <t>占比</t>
        </is>
      </c>
      <c r="B7" s="36" t="inlineStr">
        <is>
          <t>題目</t>
        </is>
      </c>
      <c r="C7" s="36" t="inlineStr">
        <is>
          <t>評分方式</t>
        </is>
      </c>
    </row>
    <row r="8" ht="33.5" customHeight="1">
      <c r="A8" s="37" t="inlineStr">
        <is>
          <t>工作知識20%</t>
        </is>
      </c>
      <c r="B8" s="12" t="inlineStr">
        <is>
          <t>公司辦法考核</t>
        </is>
      </c>
      <c r="C8" s="12" t="inlineStr">
        <is>
          <t>根據考核固定成績</t>
        </is>
      </c>
    </row>
    <row r="9" ht="123" customHeight="1">
      <c r="A9" s="37" t="inlineStr">
        <is>
          <t>跨部門溝通協調能力20%</t>
        </is>
      </c>
      <c r="B9" s="38" t="inlineStr">
        <is>
          <t>跨部門協辦時，交代是否清楚？（15 分）</t>
        </is>
      </c>
      <c r="C9" s="39" t="inlineStr">
        <is>
          <t>✓任務交代內容完整（目的、時程、資料、條件）；對方能一次理解；無需再次確認；無誤會或重工。 (13-15)
✓大部分交代清楚；偶有細節不足但不影響進度。 (10-12)
✓資訊常有缺漏；對方需再次詢問後才能理解。(7-9)
✓說明模糊；資料不足；具有高度誤解風險。 (4-6)
✓未交代清楚或資訊錯誤；造成流程延誤、返工或責任互推。 (0-3)</t>
        </is>
      </c>
      <c r="D9" s="3" t="n"/>
    </row>
    <row r="10" ht="58" customHeight="1">
      <c r="A10" s="37" t="n"/>
      <c r="B10" s="25" t="inlineStr">
        <is>
          <t>是否透過正確窗口、不越權、不跳層級？（15 分）</t>
        </is>
      </c>
      <c r="C10" s="26" t="inlineStr">
        <is>
          <t>✓所有跨部門需求皆走正確窗口；不直接跳主管下指令；不跨部門亂交辦；資訊一致且透明。 (13-15)
✓大部分遵守窗口；偶有直接聯繫但不造成誤會。 (10-12)
✓偶爾忽略窗口或跨職掌；造成他人需再次確認。(7-9)
✓常態越權、跳流程；造成資訊混亂與作業延誤。 (4-6)
✓反覆越權、直接指揮他人或跳主管；造成部門衝突或重大錯誤。 (0-3)</t>
        </is>
      </c>
      <c r="D10" s="7" t="n"/>
    </row>
    <row r="11" ht="52" customHeight="1">
      <c r="A11" s="40" t="inlineStr">
        <is>
          <t>跨部門工作表現30%</t>
        </is>
      </c>
      <c r="B11" s="28" t="inlineStr">
        <is>
          <t>*低於等於6分或高於13分，請說明原因：____________________</t>
        </is>
      </c>
      <c r="D11" s="7" t="n"/>
    </row>
    <row r="12" ht="52" customHeight="1">
      <c r="B12" s="39" t="inlineStr">
        <is>
          <t xml:space="preserve">跨部門回覆速度與協作度（15 分）
</t>
        </is>
      </c>
      <c r="C12" s="41" t="inlineStr">
        <is>
          <t>✓回覆迅速（一般案件 30–60 分鐘內）；主動更新進度；積極協作、不推託。 (13-15)
✓回覆通常在當天，偶有延遲但會說明。 (10-12)
✓回覆速度偏慢；常需追催。(7-9)
✓經常延遲且無說明；造成跨部門作業卡住。 (4-6)
✓長期不回覆或拒絕協作；造成重大流程中斷。 (0-3)</t>
        </is>
      </c>
      <c r="D12" s="7" t="n"/>
    </row>
    <row r="13" ht="44.5" customHeight="1">
      <c r="A13" s="42" t="n"/>
      <c r="B13" s="43" t="inlineStr">
        <is>
          <t>*低於等於6分或高於13分，請說明原因：____________________</t>
        </is>
      </c>
      <c r="C13" s="42" t="n"/>
      <c r="D13" s="7" t="n"/>
    </row>
    <row r="14" ht="70" customHeight="1">
      <c r="A14" s="37" t="n"/>
      <c r="B14" s="44" t="inlineStr">
        <is>
          <t>遇到問題時，是否會先查制度流程？（15 分）</t>
        </is>
      </c>
      <c r="C14" s="45" t="inlineStr">
        <is>
          <t xml:space="preserve">✓遇到問題會先查 SOP、流程、辦法，再提出問題；提問前已掌握背景資訊；80% 以上問題能自行依制度解決 (13-15)
✓大部分情況會查制度；偶爾先問人，但提問內容完整。 (10-12)
✓多半直接詢問，僅在提醒下才會查制度。 (7-9)
✓幾乎不查制度；經常造成他人反覆解釋相同內容。 (4-6)
✓完全不查制度；反覆詢問相同問題；造成跨部門延誤或錯誤。 (0-3)
</t>
        </is>
      </c>
      <c r="D14" s="7" t="n"/>
    </row>
    <row r="15" ht="62.5" customHeight="1">
      <c r="A15" s="46" t="inlineStr">
        <is>
          <t>跨部門工作態度
35%</t>
        </is>
      </c>
      <c r="B15" s="47" t="inlineStr">
        <is>
          <t>*低於等於6分或高於等於13分，請說明原因：_________________________</t>
        </is>
      </c>
      <c r="D15" s="7" t="n"/>
    </row>
    <row r="16" ht="62.5" customHeight="1">
      <c r="B16" s="25" t="inlineStr">
        <is>
          <t>資料正確性與完整性（20 分）</t>
        </is>
      </c>
      <c r="C16" s="26" t="inlineStr">
        <is>
          <t>✓資料一次到位、完整正確；無需補件；不造成延誤；正確率 95% 以上。(16-20)
✓偶有小錯但能立即補齊；不影響流程；正確率 85–94% (13-15)
✓常需補件；資料不完整；造成跨部門需再次確認；正確率 70–84%。 (9-12)
✓經常資料錯誤或缺漏；需主管介入；正確率 50–69%。 (4-8)
✓錯誤頻繁；資料重大缺漏；造成流程中斷或退件；正確率 &lt;50%。 (0-3)</t>
        </is>
      </c>
      <c r="D16" s="7" t="n"/>
    </row>
    <row r="17" ht="55" customHeight="1">
      <c r="B17" s="28" t="inlineStr">
        <is>
          <t>*低於等於8分或高於等於16分，請說明原因： _________________________</t>
        </is>
      </c>
      <c r="D17" s="7" t="n"/>
    </row>
    <row r="18" ht="23.5" customHeight="1">
      <c r="C18" s="32" t="inlineStr">
        <is>
          <t>總分</t>
        </is>
      </c>
      <c r="D18" s="48">
        <f>SUM(D8:D17)</f>
        <v/>
      </c>
      <c r="AK18" s="49" t="n"/>
    </row>
    <row r="19">
      <c r="D19" s="7">
        <f>IF(OR(
  AND(D18&gt;=90, COUNTIF($D$18:$Z$18, "&gt;=90")/COUNTA($D$18:$Z$18)&gt;0.05),
  AND(D18&gt;=80,D18&lt;=89, (COUNTIF($D$18:$Z$18, "&gt;=80")-COUNTIF($D$18:$Z$18, "&gt;=90"))/COUNTA($D$18:$Z$18)&gt;0.2),
  AND(D18&gt;=70,D18&lt;=79, (COUNTIF($D$18:$Z$18, "&gt;=70")-COUNTIF($D$18:$Z$18, "&gt;=80"))/COUNTA($D$18:$Z$18)&gt;0.4),
  AND(D18&gt;=60,D18&lt;=69, (COUNTIF($D$18:$Z$18, "&gt;=60")-COUNTIF($D$18:$Z$18, "&gt;=70"))/COUNTA($D$18:$Z$18)&gt;0.3),
  AND(D18&lt;=59, COUNTIF($D$18:$Z$18, "&lt;=59")/COUNTA($D$18:$Z$18)&gt;0.05)
), "⚠ 超標！", "")</f>
        <v/>
      </c>
    </row>
  </sheetData>
  <mergeCells count="9">
    <mergeCell ref="A2:I2"/>
    <mergeCell ref="C12:C13"/>
    <mergeCell ref="A6:C6"/>
    <mergeCell ref="A1:I1"/>
    <mergeCell ref="A11:A13"/>
    <mergeCell ref="A15:A17"/>
    <mergeCell ref="C10:C11"/>
    <mergeCell ref="C16:C17"/>
    <mergeCell ref="C14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2026-06-05T07:21:11Z</dcterms:created>
  <dcterms:modified xsi:type="dcterms:W3CDTF">2026-06-05T07:21:11Z</dcterms:modified>
</cp:coreProperties>
</file>