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尹詩婷</t>
        </is>
      </c>
      <c r="C5" s="3">
        <f>COUNTIF(D6:H6,"&lt;&gt;")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7" t="inlineStr">
        <is>
          <t>鄭景文</t>
        </is>
      </c>
      <c r="F6" s="7" t="inlineStr">
        <is>
          <t>陳佳倫</t>
        </is>
      </c>
      <c r="G6" s="7" t="inlineStr">
        <is>
          <t>黃士咸</t>
        </is>
      </c>
      <c r="H6" s="7" t="inlineStr">
        <is>
          <t>李庭慧</t>
        </is>
      </c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  <c r="H8" s="15" t="n"/>
    </row>
    <row r="9" ht="39.5" customHeight="1">
      <c r="B9" s="16" t="inlineStr">
        <is>
          <t>【行政】工作項目是否能在工時內完成?</t>
        </is>
      </c>
      <c r="C9" s="17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  <c r="H9" s="15" t="n"/>
    </row>
    <row r="10" ht="42.5" customHeight="1">
      <c r="B10" s="16" t="inlineStr">
        <is>
          <t>*低於等於2分或高於等於8分，請說明原因：_________________________</t>
        </is>
      </c>
      <c r="C10" s="18" t="n"/>
      <c r="D10" s="13" t="n"/>
      <c r="E10" s="14" t="n"/>
      <c r="F10" s="14" t="n"/>
      <c r="G10" s="14" t="n"/>
      <c r="H10" s="15" t="n"/>
    </row>
    <row r="11" ht="113.5" customHeight="1">
      <c r="A11" s="11" t="inlineStr">
        <is>
          <t>團隊溝通協調能力20%</t>
        </is>
      </c>
      <c r="B11" s="19" t="inlineStr">
        <is>
          <t>受評者的溝通協調與配合度</t>
        </is>
      </c>
      <c r="C11" s="2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1" t="n"/>
      <c r="E11" s="14" t="n"/>
      <c r="F11" s="14" t="n"/>
      <c r="G11" s="14" t="n"/>
      <c r="H11" s="15" t="n"/>
    </row>
    <row r="12" ht="56" customHeight="1">
      <c r="A12" s="11" t="n"/>
      <c r="B12" s="16" t="inlineStr">
        <is>
          <t xml:space="preserve">你對於受評者在會議追蹤事項之執行、回覆與結案管理上，是否能依規定期限完成並有效追蹤事項進度之表現評價為何？
</t>
        </is>
      </c>
      <c r="C12" s="1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  <c r="H12" s="15" t="n"/>
    </row>
    <row r="13" ht="49.5" customHeight="1">
      <c r="A13" s="11" t="inlineStr">
        <is>
          <t>工作表現30%</t>
        </is>
      </c>
      <c r="B13" s="22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  <c r="H13" s="15" t="n"/>
    </row>
    <row r="14" ht="49.5" customHeight="1">
      <c r="B14" s="20" t="inlineStr">
        <is>
          <t>你對於受評者完成工作之品質與完整性評價為何？</t>
        </is>
      </c>
      <c r="C14" s="23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  <c r="H14" s="15" t="n"/>
    </row>
    <row r="15" ht="60" customHeight="1">
      <c r="B15" s="24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  <c r="H15" s="15" t="n"/>
    </row>
    <row r="16" ht="60" customHeight="1">
      <c r="B16" s="16" t="inlineStr">
        <is>
          <t>你對於受評者在工作目標、交辦事項及時程管理上的達成能力評價為何？</t>
        </is>
      </c>
      <c r="C16" s="25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  <c r="H16" s="15" t="n"/>
    </row>
    <row r="17" ht="55" customHeight="1">
      <c r="B17" s="22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  <c r="H17" s="15" t="n"/>
    </row>
    <row r="18" ht="55" customHeight="1">
      <c r="A18" s="11" t="n"/>
      <c r="B18" s="26" t="inlineStr">
        <is>
          <t>對於主管交辦事項，受評者是否能正確理解需求、依規範執行並有效完成？</t>
        </is>
      </c>
      <c r="C18" s="27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  <c r="H18" s="15" t="n"/>
    </row>
    <row r="19" ht="49" customHeight="1">
      <c r="A19" s="28" t="inlineStr">
        <is>
          <t>工作態度30%</t>
        </is>
      </c>
      <c r="B19" s="29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  <c r="H19" s="15" t="n"/>
    </row>
    <row r="20" ht="32.5" customHeight="1">
      <c r="B20" s="16" t="inlineStr">
        <is>
          <t>是否願意和受評者一起工作?</t>
        </is>
      </c>
      <c r="C20" s="30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  <c r="H20" s="15" t="n"/>
    </row>
    <row r="21" ht="28.5" customHeight="1">
      <c r="B21" s="22" t="inlineStr">
        <is>
          <t>*低於等於3分或最高分，請敘述狀況：_________________________</t>
        </is>
      </c>
      <c r="D21" s="31" t="n"/>
      <c r="E21" s="14" t="n"/>
      <c r="F21" s="14" t="n"/>
      <c r="G21" s="14" t="n"/>
      <c r="H21" s="15" t="n"/>
    </row>
    <row r="22" ht="50.5" customHeight="1">
      <c r="B22" s="32" t="n"/>
      <c r="C22" s="33" t="inlineStr">
        <is>
          <t>總分</t>
        </is>
      </c>
      <c r="D22" s="34">
        <f>SUM(D8:D21)</f>
        <v/>
      </c>
      <c r="E22" s="34">
        <f>SUM(E8:E21)</f>
        <v/>
      </c>
      <c r="F22" s="34">
        <f>SUM(F8:F21)</f>
        <v/>
      </c>
      <c r="G22" s="34">
        <f>SUM(G8:G21)</f>
        <v/>
      </c>
      <c r="H22" s="34">
        <f>SUM(H8:H21)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  <c r="H23" s="7">
        <f>IF(OR(
  AND(H22&gt;=90, COUNTIF($D$22:$Z$22, "&gt;=90")/COUNTA($D$22:$Z$22)&gt;0.05),
  AND(H22&gt;=80,H22&lt;=89, (COUNTIF($D$22:$Z$22, "&gt;=80")-COUNTIF($D$22:$Z$22, "&gt;=90"))/COUNTA($D$22:$Z$22)&gt;0.2),
  AND(H22&gt;=70,H22&lt;=79, (COUNTIF($D$22:$Z$22, "&gt;=70")-COUNTIF($D$22:$Z$22, "&gt;=80"))/COUNTA($D$22:$Z$22)&gt;0.4),
  AND(H22&gt;=60,H22&lt;=69, (COUNTIF($D$22:$Z$22, "&gt;=60")-COUNTIF($D$22:$Z$22, "&gt;=70"))/COUNTA($D$22:$Z$22)&gt;0.3),
  AND(H22&lt;=59,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5" t="inlineStr">
        <is>
          <t>樂聯工業股份有限公司</t>
        </is>
      </c>
    </row>
    <row r="2" ht="16" customHeight="1">
      <c r="A2" s="36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總經理室</t>
        </is>
      </c>
      <c r="B5" t="inlineStr">
        <is>
          <t>尹詩婷</t>
        </is>
      </c>
      <c r="C5" s="3">
        <f>COUNTIF(D6:M6,"&lt;&gt;")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孫素琴</t>
        </is>
      </c>
      <c r="L6" t="inlineStr">
        <is>
          <t>王美婷</t>
        </is>
      </c>
      <c r="M6" t="inlineStr">
        <is>
          <t>陳燕華</t>
        </is>
      </c>
    </row>
    <row r="7">
      <c r="A7" s="37" t="inlineStr">
        <is>
          <t>占比</t>
        </is>
      </c>
      <c r="B7" s="37" t="inlineStr">
        <is>
          <t>題目</t>
        </is>
      </c>
      <c r="C7" s="37" t="inlineStr">
        <is>
          <t>評分方式</t>
        </is>
      </c>
    </row>
    <row r="8" ht="33.5" customHeight="1">
      <c r="A8" s="38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 ht="123" customHeight="1">
      <c r="A9" s="38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 ht="58" customHeight="1">
      <c r="A10" s="38" t="n"/>
      <c r="B10" s="26" t="inlineStr">
        <is>
          <t>是否透過正確窗口、不越權、不跳層級？（15 分）</t>
        </is>
      </c>
      <c r="C10" s="27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 ht="52" customHeight="1">
      <c r="A11" s="42" t="inlineStr">
        <is>
          <t>跨部門工作表現30%</t>
        </is>
      </c>
      <c r="B11" s="29" t="inlineStr">
        <is>
          <t>*低於等於6分或高於13分，請說明原因：____________________</t>
        </is>
      </c>
      <c r="D11" s="14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 ht="70" customHeight="1">
      <c r="A14" s="38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 ht="62.5" customHeight="1">
      <c r="B16" s="26" t="inlineStr">
        <is>
          <t>資料正確性與完整性（20 分）</t>
        </is>
      </c>
      <c r="C16" s="27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 ht="55" customHeight="1">
      <c r="B17" s="29" t="inlineStr">
        <is>
          <t>*低於等於8分或高於等於16分，請說明原因： _________________________</t>
        </is>
      </c>
      <c r="D17" s="14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 ht="23.5" customHeight="1">
      <c r="C18" s="33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