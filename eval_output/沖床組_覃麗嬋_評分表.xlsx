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組長初評班長" sheetId="1" state="visible" r:id="rId1"/>
    <sheet name="現場組長初評&amp;主管複評" sheetId="2" state="visible" r:id="rId2"/>
    <sheet name="組長共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2.72656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績效考組長初評班長評分表(主管職)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COUNTIF(D6:D6,"&lt;&gt;")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李昱鋐</t>
        </is>
      </c>
      <c r="E6" s="6" t="n"/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6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</row>
    <row r="9" ht="76.5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</row>
    <row r="10" ht="61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</row>
    <row r="11" ht="61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</row>
    <row r="12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</row>
    <row r="13" ht="110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</row>
    <row r="14" ht="71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</row>
    <row r="15" ht="27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</row>
    <row r="16" ht="27.5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</row>
    <row r="17">
      <c r="B17" s="18" t="inlineStr">
        <is>
          <t>*低於等於3分或最高分，請敘述狀況：_________________________</t>
        </is>
      </c>
      <c r="D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鄭萍</t>
        </is>
      </c>
      <c r="E6" s="6" t="inlineStr">
        <is>
          <t>蘇英輝</t>
        </is>
      </c>
      <c r="F6" s="6" t="inlineStr">
        <is>
          <t>阿塘</t>
        </is>
      </c>
      <c r="G6" s="6" t="inlineStr">
        <is>
          <t>陳奕廷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0" t="n"/>
      <c r="E8" s="10" t="n"/>
      <c r="F8" s="10" t="n"/>
      <c r="G8" s="10" t="n"/>
    </row>
    <row r="9" ht="41" customHeight="1">
      <c r="A9" s="8" t="n"/>
      <c r="B9" s="13" t="inlineStr">
        <is>
          <t>你對於受評者在日常表現上或各種會議中，對於受評者工作的『正確率』，達成百分比</t>
        </is>
      </c>
      <c r="C9" s="22" t="inlineStr">
        <is>
          <t>10分100%
9分  90%
8分  80%
7分  70%
6分  60%
5分  50%
4分  40%
3分  30%
2分  20%
1分  10%</t>
        </is>
      </c>
      <c r="D9" s="15" t="n"/>
      <c r="E9" s="10" t="n"/>
      <c r="F9" s="10" t="n"/>
      <c r="G9" s="10" t="n"/>
    </row>
    <row r="10" ht="77" customHeight="1">
      <c r="A10" s="8" t="inlineStr">
        <is>
          <t>工作表現40%</t>
        </is>
      </c>
      <c r="B10" s="18" t="inlineStr">
        <is>
          <t>*低於等於4分或高於等於9分，請說明原因：____________________</t>
        </is>
      </c>
      <c r="D10" s="10" t="n"/>
      <c r="E10" s="10" t="n"/>
      <c r="F10" s="10" t="n"/>
      <c r="G10" s="10" t="n"/>
    </row>
    <row r="11" ht="77" customHeight="1">
      <c r="B11" s="11" t="inlineStr">
        <is>
          <t>你對於受評者在日常表現上或各種會議中，對於受評者工作的『完成度』，達成百分比</t>
        </is>
      </c>
      <c r="C11" s="11" t="inlineStr">
        <is>
          <t>10分100%
9分  90%
8分  80%
7分  70%
6分  60%
5分  50%
4分  40%
3分  30%
2分  20%
1分  10%</t>
        </is>
      </c>
      <c r="D11" s="15" t="n"/>
      <c r="E11" s="10" t="n"/>
      <c r="F11" s="10" t="n"/>
      <c r="G11" s="10" t="n"/>
    </row>
    <row r="12" ht="38.5" customHeight="1">
      <c r="B12" s="17" t="inlineStr">
        <is>
          <t>*低於等於4分或高於等於9分，請說明原因：____________________</t>
        </is>
      </c>
      <c r="D12" s="10" t="n"/>
      <c r="E12" s="10" t="n"/>
      <c r="F12" s="10" t="n"/>
      <c r="G12" s="10" t="n"/>
    </row>
    <row r="13" ht="38.5" customHeight="1">
      <c r="B13" s="13" t="inlineStr">
        <is>
          <t>受評者的工作品質</t>
        </is>
      </c>
      <c r="C13" s="13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5" t="n"/>
      <c r="E13" s="10" t="n"/>
      <c r="F13" s="10" t="n"/>
      <c r="G13" s="10" t="n"/>
    </row>
    <row r="14" ht="30.5" customHeight="1">
      <c r="B14" s="18" t="inlineStr">
        <is>
          <t>*低於等於4分或高於等於17分，請說明原因：___________________________</t>
        </is>
      </c>
      <c r="D14" s="10" t="n"/>
      <c r="E14" s="10" t="n"/>
      <c r="F14" s="10" t="n"/>
      <c r="G14" s="10" t="n"/>
    </row>
    <row r="15" ht="30.5" customHeight="1">
      <c r="B15" s="11" t="inlineStr">
        <is>
          <t>【現場】「只限評分現場人員專用」</t>
        </is>
      </c>
      <c r="C15" s="14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5" t="n"/>
      <c r="E15" s="10" t="n"/>
      <c r="F15" s="10" t="n"/>
      <c r="G15" s="10" t="n"/>
    </row>
    <row r="16" ht="42" customHeight="1">
      <c r="B16" s="17" t="inlineStr">
        <is>
          <t>*低於等於3分或高於等於8分，請說明原因：___________________________</t>
        </is>
      </c>
      <c r="D16" s="10" t="n"/>
      <c r="E16" s="10" t="n"/>
      <c r="F16" s="10" t="n"/>
      <c r="G16" s="10" t="n"/>
    </row>
    <row r="17" ht="56.5" customHeight="1">
      <c r="A17" s="8" t="n"/>
      <c r="B17" s="13" t="inlineStr">
        <is>
          <t>你對於受評者在日常任務完成表現</t>
        </is>
      </c>
      <c r="C17" s="2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5" t="n"/>
      <c r="E17" s="10" t="n"/>
      <c r="F17" s="10" t="n"/>
      <c r="G17" s="10" t="n"/>
    </row>
    <row r="18">
      <c r="A18" s="16" t="inlineStr">
        <is>
          <t>工作態度30%</t>
        </is>
      </c>
      <c r="B18" s="18" t="inlineStr">
        <is>
          <t>*低於等於1分或高於等於9分，請說明原因：___________________</t>
        </is>
      </c>
      <c r="D18" s="10" t="n"/>
      <c r="E18" s="10" t="n"/>
      <c r="F18" s="10" t="n"/>
      <c r="G18" s="10" t="n"/>
    </row>
    <row r="19" ht="45.5" customHeight="1">
      <c r="B19" s="11" t="inlineStr">
        <is>
          <t>是否願意和受評者一起工作?</t>
        </is>
      </c>
      <c r="C19" s="11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5" t="n"/>
      <c r="E19" s="10" t="n"/>
      <c r="F19" s="10" t="n"/>
      <c r="G19" s="10" t="n"/>
    </row>
    <row r="20">
      <c r="B20" s="17" t="inlineStr">
        <is>
          <t>*低於等於1分或高於等於9分，請說明原因：__________________</t>
        </is>
      </c>
      <c r="D20" s="10" t="n"/>
      <c r="E20" s="10" t="n"/>
      <c r="F20" s="10" t="n"/>
      <c r="G20" s="10" t="n"/>
    </row>
    <row r="21" ht="50.5" customHeight="1">
      <c r="B21" s="19" t="n"/>
      <c r="C21" s="20" t="inlineStr">
        <is>
          <t>總分</t>
        </is>
      </c>
      <c r="D21" s="21">
        <f>SUM(D8:D20)</f>
        <v/>
      </c>
      <c r="E21" s="21">
        <f>SUM(E8:E20)</f>
        <v/>
      </c>
      <c r="F21" s="21">
        <f>SUM(F8:F20)</f>
        <v/>
      </c>
      <c r="G21" s="21">
        <f>SUM(G8:G20)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  <c r="G22" s="6">
        <f>IF(OR(
  AND(G21&gt;=90, COUNTIF($D$21:$Z$21, "&gt;=90")/COUNTA($D$21:$Z$21)&gt;0.05),
  AND(G21&gt;=80,G21&lt;=89, (COUNTIF($D$21:$Z$21, "&gt;=80")-COUNTIF($D$21:$Z$21, "&gt;=90"))/COUNTA($D$21:$Z$21)&gt;0.2),
  AND(G21&gt;=70,G21&lt;=79, (COUNTIF($D$21:$Z$21, "&gt;=70")-COUNTIF($D$21:$Z$21, "&gt;=80"))/COUNTA($D$21:$Z$21)&gt;0.4),
  AND(G21&gt;=60,G21&lt;=69, (COUNTIF($D$21:$Z$21, "&gt;=60")-COUNTIF($D$21:$Z$21, "&gt;=70"))/COUNTA($D$21:$Z$21)&gt;0.3),
  AND(G21&lt;=59,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沖床組</t>
        </is>
      </c>
      <c r="B5" t="inlineStr">
        <is>
          <t>覃麗嬋</t>
        </is>
      </c>
      <c r="C5" s="3">
        <f>COUNTIF(D6:H6,"&lt;&gt;")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紀佩欣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  <c r="H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  <c r="H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  <c r="H10" s="10" t="n"/>
    </row>
    <row r="11" ht="53" customHeight="1">
      <c r="A11" s="8" t="n"/>
      <c r="B11" s="11" t="inlineStr">
        <is>
          <t>對於主管交辦的任務</t>
        </is>
      </c>
      <c r="C11" s="14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5" t="n"/>
      <c r="E11" s="10" t="n"/>
      <c r="F11" s="10" t="n"/>
      <c r="G11" s="10" t="n"/>
      <c r="H11" s="10" t="n"/>
    </row>
    <row r="12" ht="57.5" customHeight="1">
      <c r="A12" s="16" t="inlineStr">
        <is>
          <t>工作態度
30%</t>
        </is>
      </c>
      <c r="B12" s="17" t="inlineStr">
        <is>
          <t>*低於等於3分或高於等於13分，請說明原因： __________________________</t>
        </is>
      </c>
      <c r="D12" s="10" t="n"/>
      <c r="E12" s="10" t="n"/>
      <c r="F12" s="10" t="n"/>
      <c r="G12" s="10" t="n"/>
      <c r="H12" s="10" t="n"/>
    </row>
    <row r="13" ht="46" customHeight="1">
      <c r="B13" s="13" t="inlineStr">
        <is>
          <t>對於工作任務完成度</t>
        </is>
      </c>
      <c r="C13" s="13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5" t="n"/>
      <c r="E13" s="10" t="n"/>
      <c r="F13" s="10" t="n"/>
      <c r="G13" s="10" t="n"/>
      <c r="H13" s="10" t="n"/>
    </row>
    <row r="14" ht="22" customHeight="1">
      <c r="B14" s="18" t="inlineStr">
        <is>
          <t>*低於等於1或高於等於14分，請說明原因：___________________________</t>
        </is>
      </c>
      <c r="D14" s="10" t="n"/>
      <c r="E14" s="10" t="n"/>
      <c r="F14" s="10" t="n"/>
      <c r="G14" s="10" t="n"/>
      <c r="H14" s="10" t="n"/>
    </row>
    <row r="15" ht="22" customHeight="1">
      <c r="A15" s="8" t="n"/>
      <c r="B15" s="11" t="inlineStr">
        <is>
          <t>※印象中你對受評者在指導與覆核部屬方面，願意給幾分</t>
        </is>
      </c>
      <c r="C15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5" t="n"/>
      <c r="E15" s="10" t="n"/>
      <c r="F15" s="10" t="n"/>
      <c r="G15" s="10" t="n"/>
      <c r="H15" s="10" t="n"/>
    </row>
    <row r="16" ht="50" customHeight="1">
      <c r="A16" s="16" t="inlineStr">
        <is>
          <t>領導統御
30%</t>
        </is>
      </c>
      <c r="B16" s="17" t="inlineStr">
        <is>
          <t>*低於等於6分或高於等於16分，請說明原因：________________</t>
        </is>
      </c>
      <c r="D16" s="10" t="n"/>
      <c r="E16" s="10" t="n"/>
      <c r="F16" s="10" t="n"/>
      <c r="G16" s="10" t="n"/>
      <c r="H16" s="10" t="n"/>
    </row>
    <row r="17" ht="50" customHeight="1">
      <c r="B17" s="13" t="inlineStr">
        <is>
          <t>是否願意和受評者一起工作?</t>
        </is>
      </c>
      <c r="C17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5" t="n"/>
      <c r="E17" s="10" t="n"/>
      <c r="F17" s="10" t="n"/>
      <c r="G17" s="10" t="n"/>
      <c r="H17" s="10" t="n"/>
    </row>
    <row r="18">
      <c r="B18" s="18" t="inlineStr">
        <is>
          <t>*低於等於3分或最高分，請敘述狀況：_________________________</t>
        </is>
      </c>
      <c r="D18" s="10" t="n"/>
      <c r="E18" s="10" t="n"/>
      <c r="F18" s="10" t="n"/>
      <c r="G18" s="10" t="n"/>
      <c r="H18" s="10" t="n"/>
    </row>
    <row r="19" ht="50.5" customHeight="1">
      <c r="B19" s="19" t="n"/>
      <c r="C19" s="20" t="inlineStr">
        <is>
          <t>總分</t>
        </is>
      </c>
      <c r="D19" s="21">
        <f>SUM(D8:D18)</f>
        <v/>
      </c>
      <c r="E19" s="21">
        <f>SUM(E8:E18)</f>
        <v/>
      </c>
      <c r="F19" s="21">
        <f>SUM(F8:F18)</f>
        <v/>
      </c>
      <c r="G19" s="21">
        <f>SUM(G8:G18)</f>
        <v/>
      </c>
      <c r="H19" s="21">
        <f>SUM(H8:H18)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  <c r="F20" s="6">
        <f>IF(OR(
  AND(F19&gt;=90, COUNTIF($D$19:$Z$19, "&gt;=90")/COUNTA($D$19:$Z$19)&gt;0.05),
  AND(F19&gt;=80,F19&lt;=89, (COUNTIF($D$19:$Z$19, "&gt;=80")-COUNTIF($D$19:$Z$19, "&gt;=90"))/COUNTA($D$19:$Z$19)&gt;0.2),
  AND(F19&gt;=70,F19&lt;=79, (COUNTIF($D$19:$Z$19, "&gt;=70")-COUNTIF($D$19:$Z$19, "&gt;=80"))/COUNTA($D$19:$Z$19)&gt;0.4),
  AND(F19&gt;=60,F19&lt;=69, (COUNTIF($D$19:$Z$19, "&gt;=60")-COUNTIF($D$19:$Z$19, "&gt;=70"))/COUNTA($D$19:$Z$19)&gt;0.3),
  AND(F19&lt;=59, COUNTIF($D$19:$Z$19, "&lt;=59")/COUNTA($D$19:$Z$19)&gt;0.05)
), "⚠ 超標！", "")</f>
        <v/>
      </c>
      <c r="G20" s="6">
        <f>IF(OR(
  AND(G19&gt;=90, COUNTIF($D$19:$Z$19, "&gt;=90")/COUNTA($D$19:$Z$19)&gt;0.05),
  AND(G19&gt;=80,G19&lt;=89, (COUNTIF($D$19:$Z$19, "&gt;=80")-COUNTIF($D$19:$Z$19, "&gt;=90"))/COUNTA($D$19:$Z$19)&gt;0.2),
  AND(G19&gt;=70,G19&lt;=79, (COUNTIF($D$19:$Z$19, "&gt;=70")-COUNTIF($D$19:$Z$19, "&gt;=80"))/COUNTA($D$19:$Z$19)&gt;0.4),
  AND(G19&gt;=60,G19&lt;=69, (COUNTIF($D$19:$Z$19, "&gt;=60")-COUNTIF($D$19:$Z$19, "&gt;=70"))/COUNTA($D$19:$Z$19)&gt;0.3),
  AND(G19&lt;=59, COUNTIF($D$19:$Z$19, "&lt;=59")/COUNTA($D$19:$Z$19)&gt;0.05)
), "⚠ 超標！", "")</f>
        <v/>
      </c>
      <c r="H20" s="6">
        <f>IF(OR(
  AND(H19&gt;=90, COUNTIF($D$19:$Z$19, "&gt;=90")/COUNTA($D$19:$Z$19)&gt;0.05),
  AND(H19&gt;=80,H19&lt;=89, (COUNTIF($D$19:$Z$19, "&gt;=80")-COUNTIF($D$19:$Z$19, "&gt;=90"))/COUNTA($D$19:$Z$19)&gt;0.2),
  AND(H19&gt;=70,H19&lt;=79, (COUNTIF($D$19:$Z$19, "&gt;=70")-COUNTIF($D$19:$Z$19, "&gt;=80"))/COUNTA($D$19:$Z$19)&gt;0.4),
  AND(H19&gt;=60,H19&lt;=69, (COUNTIF($D$19:$Z$19, "&gt;=60")-COUNTIF($D$19:$Z$19, "&gt;=70"))/COUNTA($D$19:$Z$19)&gt;0.3),
  AND(H19&lt;=59,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