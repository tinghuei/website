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  <sheet name="跨部門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0" applyProtection="1" pivotButton="0" quotePrefix="0" xfId="0">
      <protection locked="0" hidden="0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2" fillId="0" borderId="0" applyAlignment="1" applyProtection="1" pivotButton="0" quotePrefix="0" xfId="0">
      <alignment horizontal="center" vertical="center"/>
      <protection locked="0" hidden="0"/>
    </xf>
    <xf numFmtId="0" fontId="2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4" fillId="7" borderId="8" applyAlignment="1" applyProtection="1" pivotButton="0" quotePrefix="0" xfId="0">
      <alignment vertical="center" wrapText="1"/>
      <protection locked="0" hidden="0"/>
    </xf>
    <xf numFmtId="0" fontId="4" fillId="7" borderId="7" applyAlignment="1" pivotButton="0" quotePrefix="0" xfId="0">
      <alignment vertical="center" wrapText="1"/>
    </xf>
    <xf numFmtId="0" fontId="4" fillId="7" borderId="7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品保課</t>
        </is>
      </c>
      <c r="B5" t="inlineStr">
        <is>
          <t>周清家</t>
        </is>
      </c>
      <c r="C5" s="3">
        <f>COUNTIF(D6:F6,"&lt;&gt;")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朱冠瑋</t>
        </is>
      </c>
      <c r="E6" s="7" t="inlineStr">
        <is>
          <t>詹郁瑛</t>
        </is>
      </c>
      <c r="F6" s="7" t="inlineStr">
        <is>
          <t>林依婷</t>
        </is>
      </c>
      <c r="G6" s="7" t="n"/>
      <c r="H6" s="7" t="n"/>
      <c r="I6" s="7" t="n"/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</row>
    <row r="9" ht="39.5" customHeight="1">
      <c r="B9" s="15" t="inlineStr">
        <is>
          <t>【行政】工作項目是否能在工時內完成?</t>
        </is>
      </c>
      <c r="C9" s="16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</row>
    <row r="10" ht="42.5" customHeight="1">
      <c r="B10" s="15" t="inlineStr">
        <is>
          <t>*低於等於2分或高於等於8分，請說明原因：_________________________</t>
        </is>
      </c>
      <c r="C10" s="17" t="n"/>
      <c r="D10" s="13" t="n"/>
      <c r="E10" s="14" t="n"/>
      <c r="F10" s="14" t="n"/>
      <c r="G10" s="14" t="n"/>
    </row>
    <row r="11" ht="113.5" customHeight="1">
      <c r="A11" s="11" t="inlineStr">
        <is>
          <t>團隊溝通協調能力20%</t>
        </is>
      </c>
      <c r="B11" s="18" t="inlineStr">
        <is>
          <t>受評者的溝通協調與配合度</t>
        </is>
      </c>
      <c r="C11" s="19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0" t="n"/>
      <c r="E11" s="14" t="n"/>
      <c r="F11" s="14" t="n"/>
      <c r="G11" s="14" t="n"/>
    </row>
    <row r="12" ht="56" customHeight="1">
      <c r="A12" s="11" t="n"/>
      <c r="B12" s="15" t="inlineStr">
        <is>
          <t xml:space="preserve">你對於受評者在會議追蹤事項之執行、回覆與結案管理上，是否能依規定期限完成並有效追蹤事項進度之表現評價為何？
</t>
        </is>
      </c>
      <c r="C12" s="15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</row>
    <row r="13" ht="49.5" customHeight="1">
      <c r="A13" s="11" t="inlineStr">
        <is>
          <t>工作表現30%</t>
        </is>
      </c>
      <c r="B13" s="21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</row>
    <row r="14" ht="49.5" customHeight="1">
      <c r="B14" s="19" t="inlineStr">
        <is>
          <t>你對於受評者完成工作之品質與完整性評價為何？</t>
        </is>
      </c>
      <c r="C14" s="22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</row>
    <row r="15" ht="60" customHeight="1">
      <c r="B15" s="23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</row>
    <row r="16" ht="60" customHeight="1">
      <c r="B16" s="15" t="inlineStr">
        <is>
          <t>你對於受評者在工作目標、交辦事項及時程管理上的達成能力評價為何？</t>
        </is>
      </c>
      <c r="C16" s="24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</row>
    <row r="17" ht="55" customHeight="1">
      <c r="B17" s="21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</row>
    <row r="18" ht="55" customHeight="1">
      <c r="A18" s="11" t="n"/>
      <c r="B18" s="25" t="inlineStr">
        <is>
          <t>對於主管交辦事項，受評者是否能正確理解需求、依規範執行並有效完成？</t>
        </is>
      </c>
      <c r="C18" s="26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</row>
    <row r="19" ht="49" customHeight="1">
      <c r="A19" s="27" t="inlineStr">
        <is>
          <t>工作態度30%</t>
        </is>
      </c>
      <c r="B19" s="28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</row>
    <row r="20" ht="32.5" customHeight="1">
      <c r="B20" s="15" t="inlineStr">
        <is>
          <t>是否願意和受評者一起工作?</t>
        </is>
      </c>
      <c r="C20" s="29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</row>
    <row r="21" ht="28.5" customHeight="1">
      <c r="B21" s="21" t="inlineStr">
        <is>
          <t>*低於等於3分或最高分，請敘述狀況：_________________________</t>
        </is>
      </c>
      <c r="D21" s="30" t="n"/>
      <c r="E21" s="14" t="n"/>
      <c r="F21" s="14" t="n"/>
      <c r="G21" s="14" t="n"/>
    </row>
    <row r="22" ht="50.5" customHeight="1">
      <c r="B22" s="31" t="n"/>
      <c r="C22" s="32" t="inlineStr">
        <is>
          <t>總分</t>
        </is>
      </c>
      <c r="D22" s="33">
        <f>SUM(D8:D21)</f>
        <v/>
      </c>
      <c r="E22" s="33">
        <f>SUM(E8:E21)</f>
        <v/>
      </c>
      <c r="F22" s="33">
        <f>SUM(F8:F21)</f>
        <v/>
      </c>
      <c r="G22" s="33">
        <f>SUM(G8:G21)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23.54296875" customWidth="1" min="1" max="1"/>
    <col width="57.36328125" customWidth="1" min="2" max="2"/>
    <col width="42.7265625" customWidth="1" min="3" max="3"/>
    <col width="11.08984375" customWidth="1" min="4" max="4"/>
    <col width="8.7265625" customWidth="1" min="5" max="5"/>
  </cols>
  <sheetData>
    <row r="1" ht="16" customHeight="1">
      <c r="A1" s="34" t="inlineStr">
        <is>
          <t>樂聯工業股份有限公司</t>
        </is>
      </c>
    </row>
    <row r="2" ht="16" customHeight="1">
      <c r="A2" s="35" t="inlineStr">
        <is>
          <t>2025年度 年終 績效考核跨部門共同評分表(非主管職)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9" customHeight="1">
      <c r="A5" t="inlineStr">
        <is>
          <t>品保課</t>
        </is>
      </c>
      <c r="B5" t="inlineStr">
        <is>
          <t>周清家</t>
        </is>
      </c>
      <c r="C5" s="3">
        <f>COUNTIF(D6:Q6,"&lt;&gt;")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7" t="inlineStr">
        <is>
          <t>王柳琦</t>
        </is>
      </c>
      <c r="E6" s="7" t="inlineStr">
        <is>
          <t>徐惠蘭</t>
        </is>
      </c>
      <c r="F6" s="7" t="inlineStr">
        <is>
          <t>沙洋</t>
        </is>
      </c>
      <c r="G6" s="7" t="inlineStr">
        <is>
          <t>石容瑄</t>
        </is>
      </c>
      <c r="H6" s="7" t="inlineStr">
        <is>
          <t>陳惠萍</t>
        </is>
      </c>
      <c r="I6" s="7" t="inlineStr">
        <is>
          <t>尤念萍</t>
        </is>
      </c>
      <c r="J6" t="inlineStr">
        <is>
          <t>林德和</t>
        </is>
      </c>
      <c r="K6" t="inlineStr">
        <is>
          <t>羅文彥</t>
        </is>
      </c>
      <c r="L6" t="inlineStr">
        <is>
          <t>楊心恬</t>
        </is>
      </c>
      <c r="M6" t="inlineStr">
        <is>
          <t>陳巧倫</t>
        </is>
      </c>
      <c r="N6" t="inlineStr">
        <is>
          <t>郭惠婷</t>
        </is>
      </c>
      <c r="O6" t="inlineStr">
        <is>
          <t>尤秐棠</t>
        </is>
      </c>
      <c r="P6" t="inlineStr">
        <is>
          <t>陳孟怡</t>
        </is>
      </c>
      <c r="Q6" t="inlineStr">
        <is>
          <t>鍾欣芳</t>
        </is>
      </c>
    </row>
    <row r="7">
      <c r="A7" s="36" t="inlineStr">
        <is>
          <t>占比</t>
        </is>
      </c>
      <c r="B7" s="36" t="inlineStr">
        <is>
          <t>題目</t>
        </is>
      </c>
      <c r="C7" s="36" t="inlineStr">
        <is>
          <t>評分方式</t>
        </is>
      </c>
    </row>
    <row r="8" ht="33.5" customHeight="1">
      <c r="A8" s="37" t="inlineStr">
        <is>
          <t>工作知識20%</t>
        </is>
      </c>
      <c r="B8" s="12" t="inlineStr">
        <is>
          <t>公司辦法考核</t>
        </is>
      </c>
      <c r="C8" s="12" t="inlineStr">
        <is>
          <t>根據考核固定成績</t>
        </is>
      </c>
      <c r="D8" s="38" t="n"/>
      <c r="E8" s="38" t="n"/>
      <c r="F8" s="38" t="n"/>
      <c r="G8" s="38" t="n"/>
      <c r="H8" s="38" t="n"/>
      <c r="I8" s="38" t="n"/>
      <c r="J8" s="38" t="n"/>
      <c r="K8" s="38" t="n"/>
      <c r="L8" s="38" t="n"/>
      <c r="M8" s="38" t="n"/>
      <c r="N8" s="38" t="n"/>
      <c r="O8" s="38" t="n"/>
      <c r="P8" s="38" t="n"/>
      <c r="Q8" s="38" t="n"/>
    </row>
    <row r="9" ht="123" customHeight="1">
      <c r="A9" s="37" t="inlineStr">
        <is>
          <t>跨部門溝通協調能力20%</t>
        </is>
      </c>
      <c r="B9" s="39" t="inlineStr">
        <is>
          <t>跨部門協辦時，交代是否清楚？（15 分）</t>
        </is>
      </c>
      <c r="C9" s="40" t="inlineStr">
        <is>
          <t>✓任務交代內容完整（目的、時程、資料、條件）；對方能一次理解；無需再次確認；無誤會或重工。 (13-15)
✓大部分交代清楚；偶有細節不足但不影響進度。 (10-12)
✓資訊常有缺漏；對方需再次詢問後才能理解。(7-9)
✓說明模糊；資料不足；具有高度誤解風險。 (4-6)
✓未交代清楚或資訊錯誤；造成流程延誤、返工或責任互推。 (0-3)</t>
        </is>
      </c>
      <c r="D9" s="41" t="n"/>
      <c r="E9" s="38" t="n"/>
      <c r="F9" s="38" t="n"/>
      <c r="G9" s="38" t="n"/>
      <c r="H9" s="38" t="n"/>
      <c r="I9" s="38" t="n"/>
      <c r="J9" s="38" t="n"/>
      <c r="K9" s="38" t="n"/>
      <c r="L9" s="38" t="n"/>
      <c r="M9" s="38" t="n"/>
      <c r="N9" s="38" t="n"/>
      <c r="O9" s="38" t="n"/>
      <c r="P9" s="38" t="n"/>
      <c r="Q9" s="38" t="n"/>
    </row>
    <row r="10" ht="58" customHeight="1">
      <c r="A10" s="37" t="n"/>
      <c r="B10" s="25" t="inlineStr">
        <is>
          <t>是否透過正確窗口、不越權、不跳層級？（15 分）</t>
        </is>
      </c>
      <c r="C10" s="26" t="inlineStr">
        <is>
          <t>✓所有跨部門需求皆走正確窗口；不直接跳主管下指令；不跨部門亂交辦；資訊一致且透明。 (13-15)
✓大部分遵守窗口；偶有直接聯繫但不造成誤會。 (10-12)
✓偶爾忽略窗口或跨職掌；造成他人需再次確認。(7-9)
✓常態越權、跳流程；造成資訊混亂與作業延誤。 (4-6)
✓反覆越權、直接指揮他人或跳主管；造成部門衝突或重大錯誤。 (0-3)</t>
        </is>
      </c>
      <c r="D10" s="14" t="n"/>
      <c r="E10" s="38" t="n"/>
      <c r="F10" s="38" t="n"/>
      <c r="G10" s="38" t="n"/>
      <c r="H10" s="38" t="n"/>
      <c r="I10" s="38" t="n"/>
      <c r="J10" s="38" t="n"/>
      <c r="K10" s="38" t="n"/>
      <c r="L10" s="38" t="n"/>
      <c r="M10" s="38" t="n"/>
      <c r="N10" s="38" t="n"/>
      <c r="O10" s="38" t="n"/>
      <c r="P10" s="38" t="n"/>
      <c r="Q10" s="38" t="n"/>
    </row>
    <row r="11" ht="52" customHeight="1">
      <c r="A11" s="42" t="inlineStr">
        <is>
          <t>跨部門工作表現30%</t>
        </is>
      </c>
      <c r="B11" s="28" t="inlineStr">
        <is>
          <t>*低於等於6分或高於13分，請說明原因：____________________</t>
        </is>
      </c>
      <c r="D11" s="14" t="n"/>
      <c r="E11" s="38" t="n"/>
      <c r="F11" s="38" t="n"/>
      <c r="G11" s="38" t="n"/>
      <c r="H11" s="38" t="n"/>
      <c r="I11" s="38" t="n"/>
      <c r="J11" s="38" t="n"/>
      <c r="K11" s="38" t="n"/>
      <c r="L11" s="38" t="n"/>
      <c r="M11" s="38" t="n"/>
      <c r="N11" s="38" t="n"/>
      <c r="O11" s="38" t="n"/>
      <c r="P11" s="38" t="n"/>
      <c r="Q11" s="38" t="n"/>
    </row>
    <row r="12" ht="52" customHeight="1">
      <c r="B12" s="40" t="inlineStr">
        <is>
          <t xml:space="preserve">跨部門回覆速度與協作度（15 分）
</t>
        </is>
      </c>
      <c r="C12" s="43" t="inlineStr">
        <is>
          <t>✓回覆迅速（一般案件 30–60 分鐘內）；主動更新進度；積極協作、不推託。 (13-15)
✓回覆通常在當天，偶有延遲但會說明。 (10-12)
✓回覆速度偏慢；常需追催。(7-9)
✓經常延遲且無說明；造成跨部門作業卡住。 (4-6)
✓長期不回覆或拒絕協作；造成重大流程中斷。 (0-3)</t>
        </is>
      </c>
      <c r="D12" s="14" t="n"/>
      <c r="E12" s="38" t="n"/>
      <c r="F12" s="38" t="n"/>
      <c r="G12" s="38" t="n"/>
      <c r="H12" s="38" t="n"/>
      <c r="I12" s="38" t="n"/>
      <c r="J12" s="38" t="n"/>
      <c r="K12" s="38" t="n"/>
      <c r="L12" s="38" t="n"/>
      <c r="M12" s="38" t="n"/>
      <c r="N12" s="38" t="n"/>
      <c r="O12" s="38" t="n"/>
      <c r="P12" s="38" t="n"/>
      <c r="Q12" s="38" t="n"/>
    </row>
    <row r="13" ht="44.5" customHeight="1">
      <c r="A13" s="44" t="n"/>
      <c r="B13" s="45" t="inlineStr">
        <is>
          <t>*低於等於6分或高於13分，請說明原因：____________________</t>
        </is>
      </c>
      <c r="C13" s="44" t="n"/>
      <c r="D13" s="14" t="n"/>
      <c r="E13" s="38" t="n"/>
      <c r="F13" s="38" t="n"/>
      <c r="G13" s="38" t="n"/>
      <c r="H13" s="38" t="n"/>
      <c r="I13" s="38" t="n"/>
      <c r="J13" s="38" t="n"/>
      <c r="K13" s="38" t="n"/>
      <c r="L13" s="38" t="n"/>
      <c r="M13" s="38" t="n"/>
      <c r="N13" s="38" t="n"/>
      <c r="O13" s="38" t="n"/>
      <c r="P13" s="38" t="n"/>
      <c r="Q13" s="38" t="n"/>
    </row>
    <row r="14" ht="70" customHeight="1">
      <c r="A14" s="37" t="n"/>
      <c r="B14" s="46" t="inlineStr">
        <is>
          <t>遇到問題時，是否會先查制度流程？（15 分）</t>
        </is>
      </c>
      <c r="C14" s="47" t="inlineStr">
        <is>
          <t xml:space="preserve">✓遇到問題會先查 SOP、流程、辦法，再提出問題；提問前已掌握背景資訊；80% 以上問題能自行依制度解決 (13-15)
✓大部分情況會查制度；偶爾先問人，但提問內容完整。 (10-12)
✓多半直接詢問，僅在提醒下才會查制度。 (7-9)
✓幾乎不查制度；經常造成他人反覆解釋相同內容。 (4-6)
✓完全不查制度；反覆詢問相同問題；造成跨部門延誤或錯誤。 (0-3)
</t>
        </is>
      </c>
      <c r="D14" s="14" t="n"/>
      <c r="E14" s="38" t="n"/>
      <c r="F14" s="38" t="n"/>
      <c r="G14" s="38" t="n"/>
      <c r="H14" s="38" t="n"/>
      <c r="I14" s="38" t="n"/>
      <c r="J14" s="38" t="n"/>
      <c r="K14" s="38" t="n"/>
      <c r="L14" s="38" t="n"/>
      <c r="M14" s="38" t="n"/>
      <c r="N14" s="38" t="n"/>
      <c r="O14" s="38" t="n"/>
      <c r="P14" s="38" t="n"/>
      <c r="Q14" s="38" t="n"/>
    </row>
    <row r="15" ht="62.5" customHeight="1">
      <c r="A15" s="48" t="inlineStr">
        <is>
          <t>跨部門工作態度
35%</t>
        </is>
      </c>
      <c r="B15" s="49" t="inlineStr">
        <is>
          <t>*低於等於6分或高於等於13分，請說明原因：_________________________</t>
        </is>
      </c>
      <c r="D15" s="14" t="n"/>
      <c r="E15" s="38" t="n"/>
      <c r="F15" s="38" t="n"/>
      <c r="G15" s="38" t="n"/>
      <c r="H15" s="38" t="n"/>
      <c r="I15" s="38" t="n"/>
      <c r="J15" s="38" t="n"/>
      <c r="K15" s="38" t="n"/>
      <c r="L15" s="38" t="n"/>
      <c r="M15" s="38" t="n"/>
      <c r="N15" s="38" t="n"/>
      <c r="O15" s="38" t="n"/>
      <c r="P15" s="38" t="n"/>
      <c r="Q15" s="38" t="n"/>
    </row>
    <row r="16" ht="62.5" customHeight="1">
      <c r="B16" s="25" t="inlineStr">
        <is>
          <t>資料正確性與完整性（20 分）</t>
        </is>
      </c>
      <c r="C16" s="26" t="inlineStr">
        <is>
          <t>✓資料一次到位、完整正確；無需補件；不造成延誤；正確率 95% 以上。(16-20)
✓偶有小錯但能立即補齊；不影響流程；正確率 85–94% (13-15)
✓常需補件；資料不完整；造成跨部門需再次確認；正確率 70–84%。 (9-12)
✓經常資料錯誤或缺漏；需主管介入；正確率 50–69%。 (4-8)
✓錯誤頻繁；資料重大缺漏；造成流程中斷或退件；正確率 &lt;50%。 (0-3)</t>
        </is>
      </c>
      <c r="D16" s="14" t="n"/>
      <c r="E16" s="38" t="n"/>
      <c r="F16" s="38" t="n"/>
      <c r="G16" s="38" t="n"/>
      <c r="H16" s="38" t="n"/>
      <c r="I16" s="38" t="n"/>
      <c r="J16" s="38" t="n"/>
      <c r="K16" s="38" t="n"/>
      <c r="L16" s="38" t="n"/>
      <c r="M16" s="38" t="n"/>
      <c r="N16" s="38" t="n"/>
      <c r="O16" s="38" t="n"/>
      <c r="P16" s="38" t="n"/>
      <c r="Q16" s="38" t="n"/>
    </row>
    <row r="17" ht="55" customHeight="1">
      <c r="B17" s="28" t="inlineStr">
        <is>
          <t>*低於等於8分或高於等於16分，請說明原因： _________________________</t>
        </is>
      </c>
      <c r="D17" s="14" t="n"/>
      <c r="E17" s="38" t="n"/>
      <c r="F17" s="38" t="n"/>
      <c r="G17" s="38" t="n"/>
      <c r="H17" s="38" t="n"/>
      <c r="I17" s="38" t="n"/>
      <c r="J17" s="38" t="n"/>
      <c r="K17" s="38" t="n"/>
      <c r="L17" s="38" t="n"/>
      <c r="M17" s="38" t="n"/>
      <c r="N17" s="38" t="n"/>
      <c r="O17" s="38" t="n"/>
      <c r="P17" s="38" t="n"/>
      <c r="Q17" s="38" t="n"/>
    </row>
    <row r="18" ht="23.5" customHeight="1">
      <c r="C18" s="32" t="inlineStr">
        <is>
          <t>總分</t>
        </is>
      </c>
      <c r="D18" s="50">
        <f>SUM(D8:D17)</f>
        <v/>
      </c>
      <c r="E18" s="50">
        <f>SUM(E8:E17)</f>
        <v/>
      </c>
      <c r="F18" s="50">
        <f>SUM(F8:F17)</f>
        <v/>
      </c>
      <c r="G18" s="50">
        <f>SUM(G8:G17)</f>
        <v/>
      </c>
      <c r="H18" s="50">
        <f>SUM(H8:H17)</f>
        <v/>
      </c>
      <c r="I18" s="50">
        <f>SUM(I8:I17)</f>
        <v/>
      </c>
      <c r="J18" s="50">
        <f>SUM(J8:J17)</f>
        <v/>
      </c>
      <c r="K18" s="50">
        <f>SUM(K8:K17)</f>
        <v/>
      </c>
      <c r="L18" s="50">
        <f>SUM(L8:L17)</f>
        <v/>
      </c>
      <c r="M18" s="50">
        <f>SUM(M8:M17)</f>
        <v/>
      </c>
      <c r="N18" s="50">
        <f>SUM(N8:N17)</f>
        <v/>
      </c>
      <c r="O18" s="50">
        <f>SUM(O8:O17)</f>
        <v/>
      </c>
      <c r="P18" s="50">
        <f>SUM(P8:P17)</f>
        <v/>
      </c>
      <c r="Q18" s="50">
        <f>SUM(Q8:Q17)</f>
        <v/>
      </c>
      <c r="AK18" s="51" t="n"/>
    </row>
    <row r="19">
      <c r="D19" s="7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  <c r="E19" s="7">
        <f>IF(OR(
  AND(E18&gt;=90, COUNTIF($D$18:$Z$18, "&gt;=90")/COUNTA($D$18:$Z$18)&gt;0.05),
  AND(E18&gt;=80,E18&lt;=89, (COUNTIF($D$18:$Z$18, "&gt;=80")-COUNTIF($D$18:$Z$18, "&gt;=90"))/COUNTA($D$18:$Z$18)&gt;0.2),
  AND(E18&gt;=70,E18&lt;=79, (COUNTIF($D$18:$Z$18, "&gt;=70")-COUNTIF($D$18:$Z$18, "&gt;=80"))/COUNTA($D$18:$Z$18)&gt;0.4),
  AND(E18&gt;=60,E18&lt;=69, (COUNTIF($D$18:$Z$18, "&gt;=60")-COUNTIF($D$18:$Z$18, "&gt;=70"))/COUNTA($D$18:$Z$18)&gt;0.3),
  AND(E18&lt;=59, COUNTIF($D$18:$Z$18, "&lt;=59")/COUNTA($D$18:$Z$18)&gt;0.05)
), "⚠ 超標！", "")</f>
        <v/>
      </c>
      <c r="F19" s="7">
        <f>IF(OR(
  AND(F18&gt;=90, COUNTIF($D$18:$Z$18, "&gt;=90")/COUNTA($D$18:$Z$18)&gt;0.05),
  AND(F18&gt;=80,F18&lt;=89, (COUNTIF($D$18:$Z$18, "&gt;=80")-COUNTIF($D$18:$Z$18, "&gt;=90"))/COUNTA($D$18:$Z$18)&gt;0.2),
  AND(F18&gt;=70,F18&lt;=79, (COUNTIF($D$18:$Z$18, "&gt;=70")-COUNTIF($D$18:$Z$18, "&gt;=80"))/COUNTA($D$18:$Z$18)&gt;0.4),
  AND(F18&gt;=60,F18&lt;=69, (COUNTIF($D$18:$Z$18, "&gt;=60")-COUNTIF($D$18:$Z$18, "&gt;=70"))/COUNTA($D$18:$Z$18)&gt;0.3),
  AND(F18&lt;=59, COUNTIF($D$18:$Z$18, "&lt;=59")/COUNTA($D$18:$Z$18)&gt;0.05)
), "⚠ 超標！", "")</f>
        <v/>
      </c>
      <c r="G19" s="7">
        <f>IF(OR(
  AND(G18&gt;=90, COUNTIF($D$18:$Z$18, "&gt;=90")/COUNTA($D$18:$Z$18)&gt;0.05),
  AND(G18&gt;=80,G18&lt;=89, (COUNTIF($D$18:$Z$18, "&gt;=80")-COUNTIF($D$18:$Z$18, "&gt;=90"))/COUNTA($D$18:$Z$18)&gt;0.2),
  AND(G18&gt;=70,G18&lt;=79, (COUNTIF($D$18:$Z$18, "&gt;=70")-COUNTIF($D$18:$Z$18, "&gt;=80"))/COUNTA($D$18:$Z$18)&gt;0.4),
  AND(G18&gt;=60,G18&lt;=69, (COUNTIF($D$18:$Z$18, "&gt;=60")-COUNTIF($D$18:$Z$18, "&gt;=70"))/COUNTA($D$18:$Z$18)&gt;0.3),
  AND(G18&lt;=59, COUNTIF($D$18:$Z$18, "&lt;=59")/COUNTA($D$18:$Z$18)&gt;0.05)
), "⚠ 超標！", "")</f>
        <v/>
      </c>
      <c r="H19" s="7">
        <f>IF(OR(
  AND(H18&gt;=90, COUNTIF($D$18:$Z$18, "&gt;=90")/COUNTA($D$18:$Z$18)&gt;0.05),
  AND(H18&gt;=80,H18&lt;=89, (COUNTIF($D$18:$Z$18, "&gt;=80")-COUNTIF($D$18:$Z$18, "&gt;=90"))/COUNTA($D$18:$Z$18)&gt;0.2),
  AND(H18&gt;=70,H18&lt;=79, (COUNTIF($D$18:$Z$18, "&gt;=70")-COUNTIF($D$18:$Z$18, "&gt;=80"))/COUNTA($D$18:$Z$18)&gt;0.4),
  AND(H18&gt;=60,H18&lt;=69, (COUNTIF($D$18:$Z$18, "&gt;=60")-COUNTIF($D$18:$Z$18, "&gt;=70"))/COUNTA($D$18:$Z$18)&gt;0.3),
  AND(H18&lt;=59, COUNTIF($D$18:$Z$18, "&lt;=59")/COUNTA($D$18:$Z$18)&gt;0.05)
), "⚠ 超標！", "")</f>
        <v/>
      </c>
      <c r="I19" s="7">
        <f>IF(OR(
  AND(I18&gt;=90, COUNTIF($D$18:$Z$18, "&gt;=90")/COUNTA($D$18:$Z$18)&gt;0.05),
  AND(I18&gt;=80,I18&lt;=89, (COUNTIF($D$18:$Z$18, "&gt;=80")-COUNTIF($D$18:$Z$18, "&gt;=90"))/COUNTA($D$18:$Z$18)&gt;0.2),
  AND(I18&gt;=70,I18&lt;=79, (COUNTIF($D$18:$Z$18, "&gt;=70")-COUNTIF($D$18:$Z$18, "&gt;=80"))/COUNTA($D$18:$Z$18)&gt;0.4),
  AND(I18&gt;=60,I18&lt;=69, (COUNTIF($D$18:$Z$18, "&gt;=60")-COUNTIF($D$18:$Z$18, "&gt;=70"))/COUNTA($D$18:$Z$18)&gt;0.3),
  AND(I18&lt;=59, COUNTIF($D$18:$Z$18, "&lt;=59")/COUNTA($D$18:$Z$18)&gt;0.05)
), "⚠ 超標！", "")</f>
        <v/>
      </c>
      <c r="J19" s="7">
        <f>IF(OR(
  AND(J18&gt;=90, COUNTIF($D$18:$Z$18, "&gt;=90")/COUNTA($D$18:$Z$18)&gt;0.05),
  AND(J18&gt;=80,J18&lt;=89, (COUNTIF($D$18:$Z$18, "&gt;=80")-COUNTIF($D$18:$Z$18, "&gt;=90"))/COUNTA($D$18:$Z$18)&gt;0.2),
  AND(J18&gt;=70,J18&lt;=79, (COUNTIF($D$18:$Z$18, "&gt;=70")-COUNTIF($D$18:$Z$18, "&gt;=80"))/COUNTA($D$18:$Z$18)&gt;0.4),
  AND(J18&gt;=60,J18&lt;=69, (COUNTIF($D$18:$Z$18, "&gt;=60")-COUNTIF($D$18:$Z$18, "&gt;=70"))/COUNTA($D$18:$Z$18)&gt;0.3),
  AND(J18&lt;=59, COUNTIF($D$18:$Z$18, "&lt;=59")/COUNTA($D$18:$Z$18)&gt;0.05)
), "⚠ 超標！", "")</f>
        <v/>
      </c>
      <c r="K19" s="7">
        <f>IF(OR(
  AND(K18&gt;=90, COUNTIF($D$18:$Z$18, "&gt;=90")/COUNTA($D$18:$Z$18)&gt;0.05),
  AND(K18&gt;=80,K18&lt;=89, (COUNTIF($D$18:$Z$18, "&gt;=80")-COUNTIF($D$18:$Z$18, "&gt;=90"))/COUNTA($D$18:$Z$18)&gt;0.2),
  AND(K18&gt;=70,K18&lt;=79, (COUNTIF($D$18:$Z$18, "&gt;=70")-COUNTIF($D$18:$Z$18, "&gt;=80"))/COUNTA($D$18:$Z$18)&gt;0.4),
  AND(K18&gt;=60,K18&lt;=69, (COUNTIF($D$18:$Z$18, "&gt;=60")-COUNTIF($D$18:$Z$18, "&gt;=70"))/COUNTA($D$18:$Z$18)&gt;0.3),
  AND(K18&lt;=59, COUNTIF($D$18:$Z$18, "&lt;=59")/COUNTA($D$18:$Z$18)&gt;0.05)
), "⚠ 超標！", "")</f>
        <v/>
      </c>
      <c r="L19" s="7">
        <f>IF(OR(
  AND(L18&gt;=90, COUNTIF($D$18:$Z$18, "&gt;=90")/COUNTA($D$18:$Z$18)&gt;0.05),
  AND(L18&gt;=80,L18&lt;=89, (COUNTIF($D$18:$Z$18, "&gt;=80")-COUNTIF($D$18:$Z$18, "&gt;=90"))/COUNTA($D$18:$Z$18)&gt;0.2),
  AND(L18&gt;=70,L18&lt;=79, (COUNTIF($D$18:$Z$18, "&gt;=70")-COUNTIF($D$18:$Z$18, "&gt;=80"))/COUNTA($D$18:$Z$18)&gt;0.4),
  AND(L18&gt;=60,L18&lt;=69, (COUNTIF($D$18:$Z$18, "&gt;=60")-COUNTIF($D$18:$Z$18, "&gt;=70"))/COUNTA($D$18:$Z$18)&gt;0.3),
  AND(L18&lt;=59, COUNTIF($D$18:$Z$18, "&lt;=59")/COUNTA($D$18:$Z$18)&gt;0.05)
), "⚠ 超標！", "")</f>
        <v/>
      </c>
      <c r="M19" s="7">
        <f>IF(OR(
  AND(M18&gt;=90, COUNTIF($D$18:$Z$18, "&gt;=90")/COUNTA($D$18:$Z$18)&gt;0.05),
  AND(M18&gt;=80,M18&lt;=89, (COUNTIF($D$18:$Z$18, "&gt;=80")-COUNTIF($D$18:$Z$18, "&gt;=90"))/COUNTA($D$18:$Z$18)&gt;0.2),
  AND(M18&gt;=70,M18&lt;=79, (COUNTIF($D$18:$Z$18, "&gt;=70")-COUNTIF($D$18:$Z$18, "&gt;=80"))/COUNTA($D$18:$Z$18)&gt;0.4),
  AND(M18&gt;=60,M18&lt;=69, (COUNTIF($D$18:$Z$18, "&gt;=60")-COUNTIF($D$18:$Z$18, "&gt;=70"))/COUNTA($D$18:$Z$18)&gt;0.3),
  AND(M18&lt;=59, COUNTIF($D$18:$Z$18, "&lt;=59")/COUNTA($D$18:$Z$18)&gt;0.05)
), "⚠ 超標！", "")</f>
        <v/>
      </c>
      <c r="N19" s="7">
        <f>IF(OR(
  AND(N18&gt;=90, COUNTIF($D$18:$Z$18, "&gt;=90")/COUNTA($D$18:$Z$18)&gt;0.05),
  AND(N18&gt;=80,N18&lt;=89, (COUNTIF($D$18:$Z$18, "&gt;=80")-COUNTIF($D$18:$Z$18, "&gt;=90"))/COUNTA($D$18:$Z$18)&gt;0.2),
  AND(N18&gt;=70,N18&lt;=79, (COUNTIF($D$18:$Z$18, "&gt;=70")-COUNTIF($D$18:$Z$18, "&gt;=80"))/COUNTA($D$18:$Z$18)&gt;0.4),
  AND(N18&gt;=60,N18&lt;=69, (COUNTIF($D$18:$Z$18, "&gt;=60")-COUNTIF($D$18:$Z$18, "&gt;=70"))/COUNTA($D$18:$Z$18)&gt;0.3),
  AND(N18&lt;=59, COUNTIF($D$18:$Z$18, "&lt;=59")/COUNTA($D$18:$Z$18)&gt;0.05)
), "⚠ 超標！", "")</f>
        <v/>
      </c>
      <c r="O19" s="7">
        <f>IF(OR(
  AND(O18&gt;=90, COUNTIF($D$18:$Z$18, "&gt;=90")/COUNTA($D$18:$Z$18)&gt;0.05),
  AND(O18&gt;=80,O18&lt;=89, (COUNTIF($D$18:$Z$18, "&gt;=80")-COUNTIF($D$18:$Z$18, "&gt;=90"))/COUNTA($D$18:$Z$18)&gt;0.2),
  AND(O18&gt;=70,O18&lt;=79, (COUNTIF($D$18:$Z$18, "&gt;=70")-COUNTIF($D$18:$Z$18, "&gt;=80"))/COUNTA($D$18:$Z$18)&gt;0.4),
  AND(O18&gt;=60,O18&lt;=69, (COUNTIF($D$18:$Z$18, "&gt;=60")-COUNTIF($D$18:$Z$18, "&gt;=70"))/COUNTA($D$18:$Z$18)&gt;0.3),
  AND(O18&lt;=59, COUNTIF($D$18:$Z$18, "&lt;=59")/COUNTA($D$18:$Z$18)&gt;0.05)
), "⚠ 超標！", "")</f>
        <v/>
      </c>
      <c r="P19" s="7">
        <f>IF(OR(
  AND(P18&gt;=90, COUNTIF($D$18:$Z$18, "&gt;=90")/COUNTA($D$18:$Z$18)&gt;0.05),
  AND(P18&gt;=80,P18&lt;=89, (COUNTIF($D$18:$Z$18, "&gt;=80")-COUNTIF($D$18:$Z$18, "&gt;=90"))/COUNTA($D$18:$Z$18)&gt;0.2),
  AND(P18&gt;=70,P18&lt;=79, (COUNTIF($D$18:$Z$18, "&gt;=70")-COUNTIF($D$18:$Z$18, "&gt;=80"))/COUNTA($D$18:$Z$18)&gt;0.4),
  AND(P18&gt;=60,P18&lt;=69, (COUNTIF($D$18:$Z$18, "&gt;=60")-COUNTIF($D$18:$Z$18, "&gt;=70"))/COUNTA($D$18:$Z$18)&gt;0.3),
  AND(P18&lt;=59, COUNTIF($D$18:$Z$18, "&lt;=59")/COUNTA($D$18:$Z$18)&gt;0.05)
), "⚠ 超標！", "")</f>
        <v/>
      </c>
      <c r="Q19" s="7">
        <f>IF(OR(
  AND(Q18&gt;=90, COUNTIF($D$18:$Z$18, "&gt;=90")/COUNTA($D$18:$Z$18)&gt;0.05),
  AND(Q18&gt;=80,Q18&lt;=89, (COUNTIF($D$18:$Z$18, "&gt;=80")-COUNTIF($D$18:$Z$18, "&gt;=90"))/COUNTA($D$18:$Z$18)&gt;0.2),
  AND(Q18&gt;=70,Q18&lt;=79, (COUNTIF($D$18:$Z$18, "&gt;=70")-COUNTIF($D$18:$Z$18, "&gt;=80"))/COUNTA($D$18:$Z$18)&gt;0.4),
  AND(Q18&gt;=60,Q18&lt;=69, (COUNTIF($D$18:$Z$18, "&gt;=60")-COUNTIF($D$18:$Z$18, "&gt;=70"))/COUNTA($D$18:$Z$18)&gt;0.3),
  AND(Q18&lt;=59, COUNTIF($D$18:$Z$18, "&lt;=59")/COUNTA($D$18:$Z$18)&gt;0.05)
), "⚠ 超標！", 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9">
    <mergeCell ref="A2:I2"/>
    <mergeCell ref="C12:C13"/>
    <mergeCell ref="A6:C6"/>
    <mergeCell ref="A1:I1"/>
    <mergeCell ref="A11:A13"/>
    <mergeCell ref="A15:A17"/>
    <mergeCell ref="C10:C11"/>
    <mergeCell ref="C16:C17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2026-06-05T07:49:46Z</dcterms:created>
  <dcterms:modified xsi:type="dcterms:W3CDTF">2026-06-05T07:49:46Z</dcterms:modified>
</cp:coreProperties>
</file>